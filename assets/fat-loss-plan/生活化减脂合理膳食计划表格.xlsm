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3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neDrive\website\www\hexo\hexo-tl8517\source\assets\fat-loss-plan\"/>
    </mc:Choice>
  </mc:AlternateContent>
  <xr:revisionPtr revIDLastSave="0" documentId="13_ncr:1_{F0CC762D-8075-44F7-B9CE-46F0C16D82C6}" xr6:coauthVersionLast="47" xr6:coauthVersionMax="47" xr10:uidLastSave="{00000000-0000-0000-0000-000000000000}"/>
  <bookViews>
    <workbookView xWindow="20616" yWindow="1540" windowWidth="30326" windowHeight="24922" activeTab="2" xr2:uid="{00000000-000D-0000-FFFF-FFFF00000000}"/>
  </bookViews>
  <sheets>
    <sheet name="人员信息" sheetId="1" r:id="rId1"/>
    <sheet name="碳蛋脂配额及分餐" sheetId="7" r:id="rId2"/>
    <sheet name="休息日搭配" sheetId="4" r:id="rId3"/>
    <sheet name="食物碳水率蛋白质率" sheetId="11" r:id="rId4"/>
    <sheet name="力训日搭配" sheetId="17" r:id="rId5"/>
    <sheet name="算出食物量" sheetId="8" r:id="rId6"/>
    <sheet name="休息日饮食" sheetId="15" r:id="rId7"/>
    <sheet name="力训日饮食" sheetId="2" r:id="rId8"/>
    <sheet name="食物成份表" sheetId="12" r:id="rId9"/>
    <sheet name="新食物成份表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1" l="1"/>
  <c r="AL108" i="17"/>
  <c r="AG108" i="17"/>
  <c r="AB108" i="17"/>
  <c r="W108" i="17"/>
  <c r="R108" i="17"/>
  <c r="M108" i="17"/>
  <c r="H108" i="17"/>
  <c r="AL107" i="17"/>
  <c r="AG107" i="17"/>
  <c r="AB107" i="17"/>
  <c r="W107" i="17"/>
  <c r="R107" i="17"/>
  <c r="M107" i="17"/>
  <c r="H107" i="17"/>
  <c r="AL106" i="17"/>
  <c r="AG106" i="17"/>
  <c r="AB106" i="17"/>
  <c r="W106" i="17"/>
  <c r="R106" i="17"/>
  <c r="M106" i="17"/>
  <c r="H106" i="17"/>
  <c r="AL105" i="17"/>
  <c r="AG105" i="17"/>
  <c r="AB105" i="17"/>
  <c r="W105" i="17"/>
  <c r="R105" i="17"/>
  <c r="M105" i="17"/>
  <c r="H105" i="17"/>
  <c r="AL104" i="17"/>
  <c r="AG104" i="17"/>
  <c r="AB104" i="17"/>
  <c r="W104" i="17"/>
  <c r="R104" i="17"/>
  <c r="M104" i="17"/>
  <c r="H104" i="17"/>
  <c r="AL103" i="17"/>
  <c r="AG103" i="17"/>
  <c r="AB103" i="17"/>
  <c r="W103" i="17"/>
  <c r="R103" i="17"/>
  <c r="M103" i="17"/>
  <c r="H103" i="17"/>
  <c r="AL102" i="17"/>
  <c r="AG102" i="17"/>
  <c r="AB102" i="17"/>
  <c r="W102" i="17"/>
  <c r="R102" i="17"/>
  <c r="M102" i="17"/>
  <c r="H102" i="17"/>
  <c r="AL101" i="17"/>
  <c r="AG101" i="17"/>
  <c r="AB101" i="17"/>
  <c r="W101" i="17"/>
  <c r="R101" i="17"/>
  <c r="M101" i="17"/>
  <c r="H101" i="17"/>
  <c r="AL100" i="17"/>
  <c r="AG100" i="17"/>
  <c r="AB100" i="17"/>
  <c r="W100" i="17"/>
  <c r="R100" i="17"/>
  <c r="M100" i="17"/>
  <c r="H100" i="17"/>
  <c r="AL99" i="17"/>
  <c r="AG99" i="17"/>
  <c r="AB99" i="17"/>
  <c r="W99" i="17"/>
  <c r="R99" i="17"/>
  <c r="M99" i="17"/>
  <c r="H99" i="17"/>
  <c r="AL98" i="17"/>
  <c r="AG98" i="17"/>
  <c r="AB98" i="17"/>
  <c r="W98" i="17"/>
  <c r="R98" i="17"/>
  <c r="M98" i="17"/>
  <c r="H98" i="17"/>
  <c r="AL97" i="17"/>
  <c r="AG97" i="17"/>
  <c r="AB97" i="17"/>
  <c r="W97" i="17"/>
  <c r="R97" i="17"/>
  <c r="M97" i="17"/>
  <c r="H97" i="17"/>
  <c r="AL96" i="17"/>
  <c r="AG96" i="17"/>
  <c r="AB96" i="17"/>
  <c r="W96" i="17"/>
  <c r="R96" i="17"/>
  <c r="M96" i="17"/>
  <c r="H96" i="17"/>
  <c r="AL95" i="17"/>
  <c r="AG95" i="17"/>
  <c r="AB95" i="17"/>
  <c r="W95" i="17"/>
  <c r="R95" i="17"/>
  <c r="M95" i="17"/>
  <c r="H95" i="17"/>
  <c r="AL94" i="17"/>
  <c r="AG94" i="17"/>
  <c r="AB94" i="17"/>
  <c r="W94" i="17"/>
  <c r="R94" i="17"/>
  <c r="M94" i="17"/>
  <c r="H94" i="17"/>
  <c r="AL93" i="17"/>
  <c r="AG93" i="17"/>
  <c r="AB93" i="17"/>
  <c r="W93" i="17"/>
  <c r="R93" i="17"/>
  <c r="M93" i="17"/>
  <c r="H93" i="17"/>
  <c r="AL92" i="17"/>
  <c r="AG92" i="17"/>
  <c r="AB92" i="17"/>
  <c r="W92" i="17"/>
  <c r="R92" i="17"/>
  <c r="M92" i="17"/>
  <c r="H92" i="17"/>
  <c r="D92" i="17" s="1"/>
  <c r="AL91" i="17"/>
  <c r="AG91" i="17"/>
  <c r="AB91" i="17"/>
  <c r="W91" i="17"/>
  <c r="R91" i="17"/>
  <c r="M91" i="17"/>
  <c r="H91" i="17"/>
  <c r="AL90" i="17"/>
  <c r="AG90" i="17"/>
  <c r="AB90" i="17"/>
  <c r="W90" i="17"/>
  <c r="R90" i="17"/>
  <c r="M90" i="17"/>
  <c r="H90" i="17"/>
  <c r="AL89" i="17"/>
  <c r="AG89" i="17"/>
  <c r="AB89" i="17"/>
  <c r="W89" i="17"/>
  <c r="R89" i="17"/>
  <c r="M89" i="17"/>
  <c r="H89" i="17"/>
  <c r="AL88" i="17"/>
  <c r="AG88" i="17"/>
  <c r="AB88" i="17"/>
  <c r="W88" i="17"/>
  <c r="R88" i="17"/>
  <c r="M88" i="17"/>
  <c r="H88" i="17"/>
  <c r="AL87" i="17"/>
  <c r="AG87" i="17"/>
  <c r="AB87" i="17"/>
  <c r="W87" i="17"/>
  <c r="R87" i="17"/>
  <c r="M87" i="17"/>
  <c r="H87" i="17"/>
  <c r="D87" i="17" s="1"/>
  <c r="AL86" i="17"/>
  <c r="AG86" i="17"/>
  <c r="AB86" i="17"/>
  <c r="W86" i="17"/>
  <c r="R86" i="17"/>
  <c r="M86" i="17"/>
  <c r="H86" i="17"/>
  <c r="AL85" i="17"/>
  <c r="AG85" i="17"/>
  <c r="AB85" i="17"/>
  <c r="W85" i="17"/>
  <c r="R85" i="17"/>
  <c r="M85" i="17"/>
  <c r="H85" i="17"/>
  <c r="AL84" i="17"/>
  <c r="AG84" i="17"/>
  <c r="AB84" i="17"/>
  <c r="W84" i="17"/>
  <c r="R84" i="17"/>
  <c r="M84" i="17"/>
  <c r="H84" i="17"/>
  <c r="AL83" i="17"/>
  <c r="AG83" i="17"/>
  <c r="AB83" i="17"/>
  <c r="W83" i="17"/>
  <c r="R83" i="17"/>
  <c r="M83" i="17"/>
  <c r="H83" i="17"/>
  <c r="AL82" i="17"/>
  <c r="AG82" i="17"/>
  <c r="AB82" i="17"/>
  <c r="W82" i="17"/>
  <c r="R82" i="17"/>
  <c r="M82" i="17"/>
  <c r="H82" i="17"/>
  <c r="AL81" i="17"/>
  <c r="AG81" i="17"/>
  <c r="AB81" i="17"/>
  <c r="W81" i="17"/>
  <c r="R81" i="17"/>
  <c r="M81" i="17"/>
  <c r="H81" i="17"/>
  <c r="AL80" i="17"/>
  <c r="AG80" i="17"/>
  <c r="AB80" i="17"/>
  <c r="W80" i="17"/>
  <c r="R80" i="17"/>
  <c r="M80" i="17"/>
  <c r="H80" i="17"/>
  <c r="AL79" i="17"/>
  <c r="AG79" i="17"/>
  <c r="AB79" i="17"/>
  <c r="W79" i="17"/>
  <c r="R79" i="17"/>
  <c r="M79" i="17"/>
  <c r="H79" i="17"/>
  <c r="AL78" i="17"/>
  <c r="AG78" i="17"/>
  <c r="AB78" i="17"/>
  <c r="W78" i="17"/>
  <c r="R78" i="17"/>
  <c r="M78" i="17"/>
  <c r="H78" i="17"/>
  <c r="AL77" i="17"/>
  <c r="AG77" i="17"/>
  <c r="AB77" i="17"/>
  <c r="W77" i="17"/>
  <c r="R77" i="17"/>
  <c r="M77" i="17"/>
  <c r="H77" i="17"/>
  <c r="AL76" i="17"/>
  <c r="AG76" i="17"/>
  <c r="AB76" i="17"/>
  <c r="W76" i="17"/>
  <c r="R76" i="17"/>
  <c r="M76" i="17"/>
  <c r="H76" i="17"/>
  <c r="AL75" i="17"/>
  <c r="AG75" i="17"/>
  <c r="AB75" i="17"/>
  <c r="W75" i="17"/>
  <c r="R75" i="17"/>
  <c r="M75" i="17"/>
  <c r="H75" i="17"/>
  <c r="D75" i="17" s="1"/>
  <c r="AL74" i="17"/>
  <c r="AG74" i="17"/>
  <c r="AB74" i="17"/>
  <c r="W74" i="17"/>
  <c r="R74" i="17"/>
  <c r="M74" i="17"/>
  <c r="H74" i="17"/>
  <c r="AL73" i="17"/>
  <c r="AG73" i="17"/>
  <c r="AB73" i="17"/>
  <c r="W73" i="17"/>
  <c r="R73" i="17"/>
  <c r="M73" i="17"/>
  <c r="H73" i="17"/>
  <c r="AL72" i="17"/>
  <c r="AG72" i="17"/>
  <c r="AB72" i="17"/>
  <c r="W72" i="17"/>
  <c r="R72" i="17"/>
  <c r="M72" i="17"/>
  <c r="H72" i="17"/>
  <c r="AL71" i="17"/>
  <c r="AG71" i="17"/>
  <c r="AB71" i="17"/>
  <c r="W71" i="17"/>
  <c r="R71" i="17"/>
  <c r="M71" i="17"/>
  <c r="H71" i="17"/>
  <c r="AL70" i="17"/>
  <c r="AG70" i="17"/>
  <c r="AB70" i="17"/>
  <c r="W70" i="17"/>
  <c r="R70" i="17"/>
  <c r="M70" i="17"/>
  <c r="H70" i="17"/>
  <c r="AL69" i="17"/>
  <c r="AG69" i="17"/>
  <c r="AB69" i="17"/>
  <c r="W69" i="17"/>
  <c r="R69" i="17"/>
  <c r="M69" i="17"/>
  <c r="H69" i="17"/>
  <c r="AL68" i="17"/>
  <c r="AG68" i="17"/>
  <c r="AB68" i="17"/>
  <c r="W68" i="17"/>
  <c r="R68" i="17"/>
  <c r="M68" i="17"/>
  <c r="H68" i="17"/>
  <c r="AL67" i="17"/>
  <c r="AG67" i="17"/>
  <c r="AB67" i="17"/>
  <c r="W67" i="17"/>
  <c r="R67" i="17"/>
  <c r="M67" i="17"/>
  <c r="H67" i="17"/>
  <c r="AL66" i="17"/>
  <c r="AG66" i="17"/>
  <c r="AB66" i="17"/>
  <c r="W66" i="17"/>
  <c r="R66" i="17"/>
  <c r="M66" i="17"/>
  <c r="H66" i="17"/>
  <c r="AL65" i="17"/>
  <c r="AG65" i="17"/>
  <c r="AB65" i="17"/>
  <c r="W65" i="17"/>
  <c r="R65" i="17"/>
  <c r="M65" i="17"/>
  <c r="H65" i="17"/>
  <c r="AL64" i="17"/>
  <c r="AG64" i="17"/>
  <c r="AB64" i="17"/>
  <c r="W64" i="17"/>
  <c r="R64" i="17"/>
  <c r="M64" i="17"/>
  <c r="H64" i="17"/>
  <c r="AL63" i="17"/>
  <c r="AG63" i="17"/>
  <c r="AB63" i="17"/>
  <c r="W63" i="17"/>
  <c r="R63" i="17"/>
  <c r="M63" i="17"/>
  <c r="H63" i="17"/>
  <c r="D63" i="17" s="1"/>
  <c r="AL62" i="17"/>
  <c r="AG62" i="17"/>
  <c r="AB62" i="17"/>
  <c r="W62" i="17"/>
  <c r="R62" i="17"/>
  <c r="M62" i="17"/>
  <c r="H62" i="17"/>
  <c r="AL61" i="17"/>
  <c r="AG61" i="17"/>
  <c r="AB61" i="17"/>
  <c r="W61" i="17"/>
  <c r="R61" i="17"/>
  <c r="M61" i="17"/>
  <c r="H61" i="17"/>
  <c r="D61" i="17" s="1"/>
  <c r="AL60" i="17"/>
  <c r="AG60" i="17"/>
  <c r="AB60" i="17"/>
  <c r="W60" i="17"/>
  <c r="R60" i="17"/>
  <c r="M60" i="17"/>
  <c r="H60" i="17"/>
  <c r="AL59" i="17"/>
  <c r="AG59" i="17"/>
  <c r="AB59" i="17"/>
  <c r="W59" i="17"/>
  <c r="R59" i="17"/>
  <c r="M59" i="17"/>
  <c r="H59" i="17"/>
  <c r="AL58" i="17"/>
  <c r="AG58" i="17"/>
  <c r="AB58" i="17"/>
  <c r="W58" i="17"/>
  <c r="R58" i="17"/>
  <c r="M58" i="17"/>
  <c r="H58" i="17"/>
  <c r="AL57" i="17"/>
  <c r="AG57" i="17"/>
  <c r="AB57" i="17"/>
  <c r="W57" i="17"/>
  <c r="R57" i="17"/>
  <c r="M57" i="17"/>
  <c r="H57" i="17"/>
  <c r="AL56" i="17"/>
  <c r="AG56" i="17"/>
  <c r="AB56" i="17"/>
  <c r="W56" i="17"/>
  <c r="R56" i="17"/>
  <c r="M56" i="17"/>
  <c r="H56" i="17"/>
  <c r="AL55" i="17"/>
  <c r="AG55" i="17"/>
  <c r="AB55" i="17"/>
  <c r="W55" i="17"/>
  <c r="R55" i="17"/>
  <c r="M55" i="17"/>
  <c r="H55" i="17"/>
  <c r="AL54" i="17"/>
  <c r="AG54" i="17"/>
  <c r="AB54" i="17"/>
  <c r="W54" i="17"/>
  <c r="R54" i="17"/>
  <c r="M54" i="17"/>
  <c r="H54" i="17"/>
  <c r="AL53" i="17"/>
  <c r="AG53" i="17"/>
  <c r="AB53" i="17"/>
  <c r="W53" i="17"/>
  <c r="R53" i="17"/>
  <c r="M53" i="17"/>
  <c r="H53" i="17"/>
  <c r="AL52" i="17"/>
  <c r="AG52" i="17"/>
  <c r="AB52" i="17"/>
  <c r="W52" i="17"/>
  <c r="R52" i="17"/>
  <c r="M52" i="17"/>
  <c r="H52" i="17"/>
  <c r="AL51" i="17"/>
  <c r="AG51" i="17"/>
  <c r="AB51" i="17"/>
  <c r="W51" i="17"/>
  <c r="R51" i="17"/>
  <c r="M51" i="17"/>
  <c r="H51" i="17"/>
  <c r="AL50" i="17"/>
  <c r="AG50" i="17"/>
  <c r="AB50" i="17"/>
  <c r="W50" i="17"/>
  <c r="R50" i="17"/>
  <c r="M50" i="17"/>
  <c r="H50" i="17"/>
  <c r="AL49" i="17"/>
  <c r="AG49" i="17"/>
  <c r="AB49" i="17"/>
  <c r="W49" i="17"/>
  <c r="R49" i="17"/>
  <c r="M49" i="17"/>
  <c r="H49" i="17"/>
  <c r="D49" i="17" s="1"/>
  <c r="AL48" i="17"/>
  <c r="AG48" i="17"/>
  <c r="AB48" i="17"/>
  <c r="W48" i="17"/>
  <c r="R48" i="17"/>
  <c r="M48" i="17"/>
  <c r="H48" i="17"/>
  <c r="AL47" i="17"/>
  <c r="AG47" i="17"/>
  <c r="AB47" i="17"/>
  <c r="W47" i="17"/>
  <c r="R47" i="17"/>
  <c r="M47" i="17"/>
  <c r="H47" i="17"/>
  <c r="AL46" i="17"/>
  <c r="AG46" i="17"/>
  <c r="AB46" i="17"/>
  <c r="W46" i="17"/>
  <c r="R46" i="17"/>
  <c r="M46" i="17"/>
  <c r="H46" i="17"/>
  <c r="AL45" i="17"/>
  <c r="AG45" i="17"/>
  <c r="AB45" i="17"/>
  <c r="W45" i="17"/>
  <c r="R45" i="17"/>
  <c r="M45" i="17"/>
  <c r="H45" i="17"/>
  <c r="AL44" i="17"/>
  <c r="AG44" i="17"/>
  <c r="AB44" i="17"/>
  <c r="W44" i="17"/>
  <c r="R44" i="17"/>
  <c r="M44" i="17"/>
  <c r="H44" i="17"/>
  <c r="AL43" i="17"/>
  <c r="AG43" i="17"/>
  <c r="AB43" i="17"/>
  <c r="W43" i="17"/>
  <c r="R43" i="17"/>
  <c r="M43" i="17"/>
  <c r="H43" i="17"/>
  <c r="AL42" i="17"/>
  <c r="AG42" i="17"/>
  <c r="AB42" i="17"/>
  <c r="W42" i="17"/>
  <c r="R42" i="17"/>
  <c r="M42" i="17"/>
  <c r="H42" i="17"/>
  <c r="AL41" i="17"/>
  <c r="AG41" i="17"/>
  <c r="AB41" i="17"/>
  <c r="W41" i="17"/>
  <c r="R41" i="17"/>
  <c r="M41" i="17"/>
  <c r="H41" i="17"/>
  <c r="AL40" i="17"/>
  <c r="AG40" i="17"/>
  <c r="AB40" i="17"/>
  <c r="W40" i="17"/>
  <c r="R40" i="17"/>
  <c r="M40" i="17"/>
  <c r="H40" i="17"/>
  <c r="AL39" i="17"/>
  <c r="AG39" i="17"/>
  <c r="AB39" i="17"/>
  <c r="W39" i="17"/>
  <c r="R39" i="17"/>
  <c r="M39" i="17"/>
  <c r="H39" i="17"/>
  <c r="AL38" i="17"/>
  <c r="AG38" i="17"/>
  <c r="AB38" i="17"/>
  <c r="W38" i="17"/>
  <c r="R38" i="17"/>
  <c r="M38" i="17"/>
  <c r="H38" i="17"/>
  <c r="AL37" i="17"/>
  <c r="AG37" i="17"/>
  <c r="AB37" i="17"/>
  <c r="W37" i="17"/>
  <c r="R37" i="17"/>
  <c r="M37" i="17"/>
  <c r="H37" i="17"/>
  <c r="D37" i="17" s="1"/>
  <c r="AL36" i="17"/>
  <c r="AG36" i="17"/>
  <c r="AB36" i="17"/>
  <c r="W36" i="17"/>
  <c r="R36" i="17"/>
  <c r="M36" i="17"/>
  <c r="H36" i="17"/>
  <c r="AL35" i="17"/>
  <c r="AG35" i="17"/>
  <c r="AB35" i="17"/>
  <c r="W35" i="17"/>
  <c r="R35" i="17"/>
  <c r="M35" i="17"/>
  <c r="H35" i="17"/>
  <c r="AL34" i="17"/>
  <c r="AG34" i="17"/>
  <c r="AB34" i="17"/>
  <c r="W34" i="17"/>
  <c r="R34" i="17"/>
  <c r="M34" i="17"/>
  <c r="H34" i="17"/>
  <c r="AL33" i="17"/>
  <c r="AG33" i="17"/>
  <c r="AB33" i="17"/>
  <c r="W33" i="17"/>
  <c r="R33" i="17"/>
  <c r="M33" i="17"/>
  <c r="H33" i="17"/>
  <c r="AL32" i="17"/>
  <c r="AG32" i="17"/>
  <c r="AB32" i="17"/>
  <c r="W32" i="17"/>
  <c r="R32" i="17"/>
  <c r="M32" i="17"/>
  <c r="H32" i="17"/>
  <c r="AL31" i="17"/>
  <c r="AG31" i="17"/>
  <c r="AB31" i="17"/>
  <c r="W31" i="17"/>
  <c r="R31" i="17"/>
  <c r="M31" i="17"/>
  <c r="H31" i="17"/>
  <c r="AL30" i="17"/>
  <c r="AG30" i="17"/>
  <c r="AB30" i="17"/>
  <c r="W30" i="17"/>
  <c r="R30" i="17"/>
  <c r="M30" i="17"/>
  <c r="H30" i="17"/>
  <c r="AL29" i="17"/>
  <c r="AG29" i="17"/>
  <c r="AB29" i="17"/>
  <c r="W29" i="17"/>
  <c r="R29" i="17"/>
  <c r="M29" i="17"/>
  <c r="H29" i="17"/>
  <c r="AL28" i="17"/>
  <c r="AG28" i="17"/>
  <c r="AB28" i="17"/>
  <c r="W28" i="17"/>
  <c r="R28" i="17"/>
  <c r="M28" i="17"/>
  <c r="H28" i="17"/>
  <c r="AL27" i="17"/>
  <c r="AG27" i="17"/>
  <c r="AB27" i="17"/>
  <c r="W27" i="17"/>
  <c r="R27" i="17"/>
  <c r="M27" i="17"/>
  <c r="H27" i="17"/>
  <c r="AL26" i="17"/>
  <c r="AG26" i="17"/>
  <c r="AB26" i="17"/>
  <c r="W26" i="17"/>
  <c r="R26" i="17"/>
  <c r="M26" i="17"/>
  <c r="H26" i="17"/>
  <c r="AL25" i="17"/>
  <c r="AG25" i="17"/>
  <c r="AB25" i="17"/>
  <c r="W25" i="17"/>
  <c r="R25" i="17"/>
  <c r="M25" i="17"/>
  <c r="H25" i="17"/>
  <c r="D25" i="17" s="1"/>
  <c r="AL24" i="17"/>
  <c r="AG24" i="17"/>
  <c r="AB24" i="17"/>
  <c r="W24" i="17"/>
  <c r="R24" i="17"/>
  <c r="M24" i="17"/>
  <c r="H24" i="17"/>
  <c r="AL23" i="17"/>
  <c r="AG23" i="17"/>
  <c r="AB23" i="17"/>
  <c r="W23" i="17"/>
  <c r="R23" i="17"/>
  <c r="M23" i="17"/>
  <c r="H23" i="17"/>
  <c r="AL22" i="17"/>
  <c r="AG22" i="17"/>
  <c r="AB22" i="17"/>
  <c r="W22" i="17"/>
  <c r="R22" i="17"/>
  <c r="M22" i="17"/>
  <c r="H22" i="17"/>
  <c r="AL21" i="17"/>
  <c r="AG21" i="17"/>
  <c r="AB21" i="17"/>
  <c r="W21" i="17"/>
  <c r="R21" i="17"/>
  <c r="M21" i="17"/>
  <c r="H21" i="17"/>
  <c r="AL20" i="17"/>
  <c r="AG20" i="17"/>
  <c r="AB20" i="17"/>
  <c r="W20" i="17"/>
  <c r="R20" i="17"/>
  <c r="M20" i="17"/>
  <c r="H20" i="17"/>
  <c r="AL19" i="17"/>
  <c r="AG19" i="17"/>
  <c r="AB19" i="17"/>
  <c r="W19" i="17"/>
  <c r="R19" i="17"/>
  <c r="M19" i="17"/>
  <c r="H19" i="17"/>
  <c r="AL18" i="17"/>
  <c r="AG18" i="17"/>
  <c r="AB18" i="17"/>
  <c r="W18" i="17"/>
  <c r="R18" i="17"/>
  <c r="M18" i="17"/>
  <c r="H18" i="17"/>
  <c r="AL17" i="17"/>
  <c r="AG17" i="17"/>
  <c r="AB17" i="17"/>
  <c r="W17" i="17"/>
  <c r="R17" i="17"/>
  <c r="M17" i="17"/>
  <c r="H17" i="17"/>
  <c r="AL16" i="17"/>
  <c r="AG16" i="17"/>
  <c r="AB16" i="17"/>
  <c r="W16" i="17"/>
  <c r="R16" i="17"/>
  <c r="M16" i="17"/>
  <c r="H16" i="17"/>
  <c r="AL15" i="17"/>
  <c r="AG15" i="17"/>
  <c r="AB15" i="17"/>
  <c r="W15" i="17"/>
  <c r="R15" i="17"/>
  <c r="M15" i="17"/>
  <c r="H15" i="17"/>
  <c r="AL14" i="17"/>
  <c r="AG14" i="17"/>
  <c r="AB14" i="17"/>
  <c r="W14" i="17"/>
  <c r="R14" i="17"/>
  <c r="M14" i="17"/>
  <c r="H14" i="17"/>
  <c r="AL13" i="17"/>
  <c r="AG13" i="17"/>
  <c r="AB13" i="17"/>
  <c r="W13" i="17"/>
  <c r="R13" i="17"/>
  <c r="M13" i="17"/>
  <c r="H13" i="17"/>
  <c r="D13" i="17" s="1"/>
  <c r="AL12" i="17"/>
  <c r="AG12" i="17"/>
  <c r="AB12" i="17"/>
  <c r="W12" i="17"/>
  <c r="R12" i="17"/>
  <c r="M12" i="17"/>
  <c r="H12" i="17"/>
  <c r="AL11" i="17"/>
  <c r="AG11" i="17"/>
  <c r="AB11" i="17"/>
  <c r="W11" i="17"/>
  <c r="R11" i="17"/>
  <c r="M11" i="17"/>
  <c r="H11" i="17"/>
  <c r="AL10" i="17"/>
  <c r="AG10" i="17"/>
  <c r="AB10" i="17"/>
  <c r="W10" i="17"/>
  <c r="R10" i="17"/>
  <c r="M10" i="17"/>
  <c r="H10" i="17"/>
  <c r="AL9" i="17"/>
  <c r="AG9" i="17"/>
  <c r="AB9" i="17"/>
  <c r="W9" i="17"/>
  <c r="R9" i="17"/>
  <c r="M9" i="17"/>
  <c r="H9" i="17"/>
  <c r="AL8" i="17"/>
  <c r="AG8" i="17"/>
  <c r="AB8" i="17"/>
  <c r="W8" i="17"/>
  <c r="R8" i="17"/>
  <c r="M8" i="17"/>
  <c r="H8" i="17"/>
  <c r="AL7" i="17"/>
  <c r="AG7" i="17"/>
  <c r="AB7" i="17"/>
  <c r="W7" i="17"/>
  <c r="R7" i="17"/>
  <c r="M7" i="17"/>
  <c r="H7" i="17"/>
  <c r="AL6" i="17"/>
  <c r="AG6" i="17"/>
  <c r="AB6" i="17"/>
  <c r="W6" i="17"/>
  <c r="R6" i="17"/>
  <c r="M6" i="17"/>
  <c r="H6" i="17"/>
  <c r="AL5" i="17"/>
  <c r="AG5" i="17"/>
  <c r="AB5" i="17"/>
  <c r="W5" i="17"/>
  <c r="R5" i="17"/>
  <c r="M5" i="17"/>
  <c r="H5" i="17"/>
  <c r="AL4" i="17"/>
  <c r="AG4" i="17"/>
  <c r="AB4" i="17"/>
  <c r="W4" i="17"/>
  <c r="R4" i="17"/>
  <c r="M4" i="17"/>
  <c r="H4" i="17"/>
  <c r="AL87" i="4"/>
  <c r="AG87" i="4"/>
  <c r="AB87" i="4"/>
  <c r="AL86" i="4"/>
  <c r="AG86" i="4"/>
  <c r="AB86" i="4"/>
  <c r="AL85" i="4"/>
  <c r="AG85" i="4"/>
  <c r="AB85" i="4"/>
  <c r="AL84" i="4"/>
  <c r="AG84" i="4"/>
  <c r="AB84" i="4"/>
  <c r="AL83" i="4"/>
  <c r="AG83" i="4"/>
  <c r="AB83" i="4"/>
  <c r="AL82" i="4"/>
  <c r="AG82" i="4"/>
  <c r="AB82" i="4"/>
  <c r="AL81" i="4"/>
  <c r="AG81" i="4"/>
  <c r="AB81" i="4"/>
  <c r="AL80" i="4"/>
  <c r="AG80" i="4"/>
  <c r="AB80" i="4"/>
  <c r="AL79" i="4"/>
  <c r="AG79" i="4"/>
  <c r="AB79" i="4"/>
  <c r="AL78" i="4"/>
  <c r="AG78" i="4"/>
  <c r="AB78" i="4"/>
  <c r="AL77" i="4"/>
  <c r="AG77" i="4"/>
  <c r="AB77" i="4"/>
  <c r="AL76" i="4"/>
  <c r="AG76" i="4"/>
  <c r="AB76" i="4"/>
  <c r="AL75" i="4"/>
  <c r="AG75" i="4"/>
  <c r="AB75" i="4"/>
  <c r="AL74" i="4"/>
  <c r="AG74" i="4"/>
  <c r="AB74" i="4"/>
  <c r="AL73" i="4"/>
  <c r="AG73" i="4"/>
  <c r="AB73" i="4"/>
  <c r="AL72" i="4"/>
  <c r="AG72" i="4"/>
  <c r="AB72" i="4"/>
  <c r="AL71" i="4"/>
  <c r="AG71" i="4"/>
  <c r="AB71" i="4"/>
  <c r="AL70" i="4"/>
  <c r="AG70" i="4"/>
  <c r="AB70" i="4"/>
  <c r="AL69" i="4"/>
  <c r="AG69" i="4"/>
  <c r="AB69" i="4"/>
  <c r="AL68" i="4"/>
  <c r="AG68" i="4"/>
  <c r="AB68" i="4"/>
  <c r="AL67" i="4"/>
  <c r="AG67" i="4"/>
  <c r="AB67" i="4"/>
  <c r="AL66" i="4"/>
  <c r="AG66" i="4"/>
  <c r="AB66" i="4"/>
  <c r="AL65" i="4"/>
  <c r="AG65" i="4"/>
  <c r="AB65" i="4"/>
  <c r="AL64" i="4"/>
  <c r="AG64" i="4"/>
  <c r="AB64" i="4"/>
  <c r="AL63" i="4"/>
  <c r="AG63" i="4"/>
  <c r="AB63" i="4"/>
  <c r="AL62" i="4"/>
  <c r="AG62" i="4"/>
  <c r="AB62" i="4"/>
  <c r="AL61" i="4"/>
  <c r="AG61" i="4"/>
  <c r="AB61" i="4"/>
  <c r="AL60" i="4"/>
  <c r="AG60" i="4"/>
  <c r="AB60" i="4"/>
  <c r="AL59" i="4"/>
  <c r="AG59" i="4"/>
  <c r="AB59" i="4"/>
  <c r="AL58" i="4"/>
  <c r="AG58" i="4"/>
  <c r="AB58" i="4"/>
  <c r="AL57" i="4"/>
  <c r="AG57" i="4"/>
  <c r="AB57" i="4"/>
  <c r="AL56" i="4"/>
  <c r="AG56" i="4"/>
  <c r="AB56" i="4"/>
  <c r="AL55" i="4"/>
  <c r="AG55" i="4"/>
  <c r="AB55" i="4"/>
  <c r="AL54" i="4"/>
  <c r="AG54" i="4"/>
  <c r="AB54" i="4"/>
  <c r="AL53" i="4"/>
  <c r="AG53" i="4"/>
  <c r="AB53" i="4"/>
  <c r="AL52" i="4"/>
  <c r="AG52" i="4"/>
  <c r="AB52" i="4"/>
  <c r="AL51" i="4"/>
  <c r="AG51" i="4"/>
  <c r="AB51" i="4"/>
  <c r="AL50" i="4"/>
  <c r="AG50" i="4"/>
  <c r="AB50" i="4"/>
  <c r="AL49" i="4"/>
  <c r="AG49" i="4"/>
  <c r="AB49" i="4"/>
  <c r="AL48" i="4"/>
  <c r="AG48" i="4"/>
  <c r="AB48" i="4"/>
  <c r="AL47" i="4"/>
  <c r="AG47" i="4"/>
  <c r="AB47" i="4"/>
  <c r="AL46" i="4"/>
  <c r="AG46" i="4"/>
  <c r="AB46" i="4"/>
  <c r="AL45" i="4"/>
  <c r="AG45" i="4"/>
  <c r="AB45" i="4"/>
  <c r="AL44" i="4"/>
  <c r="AG44" i="4"/>
  <c r="AB44" i="4"/>
  <c r="AL43" i="4"/>
  <c r="AG43" i="4"/>
  <c r="AB43" i="4"/>
  <c r="AL42" i="4"/>
  <c r="AG42" i="4"/>
  <c r="AB42" i="4"/>
  <c r="AL41" i="4"/>
  <c r="AG41" i="4"/>
  <c r="AB41" i="4"/>
  <c r="AL40" i="4"/>
  <c r="AG40" i="4"/>
  <c r="AB40" i="4"/>
  <c r="AL39" i="4"/>
  <c r="AG39" i="4"/>
  <c r="AB39" i="4"/>
  <c r="AL38" i="4"/>
  <c r="AG38" i="4"/>
  <c r="AB38" i="4"/>
  <c r="AL37" i="4"/>
  <c r="AG37" i="4"/>
  <c r="AB37" i="4"/>
  <c r="AL36" i="4"/>
  <c r="AG36" i="4"/>
  <c r="AB36" i="4"/>
  <c r="AL35" i="4"/>
  <c r="AG35" i="4"/>
  <c r="AB35" i="4"/>
  <c r="AL34" i="4"/>
  <c r="AG34" i="4"/>
  <c r="AB34" i="4"/>
  <c r="AL33" i="4"/>
  <c r="AG33" i="4"/>
  <c r="AB33" i="4"/>
  <c r="AL32" i="4"/>
  <c r="AG32" i="4"/>
  <c r="AB32" i="4"/>
  <c r="AL31" i="4"/>
  <c r="AG31" i="4"/>
  <c r="AB31" i="4"/>
  <c r="AL30" i="4"/>
  <c r="AG30" i="4"/>
  <c r="AB30" i="4"/>
  <c r="AL29" i="4"/>
  <c r="AG29" i="4"/>
  <c r="AB29" i="4"/>
  <c r="AL28" i="4"/>
  <c r="AG28" i="4"/>
  <c r="AB28" i="4"/>
  <c r="AL27" i="4"/>
  <c r="AG27" i="4"/>
  <c r="AB27" i="4"/>
  <c r="AL26" i="4"/>
  <c r="AG26" i="4"/>
  <c r="AB26" i="4"/>
  <c r="AL25" i="4"/>
  <c r="AG25" i="4"/>
  <c r="AB25" i="4"/>
  <c r="AL24" i="4"/>
  <c r="AG24" i="4"/>
  <c r="AB24" i="4"/>
  <c r="AL23" i="4"/>
  <c r="AG23" i="4"/>
  <c r="AB23" i="4"/>
  <c r="AL22" i="4"/>
  <c r="AG22" i="4"/>
  <c r="AB22" i="4"/>
  <c r="AL21" i="4"/>
  <c r="AG21" i="4"/>
  <c r="AB21" i="4"/>
  <c r="AL20" i="4"/>
  <c r="AG20" i="4"/>
  <c r="AB20" i="4"/>
  <c r="AL19" i="4"/>
  <c r="AG19" i="4"/>
  <c r="AB19" i="4"/>
  <c r="AL18" i="4"/>
  <c r="AG18" i="4"/>
  <c r="AB18" i="4"/>
  <c r="AL17" i="4"/>
  <c r="AG17" i="4"/>
  <c r="AB17" i="4"/>
  <c r="AL16" i="4"/>
  <c r="AG16" i="4"/>
  <c r="AB16" i="4"/>
  <c r="AL15" i="4"/>
  <c r="AG15" i="4"/>
  <c r="AB15" i="4"/>
  <c r="AL14" i="4"/>
  <c r="AG14" i="4"/>
  <c r="AB14" i="4"/>
  <c r="AL13" i="4"/>
  <c r="AG13" i="4"/>
  <c r="AB13" i="4"/>
  <c r="AL12" i="4"/>
  <c r="AG12" i="4"/>
  <c r="AB12" i="4"/>
  <c r="AL11" i="4"/>
  <c r="AG11" i="4"/>
  <c r="AB11" i="4"/>
  <c r="AL10" i="4"/>
  <c r="AG10" i="4"/>
  <c r="AB10" i="4"/>
  <c r="AL9" i="4"/>
  <c r="AG9" i="4"/>
  <c r="AB9" i="4"/>
  <c r="AL8" i="4"/>
  <c r="AG8" i="4"/>
  <c r="AB8" i="4"/>
  <c r="AL7" i="4"/>
  <c r="AG7" i="4"/>
  <c r="AB7" i="4"/>
  <c r="AL6" i="4"/>
  <c r="AG6" i="4"/>
  <c r="AB6" i="4"/>
  <c r="AL5" i="4"/>
  <c r="AG5" i="4"/>
  <c r="AB5" i="4"/>
  <c r="AL4" i="4"/>
  <c r="AG4" i="4"/>
  <c r="AB4" i="4"/>
  <c r="D104" i="17" l="1"/>
  <c r="D73" i="17"/>
  <c r="D56" i="17"/>
  <c r="D68" i="17"/>
  <c r="D80" i="17"/>
  <c r="D51" i="17"/>
  <c r="D99" i="17"/>
  <c r="D22" i="17"/>
  <c r="D7" i="17"/>
  <c r="D19" i="17"/>
  <c r="D31" i="17"/>
  <c r="D43" i="17"/>
  <c r="D55" i="17"/>
  <c r="D67" i="17"/>
  <c r="D79" i="17"/>
  <c r="D91" i="17"/>
  <c r="D103" i="17"/>
  <c r="D21" i="17"/>
  <c r="D33" i="17"/>
  <c r="D45" i="17"/>
  <c r="D57" i="17"/>
  <c r="D69" i="17"/>
  <c r="D81" i="17"/>
  <c r="D93" i="17"/>
  <c r="D105" i="17"/>
  <c r="D10" i="17"/>
  <c r="D34" i="17"/>
  <c r="D46" i="17"/>
  <c r="D58" i="17"/>
  <c r="D70" i="17"/>
  <c r="D82" i="17"/>
  <c r="D94" i="17"/>
  <c r="D106" i="17"/>
  <c r="D5" i="17"/>
  <c r="D17" i="17"/>
  <c r="D29" i="17"/>
  <c r="D41" i="17"/>
  <c r="D53" i="17"/>
  <c r="D65" i="17"/>
  <c r="D77" i="17"/>
  <c r="D89" i="17"/>
  <c r="D12" i="17"/>
  <c r="D24" i="17"/>
  <c r="D36" i="17"/>
  <c r="D48" i="17"/>
  <c r="D60" i="17"/>
  <c r="D72" i="17"/>
  <c r="D84" i="17"/>
  <c r="D96" i="17"/>
  <c r="D101" i="17"/>
  <c r="D108" i="17"/>
  <c r="D14" i="17"/>
  <c r="D26" i="17"/>
  <c r="D38" i="17"/>
  <c r="D50" i="17"/>
  <c r="D62" i="17"/>
  <c r="D74" i="17"/>
  <c r="D86" i="17"/>
  <c r="D98" i="17"/>
  <c r="D9" i="17"/>
  <c r="D16" i="17"/>
  <c r="D40" i="17"/>
  <c r="D28" i="17"/>
  <c r="D11" i="17"/>
  <c r="D23" i="17"/>
  <c r="D35" i="17"/>
  <c r="D47" i="17"/>
  <c r="D59" i="17"/>
  <c r="D64" i="17"/>
  <c r="D71" i="17"/>
  <c r="D76" i="17"/>
  <c r="D83" i="17"/>
  <c r="D88" i="17"/>
  <c r="D95" i="17"/>
  <c r="D100" i="17"/>
  <c r="D107" i="17"/>
  <c r="D52" i="17"/>
  <c r="D6" i="17"/>
  <c r="D18" i="17"/>
  <c r="D30" i="17"/>
  <c r="D42" i="17"/>
  <c r="D54" i="17"/>
  <c r="D66" i="17"/>
  <c r="D78" i="17"/>
  <c r="D90" i="17"/>
  <c r="D8" i="17"/>
  <c r="D20" i="17"/>
  <c r="D32" i="17"/>
  <c r="D44" i="17"/>
  <c r="D85" i="17"/>
  <c r="D97" i="17"/>
  <c r="D102" i="17"/>
  <c r="D15" i="17"/>
  <c r="D27" i="17"/>
  <c r="D39" i="17"/>
  <c r="D4" i="17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S87" i="15" l="1"/>
  <c r="N87" i="15"/>
  <c r="I87" i="15"/>
  <c r="D87" i="15" s="1"/>
  <c r="S86" i="15"/>
  <c r="N86" i="15"/>
  <c r="I86" i="15"/>
  <c r="D86" i="15" s="1"/>
  <c r="E86" i="15"/>
  <c r="S85" i="15"/>
  <c r="D85" i="15" s="1"/>
  <c r="N85" i="15"/>
  <c r="I85" i="15"/>
  <c r="E85" i="15"/>
  <c r="S84" i="15"/>
  <c r="N84" i="15"/>
  <c r="I84" i="15"/>
  <c r="D84" i="15" s="1"/>
  <c r="S83" i="15"/>
  <c r="N83" i="15"/>
  <c r="D83" i="15" s="1"/>
  <c r="I83" i="15"/>
  <c r="E83" i="15"/>
  <c r="S82" i="15"/>
  <c r="N82" i="15"/>
  <c r="I82" i="15"/>
  <c r="D82" i="15" s="1"/>
  <c r="E82" i="15"/>
  <c r="S81" i="15"/>
  <c r="D81" i="15" s="1"/>
  <c r="N81" i="15"/>
  <c r="I81" i="15"/>
  <c r="S80" i="15"/>
  <c r="N80" i="15"/>
  <c r="I80" i="15"/>
  <c r="D80" i="15" s="1"/>
  <c r="E80" i="15"/>
  <c r="S79" i="15"/>
  <c r="N79" i="15"/>
  <c r="I79" i="15"/>
  <c r="E79" i="15"/>
  <c r="D79" i="15"/>
  <c r="S78" i="15"/>
  <c r="N78" i="15"/>
  <c r="D78" i="15" s="1"/>
  <c r="I78" i="15"/>
  <c r="S77" i="15"/>
  <c r="N77" i="15"/>
  <c r="I77" i="15"/>
  <c r="E77" i="15"/>
  <c r="D77" i="15"/>
  <c r="S76" i="15"/>
  <c r="N76" i="15"/>
  <c r="D76" i="15" s="1"/>
  <c r="I76" i="15"/>
  <c r="E76" i="15"/>
  <c r="S75" i="15"/>
  <c r="N75" i="15"/>
  <c r="I75" i="15"/>
  <c r="D75" i="15" s="1"/>
  <c r="S74" i="15"/>
  <c r="N74" i="15"/>
  <c r="I74" i="15"/>
  <c r="E74" i="15"/>
  <c r="D74" i="15"/>
  <c r="S73" i="15"/>
  <c r="N73" i="15"/>
  <c r="I73" i="15"/>
  <c r="E73" i="15"/>
  <c r="D73" i="15"/>
  <c r="S72" i="15"/>
  <c r="N72" i="15"/>
  <c r="I72" i="15"/>
  <c r="D72" i="15"/>
  <c r="S71" i="15"/>
  <c r="N71" i="15"/>
  <c r="I71" i="15"/>
  <c r="D71" i="15" s="1"/>
  <c r="E71" i="15"/>
  <c r="S70" i="15"/>
  <c r="N70" i="15"/>
  <c r="I70" i="15"/>
  <c r="D70" i="15" s="1"/>
  <c r="E70" i="15"/>
  <c r="S69" i="15"/>
  <c r="N69" i="15"/>
  <c r="I69" i="15"/>
  <c r="D69" i="15" s="1"/>
  <c r="S68" i="15"/>
  <c r="N68" i="15"/>
  <c r="I68" i="15"/>
  <c r="D68" i="15" s="1"/>
  <c r="E68" i="15"/>
  <c r="S67" i="15"/>
  <c r="D67" i="15" s="1"/>
  <c r="N67" i="15"/>
  <c r="I67" i="15"/>
  <c r="E67" i="15"/>
  <c r="S66" i="15"/>
  <c r="N66" i="15"/>
  <c r="I66" i="15"/>
  <c r="D66" i="15" s="1"/>
  <c r="S65" i="15"/>
  <c r="N65" i="15"/>
  <c r="D65" i="15" s="1"/>
  <c r="I65" i="15"/>
  <c r="E65" i="15"/>
  <c r="S64" i="15"/>
  <c r="N64" i="15"/>
  <c r="I64" i="15"/>
  <c r="D64" i="15" s="1"/>
  <c r="E64" i="15"/>
  <c r="S63" i="15"/>
  <c r="D63" i="15" s="1"/>
  <c r="N63" i="15"/>
  <c r="I63" i="15"/>
  <c r="S62" i="15"/>
  <c r="N62" i="15"/>
  <c r="I62" i="15"/>
  <c r="D62" i="15" s="1"/>
  <c r="E62" i="15"/>
  <c r="S61" i="15"/>
  <c r="N61" i="15"/>
  <c r="I61" i="15"/>
  <c r="E61" i="15"/>
  <c r="D61" i="15"/>
  <c r="S60" i="15"/>
  <c r="N60" i="15"/>
  <c r="I60" i="15"/>
  <c r="D60" i="15"/>
  <c r="S59" i="15"/>
  <c r="D59" i="15" s="1"/>
  <c r="N59" i="15"/>
  <c r="I59" i="15"/>
  <c r="E59" i="15"/>
  <c r="S58" i="15"/>
  <c r="N58" i="15"/>
  <c r="D58" i="15" s="1"/>
  <c r="I58" i="15"/>
  <c r="E58" i="15"/>
  <c r="S57" i="15"/>
  <c r="N57" i="15"/>
  <c r="I57" i="15"/>
  <c r="D57" i="15" s="1"/>
  <c r="S56" i="15"/>
  <c r="N56" i="15"/>
  <c r="I56" i="15"/>
  <c r="E56" i="15"/>
  <c r="D56" i="15"/>
  <c r="S55" i="15"/>
  <c r="N55" i="15"/>
  <c r="I55" i="15"/>
  <c r="E55" i="15"/>
  <c r="D55" i="15"/>
  <c r="S54" i="15"/>
  <c r="N54" i="15"/>
  <c r="I54" i="15"/>
  <c r="D54" i="15"/>
  <c r="S53" i="15"/>
  <c r="N53" i="15"/>
  <c r="I53" i="15"/>
  <c r="D53" i="15" s="1"/>
  <c r="E53" i="15"/>
  <c r="S52" i="15"/>
  <c r="N52" i="15"/>
  <c r="I52" i="15"/>
  <c r="D52" i="15" s="1"/>
  <c r="E52" i="15"/>
  <c r="S51" i="15"/>
  <c r="N51" i="15"/>
  <c r="I51" i="15"/>
  <c r="D51" i="15" s="1"/>
  <c r="S50" i="15"/>
  <c r="N50" i="15"/>
  <c r="I50" i="15"/>
  <c r="D50" i="15" s="1"/>
  <c r="E50" i="15"/>
  <c r="S49" i="15"/>
  <c r="D49" i="15" s="1"/>
  <c r="N49" i="15"/>
  <c r="I49" i="15"/>
  <c r="E49" i="15"/>
  <c r="S48" i="15"/>
  <c r="N48" i="15"/>
  <c r="I48" i="15"/>
  <c r="D48" i="15" s="1"/>
  <c r="S47" i="15"/>
  <c r="N47" i="15"/>
  <c r="D47" i="15" s="1"/>
  <c r="I47" i="15"/>
  <c r="E47" i="15"/>
  <c r="S46" i="15"/>
  <c r="N46" i="15"/>
  <c r="I46" i="15"/>
  <c r="D46" i="15" s="1"/>
  <c r="E46" i="15"/>
  <c r="S45" i="15"/>
  <c r="N45" i="15"/>
  <c r="I45" i="15"/>
  <c r="D45" i="15"/>
  <c r="S44" i="15"/>
  <c r="N44" i="15"/>
  <c r="I44" i="15"/>
  <c r="D44" i="15" s="1"/>
  <c r="E44" i="15"/>
  <c r="S43" i="15"/>
  <c r="N43" i="15"/>
  <c r="I43" i="15"/>
  <c r="E43" i="15"/>
  <c r="D43" i="15"/>
  <c r="S42" i="15"/>
  <c r="N42" i="15"/>
  <c r="I42" i="15"/>
  <c r="D42" i="15"/>
  <c r="S41" i="15"/>
  <c r="D41" i="15" s="1"/>
  <c r="N41" i="15"/>
  <c r="I41" i="15"/>
  <c r="E41" i="15"/>
  <c r="S40" i="15"/>
  <c r="N40" i="15"/>
  <c r="D40" i="15" s="1"/>
  <c r="I40" i="15"/>
  <c r="E40" i="15"/>
  <c r="S39" i="15"/>
  <c r="N39" i="15"/>
  <c r="I39" i="15"/>
  <c r="D39" i="15" s="1"/>
  <c r="S38" i="15"/>
  <c r="N38" i="15"/>
  <c r="I38" i="15"/>
  <c r="E38" i="15"/>
  <c r="D38" i="15"/>
  <c r="S37" i="15"/>
  <c r="N37" i="15"/>
  <c r="I37" i="15"/>
  <c r="E37" i="15"/>
  <c r="D37" i="15"/>
  <c r="S36" i="15"/>
  <c r="N36" i="15"/>
  <c r="I36" i="15"/>
  <c r="D36" i="15"/>
  <c r="S35" i="15"/>
  <c r="N35" i="15"/>
  <c r="I35" i="15"/>
  <c r="D35" i="15" s="1"/>
  <c r="E35" i="15"/>
  <c r="S34" i="15"/>
  <c r="N34" i="15"/>
  <c r="I34" i="15"/>
  <c r="D34" i="15" s="1"/>
  <c r="E34" i="15"/>
  <c r="S33" i="15"/>
  <c r="N33" i="15"/>
  <c r="I33" i="15"/>
  <c r="D33" i="15" s="1"/>
  <c r="S32" i="15"/>
  <c r="N32" i="15"/>
  <c r="I32" i="15"/>
  <c r="D32" i="15" s="1"/>
  <c r="E32" i="15"/>
  <c r="S31" i="15"/>
  <c r="D31" i="15" s="1"/>
  <c r="N31" i="15"/>
  <c r="I31" i="15"/>
  <c r="E31" i="15"/>
  <c r="S30" i="15"/>
  <c r="N30" i="15"/>
  <c r="I30" i="15"/>
  <c r="D30" i="15"/>
  <c r="S29" i="15"/>
  <c r="N29" i="15"/>
  <c r="D29" i="15" s="1"/>
  <c r="I29" i="15"/>
  <c r="E29" i="15"/>
  <c r="S28" i="15"/>
  <c r="N28" i="15"/>
  <c r="I28" i="15"/>
  <c r="D28" i="15" s="1"/>
  <c r="E28" i="15"/>
  <c r="S27" i="15"/>
  <c r="N27" i="15"/>
  <c r="D27" i="15" s="1"/>
  <c r="I27" i="15"/>
  <c r="S26" i="15"/>
  <c r="N26" i="15"/>
  <c r="I26" i="15"/>
  <c r="D26" i="15" s="1"/>
  <c r="E26" i="15"/>
  <c r="S25" i="15"/>
  <c r="N25" i="15"/>
  <c r="I25" i="15"/>
  <c r="E25" i="15"/>
  <c r="D25" i="15"/>
  <c r="S24" i="15"/>
  <c r="N24" i="15"/>
  <c r="I24" i="15"/>
  <c r="D24" i="15"/>
  <c r="S23" i="15"/>
  <c r="N23" i="15"/>
  <c r="I23" i="15"/>
  <c r="D23" i="15"/>
  <c r="S22" i="15"/>
  <c r="N22" i="15"/>
  <c r="I22" i="15"/>
  <c r="D22" i="15" s="1"/>
  <c r="S21" i="15"/>
  <c r="N21" i="15"/>
  <c r="I21" i="15"/>
  <c r="D21" i="15" s="1"/>
  <c r="S20" i="15"/>
  <c r="N20" i="15"/>
  <c r="I20" i="15"/>
  <c r="D20" i="15"/>
  <c r="S19" i="15"/>
  <c r="N19" i="15"/>
  <c r="I19" i="15"/>
  <c r="D19" i="15"/>
  <c r="S18" i="15"/>
  <c r="N18" i="15"/>
  <c r="I18" i="15"/>
  <c r="D18" i="15"/>
  <c r="S17" i="15"/>
  <c r="N17" i="15"/>
  <c r="I17" i="15"/>
  <c r="D17" i="15" s="1"/>
  <c r="S16" i="15"/>
  <c r="N16" i="15"/>
  <c r="I16" i="15"/>
  <c r="D16" i="15" s="1"/>
  <c r="S15" i="15"/>
  <c r="N15" i="15"/>
  <c r="I15" i="15"/>
  <c r="D15" i="15" s="1"/>
  <c r="S14" i="15"/>
  <c r="N14" i="15"/>
  <c r="I14" i="15"/>
  <c r="D14" i="15" s="1"/>
  <c r="S13" i="15"/>
  <c r="D13" i="15" s="1"/>
  <c r="N13" i="15"/>
  <c r="I13" i="15"/>
  <c r="S12" i="15"/>
  <c r="N12" i="15"/>
  <c r="I12" i="15"/>
  <c r="D12" i="15"/>
  <c r="S11" i="15"/>
  <c r="N11" i="15"/>
  <c r="D11" i="15" s="1"/>
  <c r="I11" i="15"/>
  <c r="S10" i="15"/>
  <c r="N10" i="15"/>
  <c r="I10" i="15"/>
  <c r="D10" i="15" s="1"/>
  <c r="S9" i="15"/>
  <c r="N9" i="15"/>
  <c r="D9" i="15" s="1"/>
  <c r="I9" i="15"/>
  <c r="S8" i="15"/>
  <c r="N8" i="15"/>
  <c r="I8" i="15"/>
  <c r="D8" i="15" s="1"/>
  <c r="S7" i="15"/>
  <c r="N7" i="15"/>
  <c r="I7" i="15"/>
  <c r="D7" i="15"/>
  <c r="S6" i="15"/>
  <c r="N6" i="15"/>
  <c r="I6" i="15"/>
  <c r="D6" i="15"/>
  <c r="S5" i="15"/>
  <c r="D5" i="15" s="1"/>
  <c r="N5" i="15"/>
  <c r="I5" i="15"/>
  <c r="S4" i="15"/>
  <c r="N4" i="15"/>
  <c r="I4" i="15"/>
  <c r="D4" i="15" s="1"/>
  <c r="R87" i="4"/>
  <c r="M87" i="4"/>
  <c r="H87" i="4"/>
  <c r="R86" i="4"/>
  <c r="M86" i="4"/>
  <c r="H86" i="4"/>
  <c r="R85" i="4"/>
  <c r="M85" i="4"/>
  <c r="H85" i="4"/>
  <c r="D85" i="4" s="1"/>
  <c r="R84" i="4"/>
  <c r="M84" i="4"/>
  <c r="H84" i="4"/>
  <c r="D84" i="4" s="1"/>
  <c r="R83" i="4"/>
  <c r="M83" i="4"/>
  <c r="H83" i="4"/>
  <c r="R82" i="4"/>
  <c r="M82" i="4"/>
  <c r="H82" i="4"/>
  <c r="R81" i="4"/>
  <c r="M81" i="4"/>
  <c r="H81" i="4"/>
  <c r="D81" i="4" s="1"/>
  <c r="R80" i="4"/>
  <c r="M80" i="4"/>
  <c r="H80" i="4"/>
  <c r="D80" i="4" s="1"/>
  <c r="R79" i="4"/>
  <c r="M79" i="4"/>
  <c r="H79" i="4"/>
  <c r="R78" i="4"/>
  <c r="M78" i="4"/>
  <c r="H78" i="4"/>
  <c r="R77" i="4"/>
  <c r="M77" i="4"/>
  <c r="H77" i="4"/>
  <c r="D77" i="4" s="1"/>
  <c r="R76" i="4"/>
  <c r="M76" i="4"/>
  <c r="H76" i="4"/>
  <c r="D76" i="4" s="1"/>
  <c r="R75" i="4"/>
  <c r="M75" i="4"/>
  <c r="D75" i="4" s="1"/>
  <c r="H75" i="4"/>
  <c r="R74" i="4"/>
  <c r="M74" i="4"/>
  <c r="H74" i="4"/>
  <c r="R73" i="4"/>
  <c r="M73" i="4"/>
  <c r="H73" i="4"/>
  <c r="R72" i="4"/>
  <c r="M72" i="4"/>
  <c r="H72" i="4"/>
  <c r="D72" i="4" s="1"/>
  <c r="R71" i="4"/>
  <c r="M71" i="4"/>
  <c r="H71" i="4"/>
  <c r="R70" i="4"/>
  <c r="M70" i="4"/>
  <c r="H70" i="4"/>
  <c r="R69" i="4"/>
  <c r="M69" i="4"/>
  <c r="H69" i="4"/>
  <c r="D69" i="4" s="1"/>
  <c r="R68" i="4"/>
  <c r="M68" i="4"/>
  <c r="H68" i="4"/>
  <c r="D68" i="4" s="1"/>
  <c r="R67" i="4"/>
  <c r="M67" i="4"/>
  <c r="H67" i="4"/>
  <c r="R66" i="4"/>
  <c r="M66" i="4"/>
  <c r="H66" i="4"/>
  <c r="R65" i="4"/>
  <c r="M65" i="4"/>
  <c r="H65" i="4"/>
  <c r="D65" i="4" s="1"/>
  <c r="R64" i="4"/>
  <c r="M64" i="4"/>
  <c r="H64" i="4"/>
  <c r="D64" i="4" s="1"/>
  <c r="R63" i="4"/>
  <c r="M63" i="4"/>
  <c r="H63" i="4"/>
  <c r="R62" i="4"/>
  <c r="M62" i="4"/>
  <c r="H62" i="4"/>
  <c r="R61" i="4"/>
  <c r="M61" i="4"/>
  <c r="H61" i="4"/>
  <c r="R60" i="4"/>
  <c r="M60" i="4"/>
  <c r="H60" i="4"/>
  <c r="R59" i="4"/>
  <c r="M59" i="4"/>
  <c r="H59" i="4"/>
  <c r="R58" i="4"/>
  <c r="M58" i="4"/>
  <c r="H58" i="4"/>
  <c r="R57" i="4"/>
  <c r="M57" i="4"/>
  <c r="H57" i="4"/>
  <c r="R56" i="4"/>
  <c r="M56" i="4"/>
  <c r="H56" i="4"/>
  <c r="R55" i="4"/>
  <c r="M55" i="4"/>
  <c r="H55" i="4"/>
  <c r="R54" i="4"/>
  <c r="M54" i="4"/>
  <c r="H54" i="4"/>
  <c r="R53" i="4"/>
  <c r="M53" i="4"/>
  <c r="H53" i="4"/>
  <c r="R52" i="4"/>
  <c r="M52" i="4"/>
  <c r="H52" i="4"/>
  <c r="R51" i="4"/>
  <c r="M51" i="4"/>
  <c r="H51" i="4"/>
  <c r="R50" i="4"/>
  <c r="M50" i="4"/>
  <c r="H50" i="4"/>
  <c r="R49" i="4"/>
  <c r="M49" i="4"/>
  <c r="H49" i="4"/>
  <c r="R48" i="4"/>
  <c r="M48" i="4"/>
  <c r="H48" i="4"/>
  <c r="R47" i="4"/>
  <c r="M47" i="4"/>
  <c r="H47" i="4"/>
  <c r="R46" i="4"/>
  <c r="M46" i="4"/>
  <c r="H46" i="4"/>
  <c r="R45" i="4"/>
  <c r="M45" i="4"/>
  <c r="H45" i="4"/>
  <c r="R44" i="4"/>
  <c r="M44" i="4"/>
  <c r="H44" i="4"/>
  <c r="R43" i="4"/>
  <c r="M43" i="4"/>
  <c r="H43" i="4"/>
  <c r="R42" i="4"/>
  <c r="M42" i="4"/>
  <c r="H42" i="4"/>
  <c r="R41" i="4"/>
  <c r="M41" i="4"/>
  <c r="H41" i="4"/>
  <c r="R40" i="4"/>
  <c r="M40" i="4"/>
  <c r="H40" i="4"/>
  <c r="R39" i="4"/>
  <c r="M39" i="4"/>
  <c r="H39" i="4"/>
  <c r="R38" i="4"/>
  <c r="M38" i="4"/>
  <c r="H38" i="4"/>
  <c r="R37" i="4"/>
  <c r="M37" i="4"/>
  <c r="H37" i="4"/>
  <c r="R36" i="4"/>
  <c r="M36" i="4"/>
  <c r="H36" i="4"/>
  <c r="R35" i="4"/>
  <c r="M35" i="4"/>
  <c r="H35" i="4"/>
  <c r="R34" i="4"/>
  <c r="M34" i="4"/>
  <c r="H34" i="4"/>
  <c r="R33" i="4"/>
  <c r="M33" i="4"/>
  <c r="H33" i="4"/>
  <c r="R32" i="4"/>
  <c r="M32" i="4"/>
  <c r="H32" i="4"/>
  <c r="R31" i="4"/>
  <c r="M31" i="4"/>
  <c r="H31" i="4"/>
  <c r="R30" i="4"/>
  <c r="M30" i="4"/>
  <c r="H30" i="4"/>
  <c r="R29" i="4"/>
  <c r="M29" i="4"/>
  <c r="H29" i="4"/>
  <c r="R28" i="4"/>
  <c r="M28" i="4"/>
  <c r="H28" i="4"/>
  <c r="R27" i="4"/>
  <c r="M27" i="4"/>
  <c r="H27" i="4"/>
  <c r="R26" i="4"/>
  <c r="M26" i="4"/>
  <c r="H26" i="4"/>
  <c r="R25" i="4"/>
  <c r="M25" i="4"/>
  <c r="H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H24" i="4"/>
  <c r="D24" i="4" s="1"/>
  <c r="H23" i="4"/>
  <c r="H22" i="4"/>
  <c r="H21" i="4"/>
  <c r="H20" i="4"/>
  <c r="H19" i="4"/>
  <c r="H18" i="4"/>
  <c r="H17" i="4"/>
  <c r="H16" i="4"/>
  <c r="H15" i="4"/>
  <c r="H14" i="4"/>
  <c r="D14" i="4" s="1"/>
  <c r="H13" i="4"/>
  <c r="D13" i="4" s="1"/>
  <c r="H12" i="4"/>
  <c r="D12" i="4" s="1"/>
  <c r="H11" i="4"/>
  <c r="H10" i="4"/>
  <c r="H9" i="4"/>
  <c r="H8" i="4"/>
  <c r="H7" i="4"/>
  <c r="H6" i="4"/>
  <c r="H5" i="4"/>
  <c r="H4" i="4"/>
  <c r="D52" i="4" l="1"/>
  <c r="D53" i="4"/>
  <c r="D67" i="4"/>
  <c r="D71" i="4"/>
  <c r="D79" i="4"/>
  <c r="D83" i="4"/>
  <c r="D87" i="4"/>
  <c r="D15" i="4"/>
  <c r="D4" i="4"/>
  <c r="D6" i="4"/>
  <c r="D73" i="4"/>
  <c r="D17" i="4"/>
  <c r="D7" i="4"/>
  <c r="D16" i="4"/>
  <c r="D5" i="4"/>
  <c r="D19" i="4"/>
  <c r="D20" i="4"/>
  <c r="D21" i="4"/>
  <c r="D10" i="4"/>
  <c r="D22" i="4"/>
  <c r="D54" i="4"/>
  <c r="D66" i="4"/>
  <c r="D70" i="4"/>
  <c r="D78" i="4"/>
  <c r="D82" i="4"/>
  <c r="D86" i="4"/>
  <c r="D18" i="4"/>
  <c r="D8" i="4"/>
  <c r="D9" i="4"/>
  <c r="D11" i="4"/>
  <c r="D23" i="4"/>
  <c r="D74" i="4"/>
  <c r="D43" i="4"/>
  <c r="D45" i="4"/>
  <c r="D44" i="4"/>
  <c r="D40" i="4"/>
  <c r="D42" i="4"/>
  <c r="D41" i="4"/>
  <c r="D37" i="4"/>
  <c r="D39" i="4"/>
  <c r="D38" i="4"/>
  <c r="D36" i="4"/>
  <c r="D35" i="4"/>
  <c r="D34" i="4"/>
  <c r="D56" i="4"/>
  <c r="D55" i="4"/>
  <c r="D57" i="4"/>
  <c r="D62" i="4"/>
  <c r="D63" i="4"/>
  <c r="D61" i="4"/>
  <c r="D58" i="4"/>
  <c r="D59" i="4"/>
  <c r="D60" i="4"/>
  <c r="D46" i="4"/>
  <c r="D47" i="4"/>
  <c r="D48" i="4"/>
  <c r="D51" i="4"/>
  <c r="D49" i="4"/>
  <c r="D50" i="4"/>
  <c r="D33" i="4"/>
  <c r="D32" i="4"/>
  <c r="D31" i="4"/>
  <c r="D30" i="4"/>
  <c r="D29" i="4"/>
  <c r="D28" i="4"/>
  <c r="D26" i="4"/>
  <c r="D27" i="4"/>
  <c r="D25" i="4"/>
  <c r="L30" i="1"/>
  <c r="E30" i="1" l="1"/>
  <c r="F30" i="1"/>
  <c r="E37" i="4" s="1"/>
  <c r="G30" i="1"/>
  <c r="H30" i="1"/>
  <c r="K31" i="1"/>
  <c r="L31" i="1" s="1"/>
  <c r="E31" i="1" s="1"/>
  <c r="K27" i="1"/>
  <c r="L27" i="1" s="1"/>
  <c r="K26" i="1"/>
  <c r="L26" i="1" s="1"/>
  <c r="G26" i="1" s="1"/>
  <c r="J22" i="1"/>
  <c r="J21" i="1"/>
  <c r="J19" i="1"/>
  <c r="J18" i="1"/>
  <c r="G26" i="2"/>
  <c r="C26" i="2"/>
  <c r="H26" i="2"/>
  <c r="D26" i="2"/>
  <c r="B5" i="1"/>
  <c r="E58" i="17" l="1"/>
  <c r="E61" i="17"/>
  <c r="E46" i="17"/>
  <c r="E64" i="17"/>
  <c r="E49" i="17"/>
  <c r="E52" i="17"/>
  <c r="E55" i="17"/>
  <c r="E23" i="4"/>
  <c r="E8" i="4"/>
  <c r="E77" i="4"/>
  <c r="E11" i="4"/>
  <c r="E5" i="4"/>
  <c r="E14" i="4"/>
  <c r="E17" i="4"/>
  <c r="E20" i="4"/>
  <c r="E11" i="15"/>
  <c r="E14" i="15"/>
  <c r="E23" i="15"/>
  <c r="E8" i="15"/>
  <c r="E20" i="15"/>
  <c r="E17" i="15"/>
  <c r="E5" i="15"/>
  <c r="E79" i="4"/>
  <c r="E82" i="4"/>
  <c r="E76" i="4"/>
  <c r="E73" i="4"/>
  <c r="E85" i="4"/>
  <c r="E70" i="4"/>
  <c r="E67" i="4"/>
  <c r="E49" i="4"/>
  <c r="E64" i="4"/>
  <c r="E46" i="4"/>
  <c r="E61" i="4"/>
  <c r="E58" i="4"/>
  <c r="E55" i="4"/>
  <c r="E52" i="4"/>
  <c r="E34" i="4"/>
  <c r="E31" i="4"/>
  <c r="E28" i="4"/>
  <c r="E43" i="4"/>
  <c r="E40" i="4"/>
  <c r="E25" i="4"/>
  <c r="E4" i="4"/>
  <c r="E7" i="4"/>
  <c r="E22" i="4"/>
  <c r="E10" i="4"/>
  <c r="E13" i="4"/>
  <c r="E19" i="4"/>
  <c r="E16" i="4"/>
  <c r="E7" i="15"/>
  <c r="E22" i="15"/>
  <c r="E19" i="15"/>
  <c r="E13" i="15"/>
  <c r="E10" i="15"/>
  <c r="E4" i="15"/>
  <c r="E16" i="15"/>
  <c r="J30" i="1"/>
  <c r="F31" i="1"/>
  <c r="G31" i="1"/>
  <c r="H31" i="1"/>
  <c r="I27" i="1"/>
  <c r="G27" i="1"/>
  <c r="H27" i="1"/>
  <c r="F27" i="1"/>
  <c r="E27" i="1"/>
  <c r="F26" i="1"/>
  <c r="H26" i="1"/>
  <c r="I26" i="1"/>
  <c r="E26" i="1"/>
  <c r="D13" i="2"/>
  <c r="D21" i="2"/>
  <c r="D17" i="2"/>
  <c r="D9" i="2"/>
  <c r="D5" i="2"/>
  <c r="H5" i="2"/>
  <c r="H21" i="2"/>
  <c r="H13" i="2"/>
  <c r="H17" i="2"/>
  <c r="H9" i="2"/>
  <c r="E5" i="17" l="1"/>
  <c r="E8" i="17"/>
  <c r="E20" i="17"/>
  <c r="E11" i="17"/>
  <c r="E14" i="17"/>
  <c r="E17" i="17"/>
  <c r="E23" i="17"/>
  <c r="E35" i="17"/>
  <c r="E38" i="17"/>
  <c r="E41" i="17"/>
  <c r="E44" i="17"/>
  <c r="E26" i="17"/>
  <c r="E29" i="17"/>
  <c r="E32" i="17"/>
  <c r="E83" i="17"/>
  <c r="E86" i="17"/>
  <c r="E68" i="17"/>
  <c r="E71" i="17"/>
  <c r="E74" i="17"/>
  <c r="E77" i="17"/>
  <c r="E80" i="17"/>
  <c r="E47" i="17"/>
  <c r="E50" i="17"/>
  <c r="E53" i="17"/>
  <c r="E56" i="17"/>
  <c r="E59" i="17"/>
  <c r="E62" i="17"/>
  <c r="E65" i="17"/>
  <c r="E89" i="17"/>
  <c r="E92" i="17"/>
  <c r="E95" i="17"/>
  <c r="E101" i="17"/>
  <c r="E104" i="17"/>
  <c r="E107" i="17"/>
  <c r="E98" i="17"/>
  <c r="E106" i="17"/>
  <c r="E88" i="17"/>
  <c r="E91" i="17"/>
  <c r="E94" i="17"/>
  <c r="E97" i="17"/>
  <c r="E100" i="17"/>
  <c r="E103" i="17"/>
  <c r="E10" i="17"/>
  <c r="E13" i="17"/>
  <c r="E16" i="17"/>
  <c r="E19" i="17"/>
  <c r="E4" i="17"/>
  <c r="E22" i="17"/>
  <c r="E7" i="17"/>
  <c r="E67" i="17"/>
  <c r="E85" i="17"/>
  <c r="E70" i="17"/>
  <c r="E73" i="17"/>
  <c r="E76" i="17"/>
  <c r="E79" i="17"/>
  <c r="E82" i="17"/>
  <c r="E37" i="17"/>
  <c r="E40" i="17"/>
  <c r="E25" i="17"/>
  <c r="E43" i="17"/>
  <c r="E28" i="17"/>
  <c r="E34" i="17"/>
  <c r="E31" i="17"/>
  <c r="E83" i="4"/>
  <c r="E71" i="4"/>
  <c r="E80" i="4"/>
  <c r="E74" i="4"/>
  <c r="E68" i="4"/>
  <c r="E86" i="4"/>
  <c r="E47" i="4"/>
  <c r="E62" i="4"/>
  <c r="E59" i="4"/>
  <c r="E53" i="4"/>
  <c r="E50" i="4"/>
  <c r="E65" i="4"/>
  <c r="E56" i="4"/>
  <c r="E32" i="4"/>
  <c r="E38" i="4"/>
  <c r="E29" i="4"/>
  <c r="E26" i="4"/>
  <c r="E44" i="4"/>
  <c r="E35" i="4"/>
  <c r="E41" i="4"/>
  <c r="J26" i="1"/>
  <c r="J31" i="1"/>
  <c r="J27" i="1"/>
</calcChain>
</file>

<file path=xl/sharedStrings.xml><?xml version="1.0" encoding="utf-8"?>
<sst xmlns="http://schemas.openxmlformats.org/spreadsheetml/2006/main" count="8700" uniqueCount="1888">
  <si>
    <t>减脂方案</t>
  </si>
  <si>
    <t>性别</t>
  </si>
  <si>
    <t>男</t>
  </si>
  <si>
    <t>身高(cm)</t>
  </si>
  <si>
    <t>BMI</t>
  </si>
  <si>
    <t>阶段目标</t>
  </si>
  <si>
    <t>减到何时</t>
  </si>
  <si>
    <t>力训基础</t>
  </si>
  <si>
    <t>力训时间</t>
  </si>
  <si>
    <t>碳水</t>
  </si>
  <si>
    <t>蛋白质</t>
  </si>
  <si>
    <t>力训日配额</t>
  </si>
  <si>
    <t>休息日配额</t>
  </si>
  <si>
    <t>空</t>
  </si>
  <si>
    <t>脂肪</t>
  </si>
  <si>
    <t>力训日</t>
  </si>
  <si>
    <t>休息日</t>
  </si>
  <si>
    <t>运动方案</t>
  </si>
  <si>
    <t>男性</t>
  </si>
  <si>
    <t>碳水：第一个数字  蛋白质：第二个数字  单位：每公斤体重的日摄入量</t>
  </si>
  <si>
    <t>160cm</t>
  </si>
  <si>
    <t>165cm</t>
  </si>
  <si>
    <t>170cm</t>
  </si>
  <si>
    <t>175cm</t>
  </si>
  <si>
    <t>180cm</t>
  </si>
  <si>
    <t>185cm</t>
  </si>
  <si>
    <t>190cm</t>
  </si>
  <si>
    <t>60kg</t>
  </si>
  <si>
    <t>2.7/1.7</t>
  </si>
  <si>
    <t>2.9/1.7</t>
  </si>
  <si>
    <t>2.2/1.7</t>
  </si>
  <si>
    <t>2.3/1.7</t>
  </si>
  <si>
    <t>65kg</t>
  </si>
  <si>
    <t>2.6/1.6</t>
  </si>
  <si>
    <t>2.7/1.6</t>
  </si>
  <si>
    <t>2.8/1.7</t>
  </si>
  <si>
    <t>2.1/1.6</t>
  </si>
  <si>
    <t>2.2/1.6</t>
  </si>
  <si>
    <t>70kg</t>
  </si>
  <si>
    <t>2.5/1.5</t>
  </si>
  <si>
    <t>2.6/1.5</t>
  </si>
  <si>
    <t>2.8/1.6</t>
  </si>
  <si>
    <t>1.0/1.5</t>
  </si>
  <si>
    <t>2.1/1.5</t>
  </si>
  <si>
    <t>2.3/1.6</t>
  </si>
  <si>
    <t>75kg</t>
  </si>
  <si>
    <t>2.4/1.4</t>
  </si>
  <si>
    <t>2.5/1.4</t>
  </si>
  <si>
    <t>2.7/1.5</t>
  </si>
  <si>
    <t>1.9/1.4</t>
  </si>
  <si>
    <t>2.0/1.4</t>
  </si>
  <si>
    <t>2.2/1.5</t>
  </si>
  <si>
    <t>80kg</t>
  </si>
  <si>
    <t>2.3/1.3</t>
  </si>
  <si>
    <t>2.8/1.5</t>
  </si>
  <si>
    <t>1.8/1.3</t>
  </si>
  <si>
    <t>2.3/1.5</t>
  </si>
  <si>
    <t>85kg</t>
  </si>
  <si>
    <t>2.2/1.3</t>
  </si>
  <si>
    <t>2.6/1.4</t>
  </si>
  <si>
    <t>1.9/1.3</t>
  </si>
  <si>
    <t>2.1/1.4</t>
  </si>
  <si>
    <t>90kg</t>
  </si>
  <si>
    <t>2.2/1.2</t>
  </si>
  <si>
    <t>2.4/1.3</t>
  </si>
  <si>
    <t>2.7/1.4</t>
  </si>
  <si>
    <t>1.7/1.2</t>
  </si>
  <si>
    <t>1.0/1.3</t>
  </si>
  <si>
    <t>2.2/1.4</t>
  </si>
  <si>
    <t>95kg</t>
  </si>
  <si>
    <t>2.1/1.2</t>
  </si>
  <si>
    <t>2.3/1.2</t>
  </si>
  <si>
    <t>2.5/1.3</t>
  </si>
  <si>
    <t>1.8/1.2</t>
  </si>
  <si>
    <t>100kg</t>
  </si>
  <si>
    <t>2.0/1.1</t>
  </si>
  <si>
    <t>2.6/1.3</t>
  </si>
  <si>
    <t>1.6/1.1</t>
  </si>
  <si>
    <t>2.0/1.3</t>
  </si>
  <si>
    <t>105kg</t>
  </si>
  <si>
    <t>2.1/1.1</t>
  </si>
  <si>
    <t>1.7/1.1</t>
  </si>
  <si>
    <t>1.9/1.2</t>
  </si>
  <si>
    <t>110kg</t>
  </si>
  <si>
    <t>1.9/1.1</t>
  </si>
  <si>
    <t>2.4/1.2</t>
  </si>
  <si>
    <t>115kg</t>
  </si>
  <si>
    <t>1.9/1.0</t>
  </si>
  <si>
    <t>2.2/1.1</t>
  </si>
  <si>
    <t>1.5/1.0</t>
  </si>
  <si>
    <t>1.8/1.1</t>
  </si>
  <si>
    <t>120kg</t>
  </si>
  <si>
    <t>1.6/1.0</t>
  </si>
  <si>
    <t>125kg</t>
  </si>
  <si>
    <t>2.9/1.0</t>
  </si>
  <si>
    <t>130kg</t>
  </si>
  <si>
    <t>2.0/1.0</t>
  </si>
  <si>
    <t>135kg</t>
  </si>
  <si>
    <t>2.1/1.0</t>
  </si>
  <si>
    <t>1.7/1.0</t>
  </si>
  <si>
    <t>140kg</t>
  </si>
  <si>
    <t>调整因素：默认肌肉量一般，如果肌肉量不错，左表碳水+5%，两表蛋白质+20%</t>
  </si>
  <si>
    <t>调整因素：默认不做有氧或每周一小时有氧，每周3小时以上有氧者，两表碳水+20%</t>
  </si>
  <si>
    <t>女性</t>
  </si>
  <si>
    <t>145cm</t>
  </si>
  <si>
    <t>150cm</t>
  </si>
  <si>
    <t>155cm</t>
  </si>
  <si>
    <t>50kg</t>
  </si>
  <si>
    <t>2.4/1.7</t>
  </si>
  <si>
    <t>2.0/1.7</t>
  </si>
  <si>
    <t>55kg</t>
  </si>
  <si>
    <t>1.9/1.5</t>
  </si>
  <si>
    <t>2.0/1.6</t>
  </si>
  <si>
    <t>2.5/1.6</t>
  </si>
  <si>
    <t>1.8/1.4</t>
  </si>
  <si>
    <t>2.0/1.5</t>
  </si>
  <si>
    <t>2.3/1.4</t>
  </si>
  <si>
    <t>2.4/1.5</t>
  </si>
  <si>
    <t>1.7/1.3</t>
  </si>
  <si>
    <t>2.1/1.3</t>
  </si>
  <si>
    <t>1.6/1.2</t>
  </si>
  <si>
    <t>2.0/1.2</t>
  </si>
  <si>
    <t>1.0/1.2</t>
  </si>
  <si>
    <t>1.5/1.1</t>
  </si>
  <si>
    <t>1.8/1.0</t>
  </si>
  <si>
    <t>1.4/1.0</t>
  </si>
  <si>
    <t>早饭</t>
  </si>
  <si>
    <t>大</t>
  </si>
  <si>
    <t>练前餐</t>
  </si>
  <si>
    <t>概</t>
  </si>
  <si>
    <t>午饭</t>
  </si>
  <si>
    <t>练后餐</t>
  </si>
  <si>
    <t>分</t>
  </si>
  <si>
    <t>晚饭</t>
  </si>
  <si>
    <t>其它餐</t>
  </si>
  <si>
    <t>摊</t>
  </si>
  <si>
    <t>零食夜宵</t>
  </si>
  <si>
    <t>*不同力训时间的分餐，请看。。。。</t>
  </si>
  <si>
    <t>*零食夜宵可吃可不吃，首选蛋白质食物，计入配额</t>
  </si>
  <si>
    <t>*如果还需要零食夜宵，首选蛋白质食物，计入配额</t>
  </si>
  <si>
    <t>*一日三餐不要合并成一餐或两餐，否则胰岛素升高太剧烈</t>
  </si>
  <si>
    <t>食物12345任选一种，各项都是互相等量的；初期食物称重定量，有能力可目测</t>
  </si>
  <si>
    <t>餐序</t>
  </si>
  <si>
    <t>提醒</t>
  </si>
  <si>
    <t>占比
（%）</t>
  </si>
  <si>
    <t>分量
（g）</t>
  </si>
  <si>
    <t>序号</t>
  </si>
  <si>
    <t>食物种类</t>
  </si>
  <si>
    <t>脂肪不具体计算，按自己情况选择：
*标准模式：正餐吃大众带油菜品（如黄焖鸡，酸菜鱼，鱼香肉丝等）+吃了左侧早饭的蛋黄牛奶=脂肪正好合适
*正餐吃底油无油菜品（如卤肉，轻食，清炒，水煮），问题总汇第三问试算和补足脂肪摄入
*早餐不吃蛋黄牛奶，问题总汇第三问试算和补足脂肪摄入
*基本不吃吸油菜：炒鸡蛋，炒茄子，炒菜花；
*基本不吃五花肉：红烧肉，午餐肉，雪花肉，培根，带皮肉等；
*基本不吃糖油混合物：油条，煎饼，酥饼，饼干，蛋糕，甜品，巧克力，高脂面包等（以上馋了可以浅吃，但不作为经常性食物）</t>
  </si>
  <si>
    <t>首选蛋白质</t>
  </si>
  <si>
    <t>1 最优吃蛋白质：内蒙牛肉干，去皮鸡腿，外卖瘦肉（带油没事）
2 次优吃略有蛋白质的混合物：鸡蛋，鸡蛋干，牛奶，酸奶等
3 其它可选：蔬菜不限，无糖汽水，纯水乐气泡水，低糖巧克力
4 禁止靠纯碳水填肚子：水果，面包，奶茶，米面等（偶尔解馋可以）
5 禁止靠糖油混合物填肚子：饼干，糕点，薯片等（偶尔解馋可以）</t>
  </si>
  <si>
    <t>摄入总量-绝对量</t>
  </si>
  <si>
    <t>脂肪不细算</t>
  </si>
  <si>
    <t>摄入总量-体重倍数</t>
  </si>
  <si>
    <t>备注1 以上举例的主食你要更换的话，就在薄荷健康APP里查出该主食的碳水率，应吃重量=该餐的碳水÷该食物的碳水率；水果也是碳水，所以吃水果也得置换主食，但只能浅吃，否则会果糖超标</t>
  </si>
  <si>
    <t>备注2 主食的饱腹感有区别，上述配额吃起来觉得饿，请选择高饱腹感主食（米饭，燕麦片，燕麦麸，蒸土豆，蒸红薯），吃起来觉得撑，请选择低饱腹感碳水（吐司面包，馒头，面包，营养米粉）</t>
  </si>
  <si>
    <t>力量训练</t>
  </si>
  <si>
    <t>频率</t>
  </si>
  <si>
    <t>每周力量训练3-5次，力训模式和增肌完全相同，随着体重下降会有被动的力量损失，但不要主动降低配重</t>
  </si>
  <si>
    <t>分化</t>
  </si>
  <si>
    <t>三分话或四分化，训练计划请看问题汇总第19,20问答</t>
  </si>
  <si>
    <t>组数</t>
  </si>
  <si>
    <t>20-25组，正式训练一般不超过1.5小时，组间间歇小肌群2分钟，大肌群3分钟，深蹲硬拉等高消耗动作可以3-5分钟</t>
  </si>
  <si>
    <t>配重</t>
  </si>
  <si>
    <t>普通以8-12次力竭为主，卧推、深蹲、硬拉、推举、划船五大项可以有时可做5-8次力竭，不熟悉的新动作可做12-15次力竭来找感觉</t>
  </si>
  <si>
    <t>前中期先不做有氧，用饮食来提供热量缺口，当后期不易降低饮食量（碳水量），再来增加一些有氧，使得饮食量（碳水量）保持一个较高底线</t>
  </si>
  <si>
    <t>心率</t>
  </si>
  <si>
    <t>用数15秒脉搏、运动手表、跑步机把手等方式测下心率，建议每分钟120-150次</t>
  </si>
  <si>
    <t>方式</t>
  </si>
  <si>
    <t>跑步、椭圆仪、单车、跳操、打球、游泳、爬楼梯等均可，管理好心率即可</t>
  </si>
  <si>
    <t>时间点</t>
  </si>
  <si>
    <t>除了饭后有氧容易引起肠胃不适外，休息日的任何时间做有氧均可</t>
  </si>
  <si>
    <t>常见问题解答</t>
  </si>
  <si>
    <t>欺骗餐</t>
  </si>
  <si>
    <t>不需要欺骗餐，因为我给的配额挺高+天天都吃炒菜，伙食不艰苦，所以你不会渴望欺骗餐；有时需要外食时，仍然不要破坏碳蛋脂结构乱吃，请看下一条指导</t>
  </si>
  <si>
    <t>在外就餐</t>
  </si>
  <si>
    <t>在外就餐不影响减脂，桌上摆的还是碳蛋脂，主食和瘦肉量参考你平时的吃法（你会有一个视觉概念 这就是你建立的饮食基线），注意不吃五花肉和糖油混合物</t>
  </si>
  <si>
    <t>有氧不重要</t>
  </si>
  <si>
    <t>减脂所需的热量缺口用饮食是很好提供的，只是普通人不会设计饮食，所以才寄希望于疯狂有氧；有氧只对赛季减脂的后期比较重要，对普通人减脂不重要</t>
  </si>
  <si>
    <t>吃外卖选啥</t>
  </si>
  <si>
    <t>原理还是主食+瘦肉，建议固定几家好知道重量，搜索关键词：翘脚牛肉、牛肉汤、黄焖鸡、酸菜鱼、蒸鸡、烤鸡、窑鸡、鸡腿、沙县</t>
  </si>
  <si>
    <t>方案无效咋办</t>
  </si>
  <si>
    <t>如果你2周体重完全不掉，请看问题汇总第一条来检查，体重必须以1-2周来比较才真实，因为人体含水量波动很大</t>
  </si>
  <si>
    <t>体重大减后重算</t>
  </si>
  <si>
    <t>如果你减脂期体重已经下降了10kg，基础代谢就会随之下降约100-150大卡，原来的热量缺口会逐渐缩小，可以非练后餐里减少30g碳水来保持热量缺口</t>
  </si>
  <si>
    <t>食物碳水量（200g）=所需碳水（60g）/碳水率（30%）</t>
  </si>
  <si>
    <t>GI含义</t>
  </si>
  <si>
    <t>碳水GI是描述该种碳水分解为葡萄糖速度的指数（碳水的快慢）（%为碳水率）
力训日练后餐吃高GI碳水，其它时候随意（不用刻意吃中低GI碳水）</t>
  </si>
  <si>
    <t>高GI碳水</t>
  </si>
  <si>
    <t>生米（75%）
米饭（很软25%一般30%）
米粥（10%左右）
馒头花卷（50%）
白面包（50%）
冲调米粉米糊（80%）
生挂面（75%）
生鲜面（65%）
熟面条（23%）
湿米线（32%）
煮糯玉米（38%）
煮烤红薯（20%）
蒸南瓜（5%）
素食燕麦片（60%）</t>
  </si>
  <si>
    <t>中GI碳水</t>
  </si>
  <si>
    <t>煮甜玉米（18%）
燕麦麸（45%）
蒸烤土豆（18%）
生意大利面（75%）
多数水果（详查APP，水果要计入碳水配额且不能代替主食）</t>
  </si>
  <si>
    <t>低GI碳水</t>
  </si>
  <si>
    <t>干藕粉（90%）
干粉丝（84%）</t>
  </si>
  <si>
    <t>数据查询：1：包装的营养表数据准确 2：单一食物查询APP 3：混合食物必须拆分来查 4：APP里数据矛盾则查电商同类产品</t>
  </si>
  <si>
    <t>生活中基本没有慢碳</t>
  </si>
  <si>
    <t>快碳
（虚假的慢碳）</t>
  </si>
  <si>
    <t>糙米饭（GI高=71）
全麦面包（GI高=74）
素食燕麦片（GI高=83）
煮红薯（GI高=77）
烤红薯（GI高=94）
煮糯玉米（GI高=82）</t>
  </si>
  <si>
    <t>慢碳
（真正的慢碳）</t>
  </si>
  <si>
    <t>藕粉（GI低=33）
红薯粉条（GI低=35）
土豆粉条（GI低=14）</t>
  </si>
  <si>
    <t>影响胰岛素的因素</t>
  </si>
  <si>
    <t>正相关因素</t>
  </si>
  <si>
    <t>除了碳水GI外，还有碳水量、蛋白质量</t>
  </si>
  <si>
    <t>负相关因素</t>
  </si>
  <si>
    <t>纤维素量</t>
  </si>
  <si>
    <t>压制胰岛素</t>
  </si>
  <si>
    <t>管好本餐碳水量+多吃先吃蔬菜菌菇
（但力训后要升高胰岛素，所以碳水量大+吃快碳+少量纤维）</t>
  </si>
  <si>
    <t>食物蛋白质量</t>
  </si>
  <si>
    <t>主要来源</t>
  </si>
  <si>
    <t>一切瘦肉（不吃肥肉、不吃皮）：生肉20% 炒熟25% 卤炖30% 肉干40%
蛋白粉：蛋白质率75-90%</t>
  </si>
  <si>
    <t>辅助来源</t>
  </si>
  <si>
    <t>鸡蛋（蛋清：碳0g 蛋3g 脂0g；蛋黄：碳0g 蛋3g 脂5g；全蛋：碳0g 蛋6g 脂5g）
牛奶（全脂：碳12g 蛋9g 脂9g；低脂：碳12g 蛋9g 脂3g；脱脂：碳12g 蛋9g 脂0g）
豆腐：碳3% 蛋6% 脂5%</t>
  </si>
  <si>
    <t>怎么吃蛋白质</t>
  </si>
  <si>
    <t>2个鸡蛋+1盒牛奶≈20g蛋白质</t>
  </si>
  <si>
    <t>午饭晚饭</t>
  </si>
  <si>
    <t>120g熟瘦肉≈30g蛋白质</t>
  </si>
  <si>
    <t>*炒/卤/凉拌等均可，用油作为脂肪摄入来源（大众菜）</t>
  </si>
  <si>
    <t>*不吃肥肉不吃皮，才能维持脂肪摄入不超标</t>
  </si>
  <si>
    <t>脂肪简化把握</t>
  </si>
  <si>
    <t>细算办法</t>
  </si>
  <si>
    <t>鸡蛋 5g/个；牛奶 9g/盒；包装食品营养表；食堂清淡炒菜 5g油/一人份；食堂重口炒菜 10g油/一人份；一般瘦肉 5%
（去皮禽肉、瘦猪肉）；精瘦肉 2%（鸡胸、牛腱、牛里脊等）</t>
  </si>
  <si>
    <t>简单办法</t>
  </si>
  <si>
    <t>大众带油菜肴（食堂外卖那种）+少量鸡蛋牛奶（如2鸡蛋1牛奶）+瘦肉里自带的微量脂肪+不吃肥肉/糖油混合物=脂肪摄入正好合适</t>
  </si>
  <si>
    <t>固体脂肪</t>
  </si>
  <si>
    <t>肥肉
脂肪率90%</t>
  </si>
  <si>
    <t>培根 午餐肉 红烧肉 雪花肉 五花肉 带皮肉
（脂肪率90%指其肥肉部分）</t>
  </si>
  <si>
    <t>糖油混合物
脂肪率15-40%</t>
  </si>
  <si>
    <t>煎炸：油条 煎饼 煎饺 麻花 麻团 锅盔
膨化：薯条 薯片 虾条 锅巴 雪饼 仙贝
快餐：披萨 汉堡（部分） 方便面（大部分）
其它：辣条 面包（部分） 饼干（大部分）
甜品：蛋糕 蛋挞 蛋卷 可颂 麦芬 月饼 泡芙 慕斯 馅饼 曲奇 椰块 酥饼 甜甜圈 蛋黄派 沙琪玛 马卡龙</t>
  </si>
  <si>
    <t>坚果
脂肪率40-70%</t>
  </si>
  <si>
    <t>瓜子 核桃 花生 坚果 巴旦木 扁桃仁 开心果</t>
  </si>
  <si>
    <t>红薯</t>
  </si>
  <si>
    <t>瘦肉（生）</t>
  </si>
  <si>
    <t>米饭（很软）</t>
  </si>
  <si>
    <t>鲜面（生）</t>
  </si>
  <si>
    <t>土豆</t>
  </si>
  <si>
    <t>瘦肉（煎炒）</t>
  </si>
  <si>
    <t>米饭（一般）</t>
  </si>
  <si>
    <t>面条（熟）</t>
  </si>
  <si>
    <t>甜玉米</t>
  </si>
  <si>
    <t>蛋白粉</t>
  </si>
  <si>
    <t>75-90</t>
  </si>
  <si>
    <t>米粥（加水影响）</t>
  </si>
  <si>
    <t>馒头花卷</t>
  </si>
  <si>
    <t>糯玉米</t>
  </si>
  <si>
    <t>米线米粉（湿）</t>
  </si>
  <si>
    <t>吐司面包</t>
  </si>
  <si>
    <t>冲调米糊（干）</t>
  </si>
  <si>
    <t>燕麦麸（干）</t>
  </si>
  <si>
    <t>广东肠粉</t>
  </si>
  <si>
    <t>素食燕麦片（干）</t>
  </si>
  <si>
    <t>*数据取用：优先用食物包装营养表，非包装食品用本页数据，偏门食品查电商同类产品</t>
  </si>
  <si>
    <t>*水果问题：水果是纯糖（果糖/蔗糖/葡萄糖），碳水率详查APP，要计入碳水配额，且不能代替主食</t>
  </si>
  <si>
    <t>*蔬菜问题：叶菜，菌菇等忽略不计，土豆，玉米，山药，芋头等是主食，要计入碳水配额</t>
  </si>
  <si>
    <t>*吃完就开始练，不需等待休息
*只能吃到五六分饱，全饱无法锻炼</t>
    <phoneticPr fontId="15" type="noConversion"/>
  </si>
  <si>
    <t>休息日饮食</t>
    <phoneticPr fontId="15" type="noConversion"/>
  </si>
  <si>
    <t>零食夜宵</t>
    <phoneticPr fontId="15" type="noConversion"/>
  </si>
  <si>
    <t>力训日饮食</t>
    <phoneticPr fontId="15" type="noConversion"/>
  </si>
  <si>
    <t>早餐</t>
    <phoneticPr fontId="15" type="noConversion"/>
  </si>
  <si>
    <t>午餐=其它餐</t>
    <phoneticPr fontId="15" type="noConversion"/>
  </si>
  <si>
    <t>练前餐</t>
    <phoneticPr fontId="15" type="noConversion"/>
  </si>
  <si>
    <t>晚餐=练后餐</t>
    <phoneticPr fontId="15" type="noConversion"/>
  </si>
  <si>
    <t>碳水</t>
    <phoneticPr fontId="15" type="noConversion"/>
  </si>
  <si>
    <t>分餐</t>
    <phoneticPr fontId="15" type="noConversion"/>
  </si>
  <si>
    <t>大概分摊</t>
    <phoneticPr fontId="15" type="noConversion"/>
  </si>
  <si>
    <t>力训日</t>
    <phoneticPr fontId="15" type="noConversion"/>
  </si>
  <si>
    <t>饮食方案</t>
    <phoneticPr fontId="15" type="noConversion"/>
  </si>
  <si>
    <t>休息日</t>
    <phoneticPr fontId="15" type="noConversion"/>
  </si>
  <si>
    <t>摄入配额</t>
    <phoneticPr fontId="15" type="noConversion"/>
  </si>
  <si>
    <t>碳蛋脂配额</t>
    <phoneticPr fontId="15" type="noConversion"/>
  </si>
  <si>
    <t>调整因素配额</t>
    <phoneticPr fontId="15" type="noConversion"/>
  </si>
  <si>
    <t>食物碳水率/蛋白质率</t>
    <phoneticPr fontId="15" type="noConversion"/>
  </si>
  <si>
    <t>碳水（%）</t>
    <phoneticPr fontId="15" type="noConversion"/>
  </si>
  <si>
    <t>蛋白质（%）</t>
    <phoneticPr fontId="15" type="noConversion"/>
  </si>
  <si>
    <t>碳水（饮食量）</t>
    <phoneticPr fontId="15" type="noConversion"/>
  </si>
  <si>
    <t>蛋白质（饮食量）</t>
    <phoneticPr fontId="15" type="noConversion"/>
  </si>
  <si>
    <t>脂肪（饮食量）</t>
    <phoneticPr fontId="15" type="noConversion"/>
  </si>
  <si>
    <t>脂肪（%）</t>
    <phoneticPr fontId="15" type="noConversion"/>
  </si>
  <si>
    <t>饮食总量</t>
  </si>
  <si>
    <t>脂肪</t>
    <phoneticPr fontId="15" type="noConversion"/>
  </si>
  <si>
    <t>生米</t>
    <phoneticPr fontId="15" type="noConversion"/>
  </si>
  <si>
    <t>捷氏燕麦片</t>
    <phoneticPr fontId="15" type="noConversion"/>
  </si>
  <si>
    <t>挂面（生）</t>
    <phoneticPr fontId="15" type="noConversion"/>
  </si>
  <si>
    <t>藕粉（干）</t>
    <phoneticPr fontId="15" type="noConversion"/>
  </si>
  <si>
    <t>宇粮刀削面（干）</t>
    <phoneticPr fontId="15" type="noConversion"/>
  </si>
  <si>
    <t>有氧方案</t>
    <phoneticPr fontId="15" type="noConversion"/>
  </si>
  <si>
    <t>食物名称</t>
    <phoneticPr fontId="16" type="noConversion"/>
  </si>
  <si>
    <t>食物名</t>
    <phoneticPr fontId="18" type="noConversion"/>
  </si>
  <si>
    <t>地区</t>
    <phoneticPr fontId="18" type="noConversion"/>
  </si>
  <si>
    <t>可食部分</t>
  </si>
  <si>
    <t>能量</t>
  </si>
  <si>
    <t>水分</t>
  </si>
  <si>
    <t>膳食纤维</t>
  </si>
  <si>
    <t>碳水化物</t>
  </si>
  <si>
    <t>视黄醇当量</t>
  </si>
  <si>
    <t>硫胺素(VB1)</t>
    <phoneticPr fontId="18" type="noConversion"/>
  </si>
  <si>
    <t>核黄素(VB2)</t>
    <phoneticPr fontId="18" type="noConversion"/>
  </si>
  <si>
    <t>尼克酸
(烟酸,
VPP)</t>
    <phoneticPr fontId="18" type="noConversion"/>
  </si>
  <si>
    <t>维生素E</t>
  </si>
  <si>
    <t>钠</t>
  </si>
  <si>
    <t>钙</t>
  </si>
  <si>
    <t>铁</t>
  </si>
  <si>
    <t>类别</t>
  </si>
  <si>
    <t>抗坏血酸(VC)</t>
    <phoneticPr fontId="18" type="noConversion"/>
  </si>
  <si>
    <t>类</t>
  </si>
  <si>
    <t>胆固醇</t>
  </si>
  <si>
    <t>序号</t>
    <phoneticPr fontId="18" type="noConversion"/>
  </si>
  <si>
    <t>名  称</t>
    <phoneticPr fontId="18" type="noConversion"/>
  </si>
  <si>
    <t>可食部分</t>
    <phoneticPr fontId="18" type="noConversion"/>
  </si>
  <si>
    <t>维生素A</t>
  </si>
  <si>
    <t>维生素B1</t>
  </si>
  <si>
    <t>维生素B2</t>
  </si>
  <si>
    <t>烟酸</t>
  </si>
  <si>
    <t>维生素C</t>
  </si>
  <si>
    <t>食物成分表</t>
    <phoneticPr fontId="18" type="noConversion"/>
  </si>
  <si>
    <t>大黄米（黍）</t>
    <phoneticPr fontId="18" type="noConversion"/>
  </si>
  <si>
    <t>11</t>
  </si>
  <si>
    <t>大麦（元麦）</t>
  </si>
  <si>
    <t>稻谷（早籼）</t>
  </si>
  <si>
    <t>稻米（大米）</t>
  </si>
  <si>
    <t>稻米（粳，特级）</t>
  </si>
  <si>
    <t>稻米（粳，标一）</t>
  </si>
  <si>
    <t>稻米（粳，标二）</t>
  </si>
  <si>
    <t>稻米（粳，标三）</t>
  </si>
  <si>
    <t>稻米（粳，标四）</t>
  </si>
  <si>
    <t>稻米（早籼，特等）</t>
  </si>
  <si>
    <t>稻米（早籼，标一）</t>
  </si>
  <si>
    <t>稻米（早籼，标二）</t>
  </si>
  <si>
    <t>稻米（晚籼，特）</t>
  </si>
  <si>
    <t>稻米（晚籼，标一）</t>
  </si>
  <si>
    <t>稻米（晚籼，标二）</t>
  </si>
  <si>
    <t>稻米（籼）</t>
  </si>
  <si>
    <t>稻米（优标）</t>
  </si>
  <si>
    <t>稻米（籼，标一）</t>
  </si>
  <si>
    <t>稻谷（红）</t>
  </si>
  <si>
    <t>稻米（香大米）</t>
  </si>
  <si>
    <t>方便面</t>
  </si>
  <si>
    <t>麸皮</t>
  </si>
  <si>
    <t>高粱米</t>
  </si>
  <si>
    <t>挂面（赖氨酸）</t>
  </si>
  <si>
    <t>挂面（标准粉）</t>
  </si>
  <si>
    <t>挂面（精白粉）</t>
  </si>
  <si>
    <t>谷子（龙谷）</t>
  </si>
  <si>
    <t>黑米（稻米（紫））</t>
  </si>
  <si>
    <t>花卷</t>
  </si>
  <si>
    <t>黄米</t>
  </si>
  <si>
    <t>煎饼</t>
  </si>
  <si>
    <t>烤麸</t>
  </si>
  <si>
    <t>苦荞麦粉</t>
  </si>
  <si>
    <t>烙饼（标准粉）</t>
  </si>
  <si>
    <t>馒头（蒸，标粉）</t>
  </si>
  <si>
    <t>馒头（蒸，富强粉）</t>
  </si>
  <si>
    <t>面筋（水）（水面筋）</t>
  </si>
  <si>
    <t>面筋（油）（油面筋）</t>
  </si>
  <si>
    <t>面条（富强粉）（切面）</t>
  </si>
  <si>
    <t>面条（干）</t>
  </si>
  <si>
    <t>面条（煮，富强粉）</t>
  </si>
  <si>
    <t>面条（虾蓉面）</t>
  </si>
  <si>
    <t>面条（标准粉）（切面）</t>
  </si>
  <si>
    <t>米饭（蒸，籼米）</t>
  </si>
  <si>
    <t>米饭（蒸，粳米）</t>
  </si>
  <si>
    <t>米粉（干，细）</t>
  </si>
  <si>
    <t>米粉（排米粉）</t>
  </si>
  <si>
    <t>米粥（粳米）</t>
  </si>
  <si>
    <t>糜子（带皮）</t>
  </si>
  <si>
    <t>糜子米（炒米）</t>
  </si>
  <si>
    <t>糯米（优糯米）</t>
  </si>
  <si>
    <t>糯米（粳糯）</t>
  </si>
  <si>
    <t>糯米（江米）</t>
  </si>
  <si>
    <t>糯米（籼）</t>
  </si>
  <si>
    <t>糯谷（早糯）</t>
  </si>
  <si>
    <t>糯米（紫红，血糯米）</t>
  </si>
  <si>
    <t>荞麦</t>
  </si>
  <si>
    <t>青稞</t>
  </si>
  <si>
    <t>烧饼（糖）</t>
  </si>
  <si>
    <t>沙子面</t>
  </si>
  <si>
    <t>通心面（通心粉）</t>
  </si>
  <si>
    <t>五谷香</t>
  </si>
  <si>
    <t>小麦（龙麦）</t>
  </si>
  <si>
    <t>小麦粉（特二粉）</t>
  </si>
  <si>
    <t>小麦粉（标准粉）</t>
  </si>
  <si>
    <t>小麦粉（特一，精粉）</t>
  </si>
  <si>
    <t>小麦胚粉</t>
  </si>
  <si>
    <t>小米</t>
  </si>
  <si>
    <t>小米粥</t>
  </si>
  <si>
    <t>燕麦片</t>
  </si>
  <si>
    <t>薏米（薏苡回回米）</t>
  </si>
  <si>
    <t>油饼</t>
  </si>
  <si>
    <t>莜麦面</t>
  </si>
  <si>
    <t>油条</t>
  </si>
  <si>
    <t>玉米（白，包谷）</t>
  </si>
  <si>
    <t>玉米（黄，包谷）</t>
  </si>
  <si>
    <t>玉米（鲜，包谷）</t>
  </si>
  <si>
    <t>玉米罐头（玉米笋）</t>
  </si>
  <si>
    <t>玉米面（白）</t>
  </si>
  <si>
    <t>玉米面（黄）</t>
  </si>
  <si>
    <t>玉米面（黄豆玉米面）</t>
  </si>
  <si>
    <t>玉米糁（黄）</t>
  </si>
  <si>
    <t>玉米粥（即食）</t>
  </si>
  <si>
    <t>糍粑（稞麦（熟品））</t>
  </si>
  <si>
    <t>扁豆</t>
  </si>
  <si>
    <t>21</t>
  </si>
  <si>
    <t>扁豆（白）</t>
  </si>
  <si>
    <t>蚕豆（去皮）</t>
  </si>
  <si>
    <t>蚕豆（带皮）</t>
  </si>
  <si>
    <t>臭干</t>
  </si>
  <si>
    <t>豆粕</t>
  </si>
  <si>
    <t>豆腐</t>
  </si>
  <si>
    <t>豆腐（内酯豆腐）</t>
  </si>
  <si>
    <t>豆腐（南豆腐）</t>
  </si>
  <si>
    <t>豆腐（北）</t>
  </si>
  <si>
    <t>豆腐干</t>
  </si>
  <si>
    <t>豆腐干（香干）</t>
  </si>
  <si>
    <t>豆腐干（菜干）</t>
  </si>
  <si>
    <t>豆腐干（酱油干）</t>
  </si>
  <si>
    <t>豆腐干（小香干）</t>
  </si>
  <si>
    <t>豆腐干（熏干）</t>
  </si>
  <si>
    <t>豆腐花</t>
  </si>
  <si>
    <t>豆腐卷（豆制五香卷）</t>
  </si>
  <si>
    <t>豆腐卷</t>
  </si>
  <si>
    <t>豆腐脑（老豆腐）</t>
  </si>
  <si>
    <t>豆腐皮</t>
  </si>
  <si>
    <t>豆腐丝</t>
  </si>
  <si>
    <t>豆腐丝（干）</t>
  </si>
  <si>
    <t>豆腐丝（油）</t>
  </si>
  <si>
    <t>豆腐渣</t>
  </si>
  <si>
    <t>豆肝尖</t>
  </si>
  <si>
    <t>豆浆</t>
  </si>
  <si>
    <t>豆浆粉</t>
  </si>
  <si>
    <t>豆奶</t>
  </si>
  <si>
    <t>豆沙</t>
  </si>
  <si>
    <t>腐乳（白）</t>
  </si>
  <si>
    <t>腐乳（臭，臭豆腐）</t>
  </si>
  <si>
    <t>腐乳（桂林腐乳）</t>
  </si>
  <si>
    <t>腐乳（红，酱豆腐）</t>
  </si>
  <si>
    <t>腐乳（上海南乳）</t>
  </si>
  <si>
    <t>腐乳（糟豆腐乳，糟乳）</t>
  </si>
  <si>
    <t>腐竹</t>
  </si>
  <si>
    <t>腐竹皮</t>
  </si>
  <si>
    <t>高蛋白豆米粉</t>
  </si>
  <si>
    <t>黑豆（黑大豆）</t>
  </si>
  <si>
    <t>红豆馅</t>
  </si>
  <si>
    <t>花豆（红）</t>
  </si>
  <si>
    <t>花豆（紫）</t>
  </si>
  <si>
    <t>黄豆（大豆）</t>
  </si>
  <si>
    <t>黄豆粉</t>
  </si>
  <si>
    <t>豇豆（紫）</t>
  </si>
  <si>
    <t>豇豆</t>
  </si>
  <si>
    <t>绿豆</t>
  </si>
  <si>
    <t>绿豆饼（饼折）</t>
  </si>
  <si>
    <t>绿豆面</t>
  </si>
  <si>
    <t>卤干</t>
  </si>
  <si>
    <t>眉豆（饭豇豆）</t>
  </si>
  <si>
    <t>脑豆</t>
  </si>
  <si>
    <t>膨化豆粕（大豆蛋白）</t>
  </si>
  <si>
    <t>蒲包干</t>
  </si>
  <si>
    <t>千张（百页）</t>
  </si>
  <si>
    <t>青豆（青大豆）</t>
  </si>
  <si>
    <t>酸豆乳</t>
  </si>
  <si>
    <t>素大肠</t>
  </si>
  <si>
    <t>素火腿</t>
  </si>
  <si>
    <t>素鸡</t>
  </si>
  <si>
    <t>素虾（炸）</t>
  </si>
  <si>
    <t>素鸡丝卷</t>
  </si>
  <si>
    <t>素什锦</t>
  </si>
  <si>
    <t>酥香兰花豆</t>
  </si>
  <si>
    <t>豌豆</t>
  </si>
  <si>
    <t>豌豆（花）</t>
  </si>
  <si>
    <t>小豆（红，红小豆）</t>
  </si>
  <si>
    <t>油豆腐（豆腐泡）</t>
  </si>
  <si>
    <t>油炸豆瓣</t>
  </si>
  <si>
    <t>油炸豆花</t>
  </si>
  <si>
    <t>芸豆（白）</t>
  </si>
  <si>
    <t>芸豆（红）</t>
  </si>
  <si>
    <t>芸豆（虎皮）</t>
  </si>
  <si>
    <t>芸豆（杂，带皮）</t>
  </si>
  <si>
    <t>杂豆</t>
  </si>
  <si>
    <t>枝竹</t>
  </si>
  <si>
    <t>扁豆（鲜）</t>
  </si>
  <si>
    <t>22</t>
  </si>
  <si>
    <t>蚕豆（鲜）</t>
  </si>
  <si>
    <t>刀豆</t>
  </si>
  <si>
    <t>豆角</t>
  </si>
  <si>
    <t>豆角（白）</t>
  </si>
  <si>
    <t>发芽豆</t>
  </si>
  <si>
    <t>荷兰豆</t>
  </si>
  <si>
    <t>黄豆芽</t>
  </si>
  <si>
    <t>豇豆（鲜）</t>
  </si>
  <si>
    <t>豇豆（鲜，长）</t>
  </si>
  <si>
    <t>绿豆芽</t>
  </si>
  <si>
    <t>垅船豆</t>
  </si>
  <si>
    <t>龙豆</t>
  </si>
  <si>
    <t>龙牙豆（玉豆）</t>
  </si>
  <si>
    <t>毛豆（青豆）</t>
  </si>
  <si>
    <t>四季豆（菜豆）</t>
  </si>
  <si>
    <t>豌豆（鲜）</t>
  </si>
  <si>
    <t>豌豆苗</t>
  </si>
  <si>
    <t>油豆角（多花菜豆）</t>
  </si>
  <si>
    <t>芸豆（鲜）</t>
  </si>
  <si>
    <t>百合</t>
  </si>
  <si>
    <t>33</t>
  </si>
  <si>
    <t>百合（干）</t>
  </si>
  <si>
    <t>百合（脱水）</t>
  </si>
  <si>
    <t>荸荠（马蹄，地栗）</t>
  </si>
  <si>
    <t>慈菇（乌芋白地果）</t>
  </si>
  <si>
    <t>甘薯（红心，山芋红薯）</t>
  </si>
  <si>
    <t>甘薯（白心，红皮山芋）</t>
  </si>
  <si>
    <t>甘薯粉（地瓜粉）</t>
  </si>
  <si>
    <t>甘薯片（白薯干）</t>
  </si>
  <si>
    <t>胡萝卜（红）</t>
  </si>
  <si>
    <t>胡萝卜（黄）</t>
  </si>
  <si>
    <t>胡萝卜（脱水）</t>
  </si>
  <si>
    <t>茭笋</t>
  </si>
  <si>
    <t>姜</t>
  </si>
  <si>
    <t>姜（干）</t>
  </si>
  <si>
    <t>姜（子姜，嫩姜）</t>
  </si>
  <si>
    <t>芥菜头（大头菜水芥）</t>
  </si>
  <si>
    <t>洋姜（洋生姜，菊芋）</t>
  </si>
  <si>
    <t>玉兰片</t>
  </si>
  <si>
    <t>芋头（芋艿，毛芋）</t>
  </si>
  <si>
    <t>竹笋</t>
  </si>
  <si>
    <t>竹笋（白笋，干）</t>
  </si>
  <si>
    <t>竹笋（鞭笋，马鞭笋）</t>
  </si>
  <si>
    <t>竹笋（春笋）</t>
  </si>
  <si>
    <t>竹笋（黑笋，干）</t>
  </si>
  <si>
    <t>竹笋（毛笋，毛竹笋）</t>
  </si>
  <si>
    <t>白菜（脱水）</t>
  </si>
  <si>
    <t>31</t>
  </si>
  <si>
    <t>白菜（大白菜）</t>
  </si>
  <si>
    <t>白菜苔（菜苔菜心）</t>
  </si>
  <si>
    <t>菠菜（赤根菜）</t>
  </si>
  <si>
    <t>菠菜（脱水）</t>
  </si>
  <si>
    <t>菜花（花椰菜）</t>
  </si>
  <si>
    <t>菜花（脱水）</t>
  </si>
  <si>
    <t>菜节（油菜苔，油菜心）</t>
  </si>
  <si>
    <t>莼菜（瓶装，花案板）</t>
  </si>
  <si>
    <t>葱茎（脱水）</t>
  </si>
  <si>
    <t>葱头（洋葱）</t>
  </si>
  <si>
    <t>葱头（白皮，脱水）</t>
  </si>
  <si>
    <t>葱头（紫皮，脱水）</t>
  </si>
  <si>
    <t>大白菜（青白口）</t>
  </si>
  <si>
    <t>榨菜</t>
  </si>
  <si>
    <t>84</t>
  </si>
  <si>
    <t>草菇（大黑头细花草）</t>
  </si>
  <si>
    <t>34</t>
  </si>
  <si>
    <t>大红菇（草质红菇）</t>
  </si>
  <si>
    <t>地衣（水浸）</t>
  </si>
  <si>
    <t>冬菇（干，毛柄金线菌）</t>
  </si>
  <si>
    <t>发菜</t>
  </si>
  <si>
    <t>海带（干，江白菜，昆布）</t>
  </si>
  <si>
    <t>海带（鲜，江白菜，昆布）</t>
  </si>
  <si>
    <t>海冻菜（石花菜，冻菜）</t>
  </si>
  <si>
    <t>猴头菇（罐装）</t>
  </si>
  <si>
    <t>黄蘑</t>
  </si>
  <si>
    <t>金针菇（智力菇）</t>
  </si>
  <si>
    <t>金针菇（罐装）</t>
  </si>
  <si>
    <t>口蘑（白蘑）</t>
  </si>
  <si>
    <t>蘑菇（干）</t>
  </si>
  <si>
    <t>蘑菇（鲜，鲜蘑）</t>
  </si>
  <si>
    <t>木耳（黑木耳，云耳）</t>
  </si>
  <si>
    <t>木耳（水发，黑木耳，云耳）</t>
  </si>
  <si>
    <t>平菇（鲜，糙皮）</t>
  </si>
  <si>
    <t>普大香杏丁蘑</t>
  </si>
  <si>
    <t>普中红蘑</t>
  </si>
  <si>
    <t>琼脂（紫菜胶）</t>
  </si>
  <si>
    <t>双孢蘑菇（洋蘑菇）</t>
  </si>
  <si>
    <t>松蘑（松口蘑，松茸）</t>
  </si>
  <si>
    <t>苔菜（苔条条浒苔）</t>
  </si>
  <si>
    <t>香菇（干，香蕈，冬菇）</t>
  </si>
  <si>
    <t>香菇（鲜，香蕈，冬菇）</t>
  </si>
  <si>
    <t>香杏片口蘑</t>
  </si>
  <si>
    <t>羊肚菌（干,狼肚）</t>
  </si>
  <si>
    <t>银耳（白木耳）</t>
  </si>
  <si>
    <t>榛蘑（假蜜环菌）</t>
  </si>
  <si>
    <t>珍珠白蘑</t>
  </si>
  <si>
    <t>紫菜</t>
  </si>
  <si>
    <t>芭蕉（甘蕉，板蕉，牙蕉）</t>
  </si>
  <si>
    <t>41</t>
  </si>
  <si>
    <t>菠萝（凤梨，地菠萝）</t>
  </si>
  <si>
    <t>菠萝蜜肉</t>
  </si>
  <si>
    <t>菠萝蜜子</t>
  </si>
  <si>
    <t>草莓</t>
  </si>
  <si>
    <t>草莓酱</t>
  </si>
  <si>
    <t>橙</t>
  </si>
  <si>
    <t>吊蛋</t>
  </si>
  <si>
    <t>番石榴（鸡矢果，番桃）</t>
  </si>
  <si>
    <t>柑</t>
  </si>
  <si>
    <t>橄榄（白榄）</t>
  </si>
  <si>
    <t>甘蔗汁</t>
  </si>
  <si>
    <t>桂圆（鲜）</t>
  </si>
  <si>
    <t>桂圆（干，龙眼，圆眼）</t>
  </si>
  <si>
    <t>桂圆肉</t>
  </si>
  <si>
    <t>果丹皮</t>
  </si>
  <si>
    <t>海棠果</t>
  </si>
  <si>
    <t>海棠脯</t>
  </si>
  <si>
    <t>海棠罐头</t>
  </si>
  <si>
    <t>黑枣（无核，乌枣，软枣）</t>
  </si>
  <si>
    <t>红果（山里红，大山楂）</t>
  </si>
  <si>
    <t>红果（干）</t>
  </si>
  <si>
    <t>黄皮果（黄皮）</t>
  </si>
  <si>
    <t>金糕</t>
  </si>
  <si>
    <t>金糕条</t>
  </si>
  <si>
    <t>金桔（金枣）</t>
  </si>
  <si>
    <t>桔柑子（宽皮桂）</t>
  </si>
  <si>
    <t>桔（福桔）</t>
  </si>
  <si>
    <t>桔（芦柑）</t>
  </si>
  <si>
    <t>桔（三湖红桔）</t>
  </si>
  <si>
    <t>桔（四川红桔）</t>
  </si>
  <si>
    <t>桔（小叶桔）</t>
  </si>
  <si>
    <t>桔（早桔）</t>
  </si>
  <si>
    <t>桔（蜜桔）</t>
  </si>
  <si>
    <t>桔饼</t>
  </si>
  <si>
    <t>李（玉皇李）</t>
  </si>
  <si>
    <t>梨</t>
  </si>
  <si>
    <t>梨（巴梨）</t>
  </si>
  <si>
    <t>梨（冬果梨）</t>
  </si>
  <si>
    <t>梨（鹅黄梨）</t>
  </si>
  <si>
    <t>梨（早酥梨）</t>
  </si>
  <si>
    <t>梨（红肖梨）</t>
  </si>
  <si>
    <t>梨（锦丰梨）</t>
  </si>
  <si>
    <t>梨（京白梨）</t>
  </si>
  <si>
    <t>梨（库尔勒梨）</t>
  </si>
  <si>
    <t>梨（莱阳梨）</t>
  </si>
  <si>
    <t>梨（砺山梨）</t>
  </si>
  <si>
    <t>梨（马蹄黄梨）</t>
  </si>
  <si>
    <t>梨（明月梨）</t>
  </si>
  <si>
    <t>梨（木梨）</t>
  </si>
  <si>
    <t>梨（苹果梨）</t>
  </si>
  <si>
    <t>梨（软梨）</t>
  </si>
  <si>
    <t>梨（苏木梨）</t>
  </si>
  <si>
    <t>梨（酥梨）</t>
  </si>
  <si>
    <t>梨（酸梨）</t>
  </si>
  <si>
    <t>梨（香梨）</t>
  </si>
  <si>
    <t>梨（雪花梨）</t>
  </si>
  <si>
    <t>梨（鸭梨）</t>
  </si>
  <si>
    <t>梨（鸭广梨，广梨）</t>
  </si>
  <si>
    <t>梨（专把梨）</t>
  </si>
  <si>
    <t>梨（紫酥梨）</t>
  </si>
  <si>
    <t>梨（冬果梨罐头）</t>
  </si>
  <si>
    <t>梨（糖水罐头）</t>
  </si>
  <si>
    <t>荔枝（鲜）</t>
  </si>
  <si>
    <t>芒果（抹猛果，望果）</t>
  </si>
  <si>
    <t>面蛋</t>
  </si>
  <si>
    <t>南瓜果脯</t>
  </si>
  <si>
    <t>柠檬</t>
  </si>
  <si>
    <t>柠檬汁</t>
  </si>
  <si>
    <t>枇杷</t>
  </si>
  <si>
    <t>苹果</t>
  </si>
  <si>
    <t>苹果（伏苹果）</t>
  </si>
  <si>
    <t>苹果（红星苹果）</t>
  </si>
  <si>
    <t>苹果（黄元帅苹果）</t>
  </si>
  <si>
    <t>苹果（国光苹果）</t>
  </si>
  <si>
    <t>苹果（旱）</t>
  </si>
  <si>
    <t>苹果（红富士苹果）</t>
  </si>
  <si>
    <t>苹果（红香蕉苹果）</t>
  </si>
  <si>
    <t>苹果（金元帅苹果）</t>
  </si>
  <si>
    <t>苹果（黄香蕉苹果）</t>
  </si>
  <si>
    <t>苹果（香玉苹果）</t>
  </si>
  <si>
    <t>苹果（印度苹果）</t>
  </si>
  <si>
    <t>苹果（红元帅苹果）</t>
  </si>
  <si>
    <t>苹果（祝光苹果）</t>
  </si>
  <si>
    <t>苹果（青香蕉苹果）</t>
  </si>
  <si>
    <t>苹果（秋里蒙苹果）</t>
  </si>
  <si>
    <t>苹果（倭锦苹果）</t>
  </si>
  <si>
    <t>苹果（红玉苹果）</t>
  </si>
  <si>
    <t>苹果罐头</t>
  </si>
  <si>
    <t>苹果酱</t>
  </si>
  <si>
    <t>苹果脯</t>
  </si>
  <si>
    <t>葡萄</t>
  </si>
  <si>
    <t>葡萄（紫）</t>
  </si>
  <si>
    <t>葡萄（红玫瑰）</t>
  </si>
  <si>
    <t>葡萄（巨峰）</t>
  </si>
  <si>
    <t>葡萄（马奶子）</t>
  </si>
  <si>
    <t>葡萄（玫瑰香）</t>
  </si>
  <si>
    <t>葡萄干</t>
  </si>
  <si>
    <t>青梅果脯</t>
  </si>
  <si>
    <t>人参果</t>
  </si>
  <si>
    <t>桑葚</t>
  </si>
  <si>
    <t>桑葚（干）</t>
  </si>
  <si>
    <t>柿</t>
  </si>
  <si>
    <t>柿（磨盘）</t>
  </si>
  <si>
    <t>柿（荷柿）</t>
  </si>
  <si>
    <t>柿饼</t>
  </si>
  <si>
    <t>石榴（红粉皮石榴）</t>
  </si>
  <si>
    <t>石榴（玛瑙石榴）</t>
  </si>
  <si>
    <t>石榴（青皮石榴）</t>
  </si>
  <si>
    <t>酸刺</t>
  </si>
  <si>
    <t>酸枣棘</t>
  </si>
  <si>
    <t>桃</t>
  </si>
  <si>
    <t>桃（白粉桃）</t>
  </si>
  <si>
    <t>桃（高山白桃）</t>
  </si>
  <si>
    <t>桃（旱久保）</t>
  </si>
  <si>
    <t>桃（黄桃）</t>
  </si>
  <si>
    <t>桃（金红桃）</t>
  </si>
  <si>
    <t>桃（久保桃）</t>
  </si>
  <si>
    <t>桃（蒲桃）</t>
  </si>
  <si>
    <t>桃（蜜桃）</t>
  </si>
  <si>
    <t>桃（晚，黄）</t>
  </si>
  <si>
    <t>桃（庆丰）</t>
  </si>
  <si>
    <t>桃（五月鲜）</t>
  </si>
  <si>
    <t>桃（早，黄）</t>
  </si>
  <si>
    <t>桃（糖水罐头）</t>
  </si>
  <si>
    <t>桃酱</t>
  </si>
  <si>
    <t>桃脯</t>
  </si>
  <si>
    <t>无花果</t>
  </si>
  <si>
    <t>香蕉</t>
  </si>
  <si>
    <t>西瓜脯</t>
  </si>
  <si>
    <t>杏</t>
  </si>
  <si>
    <t>杏（李子杏）</t>
  </si>
  <si>
    <t>杏干</t>
  </si>
  <si>
    <t>杏酱</t>
  </si>
  <si>
    <t>杏脯</t>
  </si>
  <si>
    <t>杏脯（李广杏）</t>
  </si>
  <si>
    <t>杏子罐头</t>
  </si>
  <si>
    <t>杨梅（树梅，山杨梅）</t>
  </si>
  <si>
    <t>桃（杨桃）</t>
  </si>
  <si>
    <t>椰子</t>
  </si>
  <si>
    <t>樱桃（野，白刺）</t>
  </si>
  <si>
    <t>樱桃</t>
  </si>
  <si>
    <t>柚（文旦）</t>
  </si>
  <si>
    <t>余甘子（油甘子）</t>
  </si>
  <si>
    <t>枣（鲜）</t>
  </si>
  <si>
    <t>枣（干）</t>
  </si>
  <si>
    <t>枣（干，大）</t>
  </si>
  <si>
    <t>枣（金丝小枣）</t>
  </si>
  <si>
    <t>枣（酒枣）</t>
  </si>
  <si>
    <t>枣（蜜枣，无核）</t>
  </si>
  <si>
    <t>枣（蜜枣）</t>
  </si>
  <si>
    <t>枣（密云小枣）</t>
  </si>
  <si>
    <t>枣（沙枣）</t>
  </si>
  <si>
    <t>枣（乌枣）</t>
  </si>
  <si>
    <t>猕猴桃（中华猕猴桃，羊桃）</t>
  </si>
  <si>
    <t>白果</t>
  </si>
  <si>
    <t>42</t>
  </si>
  <si>
    <t>白果（干，银杏）</t>
  </si>
  <si>
    <t>核桃（干，胡桃）</t>
  </si>
  <si>
    <t>核桃（鲜）</t>
  </si>
  <si>
    <t>花生（生，落花生，长生果）</t>
  </si>
  <si>
    <t>花生（炒）</t>
  </si>
  <si>
    <t>肠（茶肠）</t>
  </si>
  <si>
    <t>51</t>
  </si>
  <si>
    <t>肠（大腊肠）</t>
  </si>
  <si>
    <t>肠（大肉肠）</t>
  </si>
  <si>
    <t>肠（蛋清肠）</t>
  </si>
  <si>
    <t>肠（儿童肠）</t>
  </si>
  <si>
    <t>肠（风干肠）</t>
  </si>
  <si>
    <t>肠（广东香肠）</t>
  </si>
  <si>
    <t>肠（红果肠）</t>
  </si>
  <si>
    <t>肠（火腿肠）</t>
  </si>
  <si>
    <t>肠（腊肠）</t>
  </si>
  <si>
    <t>肠（松江肠）</t>
  </si>
  <si>
    <t>肠（蒜肠）</t>
  </si>
  <si>
    <t>肠（午餐肠）</t>
  </si>
  <si>
    <t>肠（香肠）</t>
  </si>
  <si>
    <t>肠（小红肠）</t>
  </si>
  <si>
    <t>肠（小泥肠）</t>
  </si>
  <si>
    <t>肠（猪肉香肠，罐头）</t>
  </si>
  <si>
    <t>叉烧肉</t>
  </si>
  <si>
    <t>方腿</t>
  </si>
  <si>
    <t>宫爆肉丁（罐头）</t>
  </si>
  <si>
    <t>狗肉</t>
  </si>
  <si>
    <t>火腿后坐（火腿）</t>
  </si>
  <si>
    <t>火腿（金华火腿）</t>
  </si>
  <si>
    <t>火腿（熟）</t>
  </si>
  <si>
    <t>酱驴肉</t>
  </si>
  <si>
    <t>酱牛肉</t>
  </si>
  <si>
    <t>酱羊肉</t>
  </si>
  <si>
    <t>酱汁肉</t>
  </si>
  <si>
    <t>腊肉（培根）</t>
  </si>
  <si>
    <t>腊肉（生）</t>
  </si>
  <si>
    <t>腊肉（熟）</t>
  </si>
  <si>
    <t>腊羊肉</t>
  </si>
  <si>
    <t>驴鞭（生）</t>
  </si>
  <si>
    <t>驴鞭（熟，金钱肉）</t>
  </si>
  <si>
    <t>骆驼蹄</t>
  </si>
  <si>
    <t>骆驼掌</t>
  </si>
  <si>
    <t>驴肉（瘦）</t>
  </si>
  <si>
    <t>驴肉（熟）</t>
  </si>
  <si>
    <t>卤猪杂</t>
  </si>
  <si>
    <t>马肉</t>
  </si>
  <si>
    <t>马心</t>
  </si>
  <si>
    <t>牛大肠</t>
  </si>
  <si>
    <t>牛肚</t>
  </si>
  <si>
    <t>牛肺</t>
  </si>
  <si>
    <t>牛肝</t>
  </si>
  <si>
    <t>牛脑</t>
  </si>
  <si>
    <t>牛肉（肥瘦）</t>
  </si>
  <si>
    <t>牛肉（五花，肋条）</t>
  </si>
  <si>
    <t>牛肉（后腿）</t>
  </si>
  <si>
    <t>牛肉（后腱）</t>
  </si>
  <si>
    <t>牛肉（前腱）</t>
  </si>
  <si>
    <t>牛肉（前腿）</t>
  </si>
  <si>
    <t>牛肉（瘦）</t>
  </si>
  <si>
    <t>牛肉干</t>
  </si>
  <si>
    <t>牛肉松</t>
  </si>
  <si>
    <t>牛舌</t>
  </si>
  <si>
    <t>牛肾</t>
  </si>
  <si>
    <t>牛蹄筋</t>
  </si>
  <si>
    <t>牛蹄筋（熟）</t>
  </si>
  <si>
    <t>牛心</t>
  </si>
  <si>
    <t>牛血</t>
  </si>
  <si>
    <t>兔肉</t>
  </si>
  <si>
    <t>兔肉（野）</t>
  </si>
  <si>
    <t>煨牛肉（罐头）</t>
  </si>
  <si>
    <t>午餐肚</t>
  </si>
  <si>
    <t>午餐肉</t>
  </si>
  <si>
    <t>咸肉</t>
  </si>
  <si>
    <t>小肚</t>
  </si>
  <si>
    <t>羊大肠</t>
  </si>
  <si>
    <t>羊肚</t>
  </si>
  <si>
    <t>羊肺</t>
  </si>
  <si>
    <t>羊肝</t>
  </si>
  <si>
    <t>羊肝（青羊）</t>
  </si>
  <si>
    <t>羊脑</t>
  </si>
  <si>
    <t>羊肉（肥，瘦）</t>
  </si>
  <si>
    <t>羊肉（瘦）</t>
  </si>
  <si>
    <t>羊肉（冻，山羊）</t>
  </si>
  <si>
    <t>羊肉（冻，绵羊）</t>
  </si>
  <si>
    <t>羊肉（后腿）</t>
  </si>
  <si>
    <t>羊肉（里脊）</t>
  </si>
  <si>
    <t>羊肉（颈，羊脖）</t>
  </si>
  <si>
    <t>羊肉（前腿）</t>
  </si>
  <si>
    <t>羊肉（青羊）</t>
  </si>
  <si>
    <t>羊肉（熟）</t>
  </si>
  <si>
    <t>羊肉（胸脯，腰窝）</t>
  </si>
  <si>
    <t>羊肉串（炸）</t>
  </si>
  <si>
    <t>羊肉串（电烤）</t>
  </si>
  <si>
    <t>羊肉干（绵羊）</t>
  </si>
  <si>
    <t>羊舌</t>
  </si>
  <si>
    <t>羊肾</t>
  </si>
  <si>
    <t>羊肾（青羊）</t>
  </si>
  <si>
    <t>羊蹄筋（生）</t>
  </si>
  <si>
    <t>羊心</t>
  </si>
  <si>
    <t>羊心（青羊）</t>
  </si>
  <si>
    <t>羊血</t>
  </si>
  <si>
    <t>圆腿</t>
  </si>
  <si>
    <t>珍珠里脊丝（罐头）</t>
  </si>
  <si>
    <t>猪大肠</t>
  </si>
  <si>
    <t>猪胆肝</t>
  </si>
  <si>
    <t>猪大排</t>
  </si>
  <si>
    <t>猪肚</t>
  </si>
  <si>
    <t>猪耳</t>
  </si>
  <si>
    <t>猪肺</t>
  </si>
  <si>
    <t>猪肝</t>
  </si>
  <si>
    <t>猪肝（卤煮）</t>
  </si>
  <si>
    <t>猪脑</t>
  </si>
  <si>
    <t>猪脾</t>
  </si>
  <si>
    <t>猪肉（脖子，猪脖）</t>
  </si>
  <si>
    <t>猪肉（肥）</t>
  </si>
  <si>
    <t>猪肉（肥，瘦）</t>
  </si>
  <si>
    <t>猪肉（后臀尖）</t>
  </si>
  <si>
    <t>猪肉（后蹄膀，后肘）</t>
  </si>
  <si>
    <t>猪肉（脊背，里脊）</t>
  </si>
  <si>
    <t>猪肉（肋条肉）</t>
  </si>
  <si>
    <t>猪肉（奶脯，软五花）</t>
  </si>
  <si>
    <t>猪肉（奶面，硬五花，猪排骨肉）</t>
  </si>
  <si>
    <t>猪肉（前蹄膀，前肘）</t>
  </si>
  <si>
    <t>猪肉（清蒸）</t>
  </si>
  <si>
    <t>猪肉（腿）</t>
  </si>
  <si>
    <t>猪肉（瘦）</t>
  </si>
  <si>
    <t>猪肉松</t>
  </si>
  <si>
    <t>猪肉松（福建式肉松）</t>
  </si>
  <si>
    <t>猪肉松（老年保健肉松）</t>
  </si>
  <si>
    <t>猪肉松（太仓肉松）</t>
  </si>
  <si>
    <t>猪舌（口条）</t>
  </si>
  <si>
    <t>猪肾（猪腰子）</t>
  </si>
  <si>
    <t>猪蹄（爪尖）</t>
  </si>
  <si>
    <t>猪蹄（熟，爪尖）</t>
  </si>
  <si>
    <t>猪蹄筋</t>
  </si>
  <si>
    <t>猪头皮</t>
  </si>
  <si>
    <t>猪小肠</t>
  </si>
  <si>
    <t>猪小排（排骨）</t>
  </si>
  <si>
    <t>猪心</t>
  </si>
  <si>
    <t>猪血</t>
  </si>
  <si>
    <t>猪肘棒</t>
  </si>
  <si>
    <t>猪肘棒（熟）</t>
  </si>
  <si>
    <t>鹌鹑</t>
  </si>
  <si>
    <t>52</t>
  </si>
  <si>
    <t>扒鸡</t>
  </si>
  <si>
    <t>斑鸠肉（麒麟鸟）</t>
  </si>
  <si>
    <t>北京烤鸭</t>
  </si>
  <si>
    <t>鹅</t>
  </si>
  <si>
    <t>鹅肝</t>
  </si>
  <si>
    <t>鹅肫</t>
  </si>
  <si>
    <t>鸽</t>
  </si>
  <si>
    <t>火鸡肝</t>
  </si>
  <si>
    <t>火鸡腿</t>
  </si>
  <si>
    <t>火鸡胸脯肉</t>
  </si>
  <si>
    <t>火鸡肫</t>
  </si>
  <si>
    <t>鸡</t>
  </si>
  <si>
    <t>鸡（母，一年内鸡）</t>
  </si>
  <si>
    <t>鸡（肉鸡，肥）</t>
  </si>
  <si>
    <t>鸡（沙鸡）</t>
  </si>
  <si>
    <t>鸡（土鸡，家养）</t>
  </si>
  <si>
    <t>鸡（乌骨鸡）</t>
  </si>
  <si>
    <t>酱鸭</t>
  </si>
  <si>
    <t>鸡翅</t>
  </si>
  <si>
    <t>鸡肝</t>
  </si>
  <si>
    <t>鸡肝（肉鸡）</t>
  </si>
  <si>
    <t>鸡肝（土鸡）</t>
  </si>
  <si>
    <t>鸡肉松</t>
  </si>
  <si>
    <t>鸡腿</t>
  </si>
  <si>
    <t>鸡心</t>
  </si>
  <si>
    <t>鸡胸脯肉</t>
  </si>
  <si>
    <t>鸡血</t>
  </si>
  <si>
    <t>鸡爪</t>
  </si>
  <si>
    <t>鸡肫（鸡胗）</t>
  </si>
  <si>
    <t>烤鸡</t>
  </si>
  <si>
    <t>卤煮鸡</t>
  </si>
  <si>
    <t>瓦罐鸡汤（肉）</t>
  </si>
  <si>
    <t>烧鹅</t>
  </si>
  <si>
    <t>瓦罐鸡汤（汤）</t>
  </si>
  <si>
    <t>乌鸦肉（老鸦）</t>
  </si>
  <si>
    <t>喜鹊肉</t>
  </si>
  <si>
    <t>鸭</t>
  </si>
  <si>
    <t>鸭（北京填鸭）</t>
  </si>
  <si>
    <t>鸭（公麻鸭）</t>
  </si>
  <si>
    <t>鸭（母麻鸭）</t>
  </si>
  <si>
    <t>鸭肠</t>
  </si>
  <si>
    <t>鸭翅</t>
  </si>
  <si>
    <t>鸭肝</t>
  </si>
  <si>
    <t>鸭肝（公麻鸭）</t>
  </si>
  <si>
    <t>鸭肝（母麻鸭）</t>
  </si>
  <si>
    <t>盐水鸭（熟）</t>
  </si>
  <si>
    <t>鸭皮</t>
  </si>
  <si>
    <t>鸭肉（胸脯肉）</t>
  </si>
  <si>
    <t>鸭舌（鸭条）</t>
  </si>
  <si>
    <t>鸭肫</t>
  </si>
  <si>
    <t>鸭肫（公麻鸭）</t>
  </si>
  <si>
    <t>鸭肫（母麻鸭）</t>
  </si>
  <si>
    <t>鸭心</t>
  </si>
  <si>
    <t>鸭血（白鸭）</t>
  </si>
  <si>
    <t>鸭血（公麻鸭）</t>
  </si>
  <si>
    <t>鸭血（母麻鸭）</t>
  </si>
  <si>
    <t>鸭胰</t>
  </si>
  <si>
    <t>鸭掌</t>
  </si>
  <si>
    <t>炸鸡（肯德鸡）</t>
  </si>
  <si>
    <t>白脱（食用，牛油黄油）</t>
  </si>
  <si>
    <t>53</t>
  </si>
  <si>
    <t>冰淇淋粉</t>
  </si>
  <si>
    <t>果味奶</t>
  </si>
  <si>
    <t>黄油</t>
  </si>
  <si>
    <t>黄油渣</t>
  </si>
  <si>
    <t>炼乳（罐头，甜）</t>
  </si>
  <si>
    <t>奶豆腐（鲜）</t>
  </si>
  <si>
    <t>奶豆腐（脱脂）</t>
  </si>
  <si>
    <t>奶疙瘩（奶酪干，干酸奶）</t>
  </si>
  <si>
    <t>奶酪（干酪）</t>
  </si>
  <si>
    <t>奶片</t>
  </si>
  <si>
    <t>奶皮子</t>
  </si>
  <si>
    <t>奶油</t>
  </si>
  <si>
    <t>奶油（焦克）</t>
  </si>
  <si>
    <t>奶油（食用工业）</t>
  </si>
  <si>
    <t>牛乳（牦牛乳）</t>
  </si>
  <si>
    <t>牛乳</t>
  </si>
  <si>
    <t>牛乳（西德牛）</t>
  </si>
  <si>
    <t>牛乳（强化VA,VD）</t>
  </si>
  <si>
    <t>牛乳（美国牛）</t>
  </si>
  <si>
    <t>牛乳（原料奶）</t>
  </si>
  <si>
    <t>牛乳粉（母乳化奶粉）</t>
  </si>
  <si>
    <t>牛乳粉（强化维生素，多维奶粉）</t>
  </si>
  <si>
    <t>牛乳粉（全脂）</t>
  </si>
  <si>
    <t>牛乳粉（全脂，速溶）</t>
  </si>
  <si>
    <t>牛乳粉（婴儿奶粉）</t>
  </si>
  <si>
    <t>酸酪蛋</t>
  </si>
  <si>
    <t>酸奶</t>
  </si>
  <si>
    <t>酸奶（高蛋白）</t>
  </si>
  <si>
    <t>酸奶（果料酸奶)</t>
  </si>
  <si>
    <t>酸奶（桔味，脱脂）</t>
  </si>
  <si>
    <t>酸奶（脱脂酸奶）</t>
  </si>
  <si>
    <t>酸奶（中脂）</t>
  </si>
  <si>
    <t>羊乳（鲜）</t>
  </si>
  <si>
    <t>羊乳粉（全脂）</t>
  </si>
  <si>
    <t>鹌鹑蛋</t>
  </si>
  <si>
    <t>54</t>
  </si>
  <si>
    <t>鹌鹑蛋（五香罐头）</t>
  </si>
  <si>
    <t>鹅蛋</t>
  </si>
  <si>
    <t>鹅蛋白</t>
  </si>
  <si>
    <t>鹅蛋黄</t>
  </si>
  <si>
    <t>鸡蛋（白皮）</t>
  </si>
  <si>
    <t>鸡蛋（红皮）</t>
  </si>
  <si>
    <t>鸡蛋白</t>
  </si>
  <si>
    <t>鸡蛋白（乌骨鸡）</t>
  </si>
  <si>
    <t>鸡蛋蛋白粉</t>
  </si>
  <si>
    <t>鸡蛋粉（全蛋粉）</t>
  </si>
  <si>
    <t>鸡蛋黄</t>
  </si>
  <si>
    <t>鸡蛋黄（乌骨鸡）</t>
  </si>
  <si>
    <t>鸡蛋黄粉（蛋黄粉）</t>
  </si>
  <si>
    <t>松花蛋（鸡）</t>
  </si>
  <si>
    <t>松花蛋（鸭，皮蛋）</t>
  </si>
  <si>
    <t>鸭蛋</t>
  </si>
  <si>
    <t>鲍鱼（杂色鲍）</t>
  </si>
  <si>
    <t>62</t>
  </si>
  <si>
    <t>鲍鱼（干）</t>
  </si>
  <si>
    <t>蛏干（蛏子缢，蛏青子）</t>
  </si>
  <si>
    <t>蛏子</t>
  </si>
  <si>
    <t>淡菜（干）</t>
  </si>
  <si>
    <t>淡菜（鲜）</t>
  </si>
  <si>
    <t>干贝</t>
  </si>
  <si>
    <t>海蛎肉</t>
  </si>
  <si>
    <t>海参</t>
  </si>
  <si>
    <t>海参（水浸）</t>
  </si>
  <si>
    <t>海参（鲜）</t>
  </si>
  <si>
    <t>海蜇皮</t>
  </si>
  <si>
    <t>海蜇头</t>
  </si>
  <si>
    <t>蛤蜊</t>
  </si>
  <si>
    <t>蛤蜊（花蛤）</t>
  </si>
  <si>
    <t>蛤蜊（毛蛤蜊）</t>
  </si>
  <si>
    <t>蛤蜊（秋）</t>
  </si>
  <si>
    <t>蛤蜊（沙蛤）</t>
  </si>
  <si>
    <t>蛤蜊（杂色蛤）</t>
  </si>
  <si>
    <t>蚶子（银蚶）</t>
  </si>
  <si>
    <t>河蚌</t>
  </si>
  <si>
    <t>河蚬（蚬子）</t>
  </si>
  <si>
    <t>螺（东风螺，黄螺）</t>
  </si>
  <si>
    <t>螺（红螺）</t>
  </si>
  <si>
    <t>螺蛳</t>
  </si>
  <si>
    <t>螺（石螺）</t>
  </si>
  <si>
    <t>螺（田螺）</t>
  </si>
  <si>
    <t>螺（香海螺）</t>
  </si>
  <si>
    <t>墨鱼</t>
  </si>
  <si>
    <t>墨鱼（干，曼氏无针乌贼）</t>
  </si>
  <si>
    <t>牡蛎</t>
  </si>
  <si>
    <t>泥蚶（珠蚶，血蚶）</t>
  </si>
  <si>
    <t>生蚝</t>
  </si>
  <si>
    <t>乌鱼蛋</t>
  </si>
  <si>
    <t>乌贼（鲜，枪乌贼，台湾枪乌贼）</t>
  </si>
  <si>
    <t>鲜贝</t>
  </si>
  <si>
    <t>鲜赤贝</t>
  </si>
  <si>
    <t>鲜扇贝</t>
  </si>
  <si>
    <t>鱿鱼（干，台湾枪乌贼）</t>
  </si>
  <si>
    <t>鱿鱼（水浸）</t>
  </si>
  <si>
    <t>章鱼（真蛸）</t>
  </si>
  <si>
    <t>螯虾</t>
  </si>
  <si>
    <t>63</t>
  </si>
  <si>
    <t>白米虾（水虾米）</t>
  </si>
  <si>
    <t>斑节对虾（草虾）</t>
  </si>
  <si>
    <t>长毛对虾（大虾，白露虾）</t>
  </si>
  <si>
    <t>刺姑（红大虾）</t>
  </si>
  <si>
    <t>东方对虾（中国对虾）</t>
  </si>
  <si>
    <t>对虾</t>
  </si>
  <si>
    <t>海虾</t>
  </si>
  <si>
    <t>菠萝豆</t>
  </si>
  <si>
    <t>71</t>
  </si>
  <si>
    <t>蚕豆（烤）</t>
  </si>
  <si>
    <t>蚕豆（炸，开花豆）</t>
  </si>
  <si>
    <t>炒肝</t>
  </si>
  <si>
    <t>茶汤</t>
  </si>
  <si>
    <t>春卷</t>
  </si>
  <si>
    <t>蛋糕（蛋清）</t>
  </si>
  <si>
    <t>蛋糕（老年，烤）</t>
  </si>
  <si>
    <t>蛋糕（奶油）</t>
  </si>
  <si>
    <t>蛋糕</t>
  </si>
  <si>
    <t>蛋糕（蒸，黄蛋糕）</t>
  </si>
  <si>
    <t>蛋黄酥</t>
  </si>
  <si>
    <t>蛋麻脆</t>
  </si>
  <si>
    <t>德庆酥</t>
  </si>
  <si>
    <t>豆腐脑（带卤）</t>
  </si>
  <si>
    <t>豆汁（生）</t>
  </si>
  <si>
    <t>鹅油卷</t>
  </si>
  <si>
    <t>凤尾酥</t>
  </si>
  <si>
    <t>福来酥</t>
  </si>
  <si>
    <t>茯苓夹饼</t>
  </si>
  <si>
    <t>灌肠</t>
  </si>
  <si>
    <t>黑麻香酥</t>
  </si>
  <si>
    <t>黑洋酥</t>
  </si>
  <si>
    <t>核桃薄脆</t>
  </si>
  <si>
    <t>黄酒肉（羊肉）</t>
  </si>
  <si>
    <t>混糖糕点</t>
  </si>
  <si>
    <t>江米条</t>
  </si>
  <si>
    <t>焦圈</t>
  </si>
  <si>
    <t>京八件</t>
  </si>
  <si>
    <t>金钱酥</t>
  </si>
  <si>
    <t>京式黄酥</t>
  </si>
  <si>
    <t>鸡腿酥</t>
  </si>
  <si>
    <t>开口笑（麻团）</t>
  </si>
  <si>
    <t>空心果</t>
  </si>
  <si>
    <t>凉粉（带调料）</t>
  </si>
  <si>
    <t>绿豆糕</t>
  </si>
  <si>
    <t>栗羊羹</t>
  </si>
  <si>
    <t>驴打滚</t>
  </si>
  <si>
    <t>麻烘糕</t>
  </si>
  <si>
    <t>麻花</t>
  </si>
  <si>
    <t>麻香糕</t>
  </si>
  <si>
    <t>美味香酥卷</t>
  </si>
  <si>
    <t>面包</t>
  </si>
  <si>
    <t>面包（多维）</t>
  </si>
  <si>
    <t>面包（法式配餐）</t>
  </si>
  <si>
    <t>面包（法式牛角）</t>
  </si>
  <si>
    <t>面包（果料）</t>
  </si>
  <si>
    <t>面包（麦胚）</t>
  </si>
  <si>
    <t>面包（麦维）</t>
  </si>
  <si>
    <t>面包（维生素）</t>
  </si>
  <si>
    <t>面包（武斯羹）</t>
  </si>
  <si>
    <t>面包（咸）</t>
  </si>
  <si>
    <t>面包（椰圈）</t>
  </si>
  <si>
    <t>面窝</t>
  </si>
  <si>
    <t>蜜麻花（糖耳朵）</t>
  </si>
  <si>
    <t>年糕</t>
  </si>
  <si>
    <t>酿皮子</t>
  </si>
  <si>
    <t>牛杂割</t>
  </si>
  <si>
    <t>青稞（甜胚子）</t>
  </si>
  <si>
    <t>起酥</t>
  </si>
  <si>
    <t>热干面</t>
  </si>
  <si>
    <t>肉香饼</t>
  </si>
  <si>
    <t>三刀蜜</t>
  </si>
  <si>
    <t>三鲜豆皮</t>
  </si>
  <si>
    <t>烧饼</t>
  </si>
  <si>
    <t>烧麦</t>
  </si>
  <si>
    <t>水晶饼</t>
  </si>
  <si>
    <t>酥皮糕点</t>
  </si>
  <si>
    <t>汤包</t>
  </si>
  <si>
    <t>桃酥</t>
  </si>
  <si>
    <t>豌豆黄</t>
  </si>
  <si>
    <t>碗糕</t>
  </si>
  <si>
    <t>香油炒面</t>
  </si>
  <si>
    <t>小豆粥</t>
  </si>
  <si>
    <t>羊法子</t>
  </si>
  <si>
    <t>羊面肠</t>
  </si>
  <si>
    <t>硬皮糕点</t>
  </si>
  <si>
    <t>油茶</t>
  </si>
  <si>
    <t>月饼（百寿宴点）</t>
  </si>
  <si>
    <t>月饼（豆沙）</t>
  </si>
  <si>
    <t>月饼（奶油果馅）</t>
  </si>
  <si>
    <t>月饼（奶油松仁）</t>
  </si>
  <si>
    <t>月饼（唐王赏月）</t>
  </si>
  <si>
    <t>月饼（五仁）</t>
  </si>
  <si>
    <t>月饼（香油果馅）</t>
  </si>
  <si>
    <t>月饼（枣泥）</t>
  </si>
  <si>
    <t>炸糕</t>
  </si>
  <si>
    <t>状元饼</t>
  </si>
  <si>
    <t>宝宝福</t>
  </si>
  <si>
    <t>85</t>
  </si>
  <si>
    <t>冰川可乐</t>
  </si>
  <si>
    <t>冰棍</t>
  </si>
  <si>
    <t>冰淇淋</t>
  </si>
  <si>
    <t>冰砖</t>
  </si>
  <si>
    <t>橙珍（易拉罐）</t>
  </si>
  <si>
    <t>刺玫汁（纸盒）</t>
  </si>
  <si>
    <t>红果汁</t>
  </si>
  <si>
    <t>胡萝卜素王</t>
  </si>
  <si>
    <t>橘子晶</t>
  </si>
  <si>
    <t>橘汁（浓缩蜜橘）</t>
  </si>
  <si>
    <t>橘汁（VC蜜橘）</t>
  </si>
  <si>
    <t>凉薯（番茨地瓜豆薯）</t>
  </si>
  <si>
    <t>萝卜</t>
  </si>
  <si>
    <t>萝卜（白，莱菔）</t>
  </si>
  <si>
    <t>萝卜（红皮萝卜）</t>
  </si>
  <si>
    <t>萝卜（算盘子红皮萝卜）</t>
  </si>
  <si>
    <t>萝卜（红心萝卜）</t>
  </si>
  <si>
    <t>萝卜（青萝卜）</t>
  </si>
  <si>
    <t>萝卜（水萝卜，脆萝卜）</t>
  </si>
  <si>
    <t>萝卜（心里美）</t>
  </si>
  <si>
    <t>马铃薯（土豆洋芋）</t>
  </si>
  <si>
    <t>马铃薯粉（土豆粉）</t>
  </si>
  <si>
    <t>马铃薯片（油炸，油炸土豆片）</t>
  </si>
  <si>
    <t>马铃薯丁（脱水）</t>
  </si>
  <si>
    <t>马铃薯丝（脱水）</t>
  </si>
  <si>
    <t>魔芋精粉（鬼芋粉南星粉）</t>
  </si>
  <si>
    <t>苴莲（苤蓝球茎，甘蓝）</t>
  </si>
  <si>
    <t>藕（莲藕）</t>
  </si>
  <si>
    <t>藕粉</t>
  </si>
  <si>
    <t>藕粉（桂花藕粉）</t>
  </si>
  <si>
    <t>苤蓝（玉蔓菁）</t>
  </si>
  <si>
    <t>山药（薯蓣）</t>
  </si>
  <si>
    <t>山药（干）</t>
  </si>
  <si>
    <t>甜萝卜（甜菜头，糖萝卜）</t>
  </si>
  <si>
    <t>大白菜（酸，酸菜）</t>
  </si>
  <si>
    <t>大白菜（小白口）</t>
  </si>
  <si>
    <t>大葱（鲜）</t>
  </si>
  <si>
    <t>大蒜（蒜头）</t>
  </si>
  <si>
    <t>大蒜（脱水）</t>
  </si>
  <si>
    <t>大蒜（紫皮）</t>
  </si>
  <si>
    <t>冬寒菜（冬苋菜，冬葵）</t>
  </si>
  <si>
    <t>枸杞菜（枸杞地骨）</t>
  </si>
  <si>
    <t>观达菜（根达菜，恭菜）</t>
  </si>
  <si>
    <t>红菜苔</t>
  </si>
  <si>
    <t>红胡萝卜缨</t>
  </si>
  <si>
    <t>红皮葱</t>
  </si>
  <si>
    <t>茴香菜（小茴香）</t>
  </si>
  <si>
    <t>茭白（茭笋茭粑）</t>
  </si>
  <si>
    <t>芥菜（大叶芥菜）</t>
  </si>
  <si>
    <t>芥蓝（甘蓝菜）</t>
  </si>
  <si>
    <t>茎用芥菜（青菜头）</t>
  </si>
  <si>
    <t>芥菜（小叶芥菜）</t>
  </si>
  <si>
    <t>金针菜（黄花菜）</t>
  </si>
  <si>
    <t>韭菜</t>
  </si>
  <si>
    <t>韭芽（韭黄）</t>
  </si>
  <si>
    <t>蕨菜（脱水）</t>
  </si>
  <si>
    <t>苦菜（节节花拒马菜）</t>
  </si>
  <si>
    <t>苦苦菜</t>
  </si>
  <si>
    <t>萝卜缨（白）</t>
  </si>
  <si>
    <t>萝卜缨（青）</t>
  </si>
  <si>
    <t>萝卜缨（小，红）</t>
  </si>
  <si>
    <t>落葵（木耳菜软浆叶）</t>
  </si>
  <si>
    <t>芦笋（石叼柏龙须菜）</t>
  </si>
  <si>
    <t>马兰头（马兰鸡儿肠）</t>
  </si>
  <si>
    <t>苜蓿（草头金花菜）</t>
  </si>
  <si>
    <t>牛俐生菜（油麦菜）</t>
  </si>
  <si>
    <t>瓢儿白（瓢儿菜）</t>
  </si>
  <si>
    <t>荞菜（野荞）</t>
  </si>
  <si>
    <t>荠菜（蓟菜）</t>
  </si>
  <si>
    <t>芹菜（白茎，旱芹药芹）</t>
  </si>
  <si>
    <t>芹菜（茎）</t>
  </si>
  <si>
    <t>芹菜（水芹菜）</t>
  </si>
  <si>
    <t>芹菜（叶）</t>
  </si>
  <si>
    <t>青蒜</t>
  </si>
  <si>
    <t>生菜</t>
  </si>
  <si>
    <t>蒜（小蒜）</t>
  </si>
  <si>
    <t>蒜黄</t>
  </si>
  <si>
    <t>蒜苗（蒜苔）</t>
  </si>
  <si>
    <t>汤菜</t>
  </si>
  <si>
    <t>茼蒿（蓬蒿菜艾菜）</t>
  </si>
  <si>
    <t>蕹菜（空心菜）</t>
  </si>
  <si>
    <t>乌菜（塌菜，塌棵菜）</t>
  </si>
  <si>
    <t>莴苣笋（莴苣）</t>
  </si>
  <si>
    <t>莴苣叶（莴笋叶）</t>
  </si>
  <si>
    <t>苋菜（青，绿苋菜）</t>
  </si>
  <si>
    <t>苋菜（紫，紫苋菜红苋）</t>
  </si>
  <si>
    <t>香椿（香椿头）</t>
  </si>
  <si>
    <t>小白菜（青菜，白菜）</t>
  </si>
  <si>
    <t>小葱</t>
  </si>
  <si>
    <t>西兰花（绿菜花）</t>
  </si>
  <si>
    <t>西洋菜（豆瓣菜，水田芥）</t>
  </si>
  <si>
    <t>雪里蕻（雪菜，雪里红）</t>
  </si>
  <si>
    <t>油菜</t>
  </si>
  <si>
    <t>油菜（脱水）</t>
  </si>
  <si>
    <t>油菜苔</t>
  </si>
  <si>
    <t>圆白菜（甘蓝，卷心菜）</t>
  </si>
  <si>
    <t>芫荽（香菜，香荽）</t>
  </si>
  <si>
    <t>芫荽（脱水）</t>
  </si>
  <si>
    <t>榆钱</t>
  </si>
  <si>
    <t>白瓜</t>
  </si>
  <si>
    <t>32</t>
  </si>
  <si>
    <t>白金瓜</t>
  </si>
  <si>
    <t>白兰瓜</t>
  </si>
  <si>
    <t>菜瓜（生瓜，白瓜）</t>
  </si>
  <si>
    <t>冬瓜</t>
  </si>
  <si>
    <t>方瓜</t>
  </si>
  <si>
    <t>佛手瓜（棒瓜，菜肴梨）</t>
  </si>
  <si>
    <t>哈蜜瓜</t>
  </si>
  <si>
    <t>黄瓜（胡瓜）</t>
  </si>
  <si>
    <t>黄河蜜瓜</t>
  </si>
  <si>
    <t>葫芦条（干）</t>
  </si>
  <si>
    <t>葫芦（长瓜，蒲瓜，瓠瓜）</t>
  </si>
  <si>
    <t>节瓜（毛瓜）</t>
  </si>
  <si>
    <t>金瓜</t>
  </si>
  <si>
    <t>金丝瓜（裸瓣瓜）</t>
  </si>
  <si>
    <t>金塔寺瓜</t>
  </si>
  <si>
    <t>苦瓜（凉瓜，赖葡萄）</t>
  </si>
  <si>
    <t>灵蜜瓜</t>
  </si>
  <si>
    <t>麻醉瓜</t>
  </si>
  <si>
    <t>面西胡瓜</t>
  </si>
  <si>
    <t>木瓜</t>
  </si>
  <si>
    <t>南瓜（饭瓜番瓜，倭瓜）</t>
  </si>
  <si>
    <t>蛇瓜（蛇豆，大豆角）</t>
  </si>
  <si>
    <t>丝瓜</t>
  </si>
  <si>
    <t>笋瓜（生瓜）</t>
  </si>
  <si>
    <t>甜瓜（香瓜）</t>
  </si>
  <si>
    <t>小西胡瓜</t>
  </si>
  <si>
    <t>西瓜（寒瓜）</t>
  </si>
  <si>
    <t>西瓜（忠于6号，黑皮）</t>
  </si>
  <si>
    <t>西瓜（京欣1号）</t>
  </si>
  <si>
    <t>西瓜（郑州3号）</t>
  </si>
  <si>
    <t>西葫芦</t>
  </si>
  <si>
    <t>籽瓜</t>
  </si>
  <si>
    <t>茄子（长）</t>
  </si>
  <si>
    <t>青椒（灯笼椒，柿子椒，大椒）</t>
  </si>
  <si>
    <t>番茄（西红柿，番柿）</t>
  </si>
  <si>
    <t>番茄（整，罐头）</t>
  </si>
  <si>
    <t>番茄酱（罐头）</t>
  </si>
  <si>
    <t>葫子（茄科）</t>
  </si>
  <si>
    <t>辣椒（红尖，干）</t>
  </si>
  <si>
    <t>辣椒（红小）</t>
  </si>
  <si>
    <t>辣椒（尖，青）</t>
  </si>
  <si>
    <t>奶柿子西红柿</t>
  </si>
  <si>
    <t>茄子</t>
  </si>
  <si>
    <t>茄子（绿皮）</t>
  </si>
  <si>
    <t>秋葵（黄秋葵，羊角豆）</t>
  </si>
  <si>
    <t>甜椒（脱水）</t>
  </si>
  <si>
    <t>八宝菜（酱）</t>
  </si>
  <si>
    <t>菜干（芥菜）</t>
  </si>
  <si>
    <t>大头菜（酱）</t>
  </si>
  <si>
    <t>大头菜（桂花，佛手疙瘩）</t>
  </si>
  <si>
    <t>大头菜（五香）</t>
  </si>
  <si>
    <t>洋姜（咸，地姜，鬼子姜）</t>
  </si>
  <si>
    <t>冬菜</t>
  </si>
  <si>
    <t>甘露（酱腌，甘露子，地蚕）</t>
  </si>
  <si>
    <t>狗芽菜</t>
  </si>
  <si>
    <t>合锦菜</t>
  </si>
  <si>
    <t>黄瓜（甜辣黄瓜）</t>
  </si>
  <si>
    <t>黄瓜（酱黄瓜）</t>
  </si>
  <si>
    <t>姜（糟）</t>
  </si>
  <si>
    <t>酱包瓜</t>
  </si>
  <si>
    <t>芥菜（酸）</t>
  </si>
  <si>
    <t>芥菜头（腌，水菜，水疙瘩）</t>
  </si>
  <si>
    <t>芥菜头（腌煮，煮菜，煮疙瘩）</t>
  </si>
  <si>
    <t>金钱萝卜</t>
  </si>
  <si>
    <t>韭菜花（腌）</t>
  </si>
  <si>
    <t>蕨菜（腌）</t>
  </si>
  <si>
    <t>龙须菜（腌制）</t>
  </si>
  <si>
    <t>萝卜（酱）</t>
  </si>
  <si>
    <t>萝卜干</t>
  </si>
  <si>
    <t>萝卜条（辣）</t>
  </si>
  <si>
    <t>蘑菇（酱）</t>
  </si>
  <si>
    <t>苤蓝丝（酱）</t>
  </si>
  <si>
    <t>乳黄瓜（腌，嫩黄瓜）</t>
  </si>
  <si>
    <t>什锦菜</t>
  </si>
  <si>
    <t>蒜头（糖）</t>
  </si>
  <si>
    <t>蒜头（酱）</t>
  </si>
  <si>
    <t>甜酸皎头</t>
  </si>
  <si>
    <t>莴笋（酱）</t>
  </si>
  <si>
    <t>咸沙葱（蒙古韭）</t>
  </si>
  <si>
    <t>雪里蕻（腌，腌雪里红）</t>
  </si>
  <si>
    <t>花生仁（生）</t>
  </si>
  <si>
    <t>花生仁（炒）</t>
  </si>
  <si>
    <t>葵花子（生）</t>
  </si>
  <si>
    <t>葵花子（炒）</t>
  </si>
  <si>
    <t>葵花子仁</t>
  </si>
  <si>
    <t>莲子（糖水）</t>
  </si>
  <si>
    <t>莲子（干）</t>
  </si>
  <si>
    <t>栗子（干）</t>
  </si>
  <si>
    <t>栗子（鲜，板栗）</t>
  </si>
  <si>
    <t>毛核桃（鲜）</t>
  </si>
  <si>
    <t>南瓜子（炒，白瓜子）</t>
  </si>
  <si>
    <t>南瓜子仁</t>
  </si>
  <si>
    <t>芡实米（鸡头米）</t>
  </si>
  <si>
    <t>山核桃（熟，小核桃）</t>
  </si>
  <si>
    <t>山核桃（干）</t>
  </si>
  <si>
    <t>松子（炒）</t>
  </si>
  <si>
    <t>松子（生）</t>
  </si>
  <si>
    <t>松子仁</t>
  </si>
  <si>
    <t>西瓜子（话梅）</t>
  </si>
  <si>
    <t>西瓜子（炒）</t>
  </si>
  <si>
    <t>西瓜子仁</t>
  </si>
  <si>
    <t>杏仁</t>
  </si>
  <si>
    <t>榛子（干）</t>
  </si>
  <si>
    <t>榛子（炒）</t>
  </si>
  <si>
    <t>鸭蛋（咸）</t>
  </si>
  <si>
    <t>鸭蛋白</t>
  </si>
  <si>
    <t>鸭蛋黄</t>
  </si>
  <si>
    <t>白姑鱼（白米子鱼）</t>
  </si>
  <si>
    <t>61</t>
  </si>
  <si>
    <t>鲅鱼（马鲛鱼，燕鲅鱼，巴鱼）</t>
  </si>
  <si>
    <t>鲅鱼（咸，咸马鲛）</t>
  </si>
  <si>
    <t>八爪鱼（八角鱼）</t>
  </si>
  <si>
    <t>鳊鱼（鲂鱼，武昌鱼）</t>
  </si>
  <si>
    <t>餐条鱼</t>
  </si>
  <si>
    <t>草鱼（白鲩，草包鱼）</t>
  </si>
  <si>
    <t>鲳鱼（平鱼，银鲳，刺鲳）</t>
  </si>
  <si>
    <t>赤眼鳟（金目鱼）</t>
  </si>
  <si>
    <t>大黄鱼（大黄花鱼）</t>
  </si>
  <si>
    <t>带鱼（白带鱼，刀鱼）</t>
  </si>
  <si>
    <t>大麻哈鱼（大马哈鱼）</t>
  </si>
  <si>
    <t>鲷鱼（黑鲷，铜盆鱼，大目鱼）</t>
  </si>
  <si>
    <t>鲽（比目鱼，凸眼鱼）</t>
  </si>
  <si>
    <t>丁香鱼（干）</t>
  </si>
  <si>
    <t>堤鱼（海河乌江）</t>
  </si>
  <si>
    <t>颚针鱼（针量鱼）</t>
  </si>
  <si>
    <t>狗母鱼（大头狗母鱼）</t>
  </si>
  <si>
    <t>鳜鱼（桂鱼）</t>
  </si>
  <si>
    <t>海鲫鱼（九九鱼）</t>
  </si>
  <si>
    <t>海鳗（海鳗鱼，鲫勾）</t>
  </si>
  <si>
    <t>红娘鱼（冀红娘鱼）</t>
  </si>
  <si>
    <t>黄姑鱼（黄婆鸡鱼）</t>
  </si>
  <si>
    <t>黄颡鱼（戈牙鱼，黄鳍鱼）</t>
  </si>
  <si>
    <t>黄鳝（鳝鱼）</t>
  </si>
  <si>
    <t>黄鳝（鳝丝）</t>
  </si>
  <si>
    <t>胡子鲇（塘虱鱼）</t>
  </si>
  <si>
    <t>尖嘴白</t>
  </si>
  <si>
    <t>鲒花</t>
  </si>
  <si>
    <t>静鱼</t>
  </si>
  <si>
    <t>金线鱼（红三鱼）</t>
  </si>
  <si>
    <t>鲚鱼（大凤尾鱼）</t>
  </si>
  <si>
    <t>鲚鱼（小凤尾鱼）</t>
  </si>
  <si>
    <t>鲫鱼（喜头鱼，海鲋鱼）</t>
  </si>
  <si>
    <t>口头鱼</t>
  </si>
  <si>
    <t>鳓鱼（快鱼，力鱼）</t>
  </si>
  <si>
    <t>鲢鱼（白鲢，胖子，连子鱼）</t>
  </si>
  <si>
    <t>鲮鱼（雪鲮）</t>
  </si>
  <si>
    <t>鲮鱼（罐头）</t>
  </si>
  <si>
    <t>鲤鱼（鲤拐子）</t>
  </si>
  <si>
    <t>罗非鱼（越南鱼，非洲黑鲫鱼）</t>
  </si>
  <si>
    <t>罗非鱼</t>
  </si>
  <si>
    <t>鲈鱼（鲈花）</t>
  </si>
  <si>
    <t>鳗鲡（鳗鱼，河鳗）</t>
  </si>
  <si>
    <t>梅童鱼（大头仔鱼，丁珠鱼）</t>
  </si>
  <si>
    <t>鮸鱼(鳘鱼)</t>
  </si>
  <si>
    <t>鲇鱼(胡子鲇，鲢胡，旺虾)</t>
  </si>
  <si>
    <t>泥鳅</t>
  </si>
  <si>
    <t>鲆(片口鱼，比目鱼)</t>
  </si>
  <si>
    <t>青鱼(青皮鱼，青鳞鱼，青混)</t>
  </si>
  <si>
    <t>鲨鱼(青鲨，白斑角鲨)</t>
  </si>
  <si>
    <t>舌鳎(花纹舌头，舌头鱼)</t>
  </si>
  <si>
    <t>蛇鲻(沙丁鱼，沙鲻)</t>
  </si>
  <si>
    <t>蛇鲻(沙梭鱼)</t>
  </si>
  <si>
    <t>鲐鱼（青鲐鱼，鲐巴鱼，青砖鱼）</t>
  </si>
  <si>
    <t>鲀（绿鳍马面鲀，面包鱼）</t>
  </si>
  <si>
    <t>乌鳢（黑鱼，石斑鱼，生鱼）</t>
  </si>
  <si>
    <t>小黄鱼（小黄花鱼）</t>
  </si>
  <si>
    <t>鳕鱼（鳕狭，明太鱼）</t>
  </si>
  <si>
    <t>鳐鱼（夫鱼）</t>
  </si>
  <si>
    <t>银鱼（面条鱼）</t>
  </si>
  <si>
    <t>鳙鱼（胖头鱼，摆佳鱼，花鲢鱼）</t>
  </si>
  <si>
    <t>鱼片干</t>
  </si>
  <si>
    <t>鱼子酱（大麻哈鱼）</t>
  </si>
  <si>
    <t>鲻鱼（白眼棱鱼）</t>
  </si>
  <si>
    <t>鳟鱼（红鳟鱼）</t>
  </si>
  <si>
    <t>蚌肉</t>
  </si>
  <si>
    <t>河虾</t>
  </si>
  <si>
    <t>江虾（沼虾）</t>
  </si>
  <si>
    <t>基围虾</t>
  </si>
  <si>
    <t>龙虾</t>
  </si>
  <si>
    <t>明虾</t>
  </si>
  <si>
    <t>塘水虾（草虾）</t>
  </si>
  <si>
    <t>虾虎（琵琶虾）</t>
  </si>
  <si>
    <t>虾米（海米）</t>
  </si>
  <si>
    <t>虾脑酱</t>
  </si>
  <si>
    <t>虾皮</t>
  </si>
  <si>
    <t>蟹（海蟹）</t>
  </si>
  <si>
    <t>蟹（河蟹）</t>
  </si>
  <si>
    <t>蟹（踞缘青蟹，青蟹）</t>
  </si>
  <si>
    <t>蟹（梭子蟹）</t>
  </si>
  <si>
    <t>蟹肉</t>
  </si>
  <si>
    <t>菜籽油</t>
  </si>
  <si>
    <t>81</t>
  </si>
  <si>
    <t>茶油</t>
  </si>
  <si>
    <t>大麻油</t>
  </si>
  <si>
    <t>豆油</t>
  </si>
  <si>
    <t>花生油</t>
  </si>
  <si>
    <t>胡麻油</t>
  </si>
  <si>
    <t>混合油（菜+棕）</t>
  </si>
  <si>
    <t>葵花籽油</t>
  </si>
  <si>
    <t>辣椒油</t>
  </si>
  <si>
    <t>棉籽油</t>
  </si>
  <si>
    <t>牛油（炼）</t>
  </si>
  <si>
    <t>牛油</t>
  </si>
  <si>
    <t>色拉油</t>
  </si>
  <si>
    <t>鸭油（炼）</t>
  </si>
  <si>
    <t>羊油</t>
  </si>
  <si>
    <t>羊油（炼）</t>
  </si>
  <si>
    <t>玉米油</t>
  </si>
  <si>
    <t>芝麻油（香油）</t>
  </si>
  <si>
    <t>猪油（未炼）</t>
  </si>
  <si>
    <t>猪油（炼，大油）</t>
  </si>
  <si>
    <t>棕榈油</t>
  </si>
  <si>
    <t>艾窝窝</t>
  </si>
  <si>
    <t>白水羊头</t>
  </si>
  <si>
    <t>板油酥饼</t>
  </si>
  <si>
    <t>饼干（VC饼干）</t>
  </si>
  <si>
    <t>饼干（奶油）</t>
  </si>
  <si>
    <t>饼干</t>
  </si>
  <si>
    <t>饼干（补血饼干）</t>
  </si>
  <si>
    <t>饼干（高蛋白饼干）</t>
  </si>
  <si>
    <t>饼干（强化锌，富锌饼干）</t>
  </si>
  <si>
    <t>饼干（曲奇饼）</t>
  </si>
  <si>
    <t>饼干（军用压缩）</t>
  </si>
  <si>
    <t>饼干（儿童营养饼干）</t>
  </si>
  <si>
    <t>饼干（钙奶饼干）</t>
  </si>
  <si>
    <t>饼干（苏打）</t>
  </si>
  <si>
    <t>饼干（维夫饼干）</t>
  </si>
  <si>
    <t>桔子饮料（固体）</t>
  </si>
  <si>
    <t>橘子汁</t>
  </si>
  <si>
    <t>可可粉</t>
  </si>
  <si>
    <t>麦乳精</t>
  </si>
  <si>
    <t>猕猴桃精</t>
  </si>
  <si>
    <t>巧克力豆奶</t>
  </si>
  <si>
    <t>汽水（橙汁汽水）</t>
  </si>
  <si>
    <t>汽水（柠檬汽水）</t>
  </si>
  <si>
    <t>汽水（特制）</t>
  </si>
  <si>
    <t>汽水（特制柠檬汽水）</t>
  </si>
  <si>
    <t>沙棘果汁</t>
  </si>
  <si>
    <t>山楂晶</t>
  </si>
  <si>
    <t>神力宝</t>
  </si>
  <si>
    <t>酸梅晶</t>
  </si>
  <si>
    <t>维尔康运动饮料</t>
  </si>
  <si>
    <t>鲜桔晶</t>
  </si>
  <si>
    <t>鲜橘汁（纸盒）</t>
  </si>
  <si>
    <t>喜得乐</t>
  </si>
  <si>
    <t>喜乐（乳酸饮料）</t>
  </si>
  <si>
    <t>杏仁露</t>
  </si>
  <si>
    <t>雪糕（双棒）</t>
  </si>
  <si>
    <t>紫雪糕</t>
  </si>
  <si>
    <t>白砂糖</t>
  </si>
  <si>
    <t>83</t>
  </si>
  <si>
    <t>白糖（绵白糖）</t>
  </si>
  <si>
    <t>冰糖</t>
  </si>
  <si>
    <t>彩球糖</t>
  </si>
  <si>
    <t>蜂蜜</t>
  </si>
  <si>
    <t>红糖</t>
  </si>
  <si>
    <t>胶姆糖</t>
  </si>
  <si>
    <t>廖花糖</t>
  </si>
  <si>
    <t>马蹄软糖</t>
  </si>
  <si>
    <t>棉花糖</t>
  </si>
  <si>
    <t>米花糖</t>
  </si>
  <si>
    <t>奶糖</t>
  </si>
  <si>
    <t>泡泡糖</t>
  </si>
  <si>
    <t>巧克力</t>
  </si>
  <si>
    <t>巧克力（酒芯）</t>
  </si>
  <si>
    <t>巧克力（维夫，朱古力威化）</t>
  </si>
  <si>
    <t>山楂球</t>
  </si>
  <si>
    <t>水晶糖</t>
  </si>
  <si>
    <t>酸三色糖</t>
  </si>
  <si>
    <t>酥糖</t>
  </si>
  <si>
    <t>鲜桃果汁糖</t>
  </si>
  <si>
    <t>芝麻南糖</t>
  </si>
  <si>
    <t>淀粉（蚕豆，大豆淀粉）</t>
  </si>
  <si>
    <t>淀粉（团粉，芡粉）</t>
  </si>
  <si>
    <t>淀粉（玉米）</t>
  </si>
  <si>
    <t>粉皮</t>
  </si>
  <si>
    <t>粉丝</t>
  </si>
  <si>
    <t>粉条</t>
  </si>
  <si>
    <t>凉粉</t>
  </si>
  <si>
    <t>醋</t>
  </si>
  <si>
    <t>82</t>
  </si>
  <si>
    <t>豆瓣酱（辣油豆瓣酱）</t>
  </si>
  <si>
    <t>豆瓣酱</t>
  </si>
  <si>
    <t>豆豉（五香）</t>
  </si>
  <si>
    <t>黄酱（大酱）</t>
  </si>
  <si>
    <t>花生酱</t>
  </si>
  <si>
    <t>酱油</t>
  </si>
  <si>
    <t>酱油（冬菇）</t>
  </si>
  <si>
    <t>酱油（多味）</t>
  </si>
  <si>
    <t>酱油（高级）</t>
  </si>
  <si>
    <t>酱油（三鲜）</t>
  </si>
  <si>
    <t>酱油（三级）</t>
  </si>
  <si>
    <t>酱油（晒制）</t>
  </si>
  <si>
    <t>酱油（特母）</t>
  </si>
  <si>
    <t>酱油（味精）</t>
  </si>
  <si>
    <t>酱油（一级）</t>
  </si>
  <si>
    <t>酱油（油膏）</t>
  </si>
  <si>
    <t>芥茉</t>
  </si>
  <si>
    <t>辣酱（豆瓣辣酱）</t>
  </si>
  <si>
    <t>辣酱（麻）</t>
  </si>
  <si>
    <t>辣酱（牛肉辣酱）</t>
  </si>
  <si>
    <t>辣酱（郫县辣酱）</t>
  </si>
  <si>
    <t>辣酱（蒜蓉）</t>
  </si>
  <si>
    <t>辣酱（香油辣酱）</t>
  </si>
  <si>
    <t>辣椒酱（辣椒糊）</t>
  </si>
  <si>
    <t>甜面酱</t>
  </si>
  <si>
    <t>味精</t>
  </si>
  <si>
    <t>盐</t>
  </si>
  <si>
    <t>芝麻酱</t>
  </si>
  <si>
    <t>蚕蛹</t>
  </si>
  <si>
    <t>甲鱼</t>
  </si>
  <si>
    <t>老鼠肉</t>
  </si>
  <si>
    <t>蛇（水蛇）</t>
  </si>
  <si>
    <t>蛇（三索线蛇）</t>
  </si>
  <si>
    <t>蛇（饭铲头蛇）</t>
  </si>
  <si>
    <t>蛇（过树榕蛇）</t>
  </si>
  <si>
    <t>蛇</t>
  </si>
  <si>
    <t>田鸡（青蛙）</t>
  </si>
  <si>
    <t>田鸡腿（青蛙腿）</t>
  </si>
  <si>
    <t>蝎子</t>
  </si>
  <si>
    <t>芝麻（白）</t>
  </si>
  <si>
    <t>芝麻（黑）</t>
  </si>
  <si>
    <t>中国鲎</t>
  </si>
  <si>
    <t>碧绿酒（41.0度）</t>
  </si>
  <si>
    <t>86</t>
  </si>
  <si>
    <t>崇明老白酒</t>
  </si>
  <si>
    <t>二锅头（58度）</t>
  </si>
  <si>
    <t>甘州大曲（52.3度）</t>
  </si>
  <si>
    <t>汉口小麦酒（40.0度）</t>
  </si>
  <si>
    <t>汉口白酒（49.6度）</t>
  </si>
  <si>
    <t>黄鹤楼酒（39度）</t>
  </si>
  <si>
    <t>景泰大曲（53.9度）</t>
  </si>
  <si>
    <t>景泰二曲（53.9度）</t>
  </si>
  <si>
    <t>酒泉酒（56.9度）</t>
  </si>
  <si>
    <t>精制小麦酒（40.8度）</t>
  </si>
  <si>
    <t>凉州曲酒（52.8度）</t>
  </si>
  <si>
    <t>宁河大曲（52.5度）</t>
  </si>
  <si>
    <t>宁河二曲（52.6度）</t>
  </si>
  <si>
    <t>曲酒（55度）</t>
  </si>
  <si>
    <t>三粮小麦（55度）</t>
  </si>
  <si>
    <t>丝路春酒（52.8度）</t>
  </si>
  <si>
    <t>低度汉酒（37.2度）</t>
  </si>
  <si>
    <t>特制汉酒（59.9度）</t>
  </si>
  <si>
    <t>特制三粮酒（56.2度）</t>
  </si>
  <si>
    <t>乌林春酒（青稞酒,57.5度）</t>
  </si>
  <si>
    <t>五酿春（44.4度）</t>
  </si>
  <si>
    <t>小麦酒（50度）</t>
  </si>
  <si>
    <t>小麦酒（48度）</t>
  </si>
  <si>
    <t>燕岭春（57度）</t>
  </si>
  <si>
    <t>醉流霞（57度）</t>
  </si>
  <si>
    <t>白葡萄酒（11度）</t>
  </si>
  <si>
    <t>白葡萄酒（14.2度）</t>
  </si>
  <si>
    <t>白葡萄酒（10.4度）</t>
  </si>
  <si>
    <t>红葡萄酒（11.6度）</t>
  </si>
  <si>
    <t>红葡萄酒（12度）</t>
  </si>
  <si>
    <t>玫瑰香葡萄酒（15度）</t>
  </si>
  <si>
    <t>中国红葡萄酒（16度）</t>
  </si>
  <si>
    <t>贡米佳酿（14度）</t>
  </si>
  <si>
    <t>黄酒（5.5度）</t>
  </si>
  <si>
    <t>黄酒（绍兴15,15度）</t>
  </si>
  <si>
    <t>黄酒（13度）</t>
  </si>
  <si>
    <t>黄酒（状元红）</t>
  </si>
  <si>
    <t>黄酒（加饭）</t>
  </si>
  <si>
    <t>黄酒</t>
  </si>
  <si>
    <t>酒酿原汁（江米酒）</t>
  </si>
  <si>
    <t>糯香酒（6.4度）</t>
  </si>
  <si>
    <t>善酿酒</t>
  </si>
  <si>
    <t>蜜酒（14.9度）</t>
  </si>
  <si>
    <t>双喜沙棘酒（14.1度）</t>
  </si>
  <si>
    <t>香雪酒</t>
  </si>
  <si>
    <t>中华沙棘酒（10度）</t>
  </si>
  <si>
    <t>北京啤酒（5.4度）</t>
  </si>
  <si>
    <t>北京特制啤酒（6度）</t>
  </si>
  <si>
    <t>楚天啤酒（2.6度）</t>
  </si>
  <si>
    <t>酒泉啤酒（4.6度）</t>
  </si>
  <si>
    <t>麦饭石啤酒（4.2度）</t>
  </si>
  <si>
    <t>美雪啤酒（5.8度）</t>
  </si>
  <si>
    <t>啤酒（5.5度）</t>
  </si>
  <si>
    <t>秦海啤酒（6度）</t>
  </si>
  <si>
    <t>清爽型啤酒（6度）</t>
  </si>
  <si>
    <t>特制啤酒（5度）</t>
  </si>
  <si>
    <t>VC啤酒（11度）</t>
  </si>
  <si>
    <t>五星啤酒（5.5度）</t>
  </si>
  <si>
    <t>武汉啤酒（3.2度）</t>
  </si>
  <si>
    <t>行吟阁啤酒（3.2度）</t>
  </si>
  <si>
    <t>北京</t>
  </si>
  <si>
    <t>福建 福州</t>
  </si>
  <si>
    <t>广东 番禺</t>
  </si>
  <si>
    <t>江西 奉新</t>
  </si>
  <si>
    <t>山东 曲阜</t>
  </si>
  <si>
    <t>甘肃 临夏</t>
  </si>
  <si>
    <t>黑龙江哈尔滨</t>
  </si>
  <si>
    <t>湖北 武汉</t>
  </si>
  <si>
    <t>山东 济南</t>
  </si>
  <si>
    <t>上海</t>
  </si>
  <si>
    <t>广东</t>
  </si>
  <si>
    <t>福建 莆田</t>
  </si>
  <si>
    <t>甘肃 民勤</t>
  </si>
  <si>
    <t>内蒙古</t>
  </si>
  <si>
    <t>浙江</t>
  </si>
  <si>
    <t>江西 赣州</t>
  </si>
  <si>
    <t>甘肃 山丹</t>
  </si>
  <si>
    <t>福建福州</t>
  </si>
  <si>
    <t>河北南皮</t>
  </si>
  <si>
    <t>山东青岛</t>
  </si>
  <si>
    <t>河北张家口</t>
  </si>
  <si>
    <t>河北保定</t>
  </si>
  <si>
    <t>甘肃合作</t>
  </si>
  <si>
    <t>甘肃张掖</t>
  </si>
  <si>
    <t>山东济宁</t>
  </si>
  <si>
    <t>安徽合肥</t>
  </si>
  <si>
    <t>浙江杭州</t>
  </si>
  <si>
    <t>河北清苑</t>
  </si>
  <si>
    <t>河北高碑店</t>
  </si>
  <si>
    <t>甘肃临夏</t>
  </si>
  <si>
    <t>陕西西安</t>
  </si>
  <si>
    <t>河南郑州</t>
  </si>
  <si>
    <t>江苏</t>
  </si>
  <si>
    <t>广东高要</t>
  </si>
  <si>
    <t>甘肃和政</t>
  </si>
  <si>
    <t>甘肃高台</t>
  </si>
  <si>
    <t>河北邢台</t>
  </si>
  <si>
    <t>湖北武汉</t>
  </si>
  <si>
    <t>甘肃兰州</t>
  </si>
  <si>
    <t>山东崂山</t>
  </si>
  <si>
    <t>福建惠安</t>
  </si>
  <si>
    <t>河北安国</t>
  </si>
  <si>
    <t>重庆</t>
  </si>
  <si>
    <t>福建屏南</t>
  </si>
  <si>
    <t>福建泰宁</t>
  </si>
  <si>
    <t>山东乳山</t>
  </si>
  <si>
    <t>黑龙江</t>
  </si>
  <si>
    <t>甘肃甘南</t>
  </si>
  <si>
    <t>福建连江</t>
  </si>
  <si>
    <t>福建晋江</t>
  </si>
  <si>
    <t>河北承德</t>
  </si>
  <si>
    <t>浙江宁波</t>
  </si>
  <si>
    <t>福建闽侯</t>
  </si>
  <si>
    <t>福建同安</t>
  </si>
  <si>
    <t>福建莆田</t>
  </si>
  <si>
    <t>甘肃靖远</t>
  </si>
  <si>
    <t>福建漳洲</t>
  </si>
  <si>
    <t>江西新干</t>
  </si>
  <si>
    <t>浙江黄岩</t>
  </si>
  <si>
    <t>安徽荡山</t>
  </si>
  <si>
    <t>甘肃民乐</t>
  </si>
  <si>
    <t>甘肃敦煌</t>
  </si>
  <si>
    <t>甘肃敦煌等</t>
  </si>
  <si>
    <t>甘肃临夏等</t>
  </si>
  <si>
    <t>山东龙口</t>
  </si>
  <si>
    <t>甘肃会宁</t>
  </si>
  <si>
    <t>河北青苑</t>
  </si>
  <si>
    <t>甘肃白银</t>
  </si>
  <si>
    <t>安徽萧县</t>
  </si>
  <si>
    <t>甘肃永靖</t>
  </si>
  <si>
    <t>浙江桐乡</t>
  </si>
  <si>
    <t>山东济南</t>
  </si>
  <si>
    <t>安徽怀远</t>
  </si>
  <si>
    <t>甘肃山丹</t>
  </si>
  <si>
    <t>河北满城</t>
  </si>
  <si>
    <t>甘肃民勤</t>
  </si>
  <si>
    <t>福建华安</t>
  </si>
  <si>
    <t>河北沧州</t>
  </si>
  <si>
    <t>甘肃临泽</t>
  </si>
  <si>
    <t>山东利津</t>
  </si>
  <si>
    <t>甘肃积石山</t>
  </si>
  <si>
    <t>浙江金华</t>
  </si>
  <si>
    <t>甘肃陇西</t>
  </si>
  <si>
    <t>甘肃嘉峪关</t>
  </si>
  <si>
    <t>甘肃夏河</t>
  </si>
  <si>
    <t>甘肃</t>
  </si>
  <si>
    <t>福建武平</t>
  </si>
  <si>
    <t>山东胶南</t>
  </si>
  <si>
    <t>山东平度</t>
  </si>
  <si>
    <t>江西泰和</t>
  </si>
  <si>
    <t>山东</t>
  </si>
  <si>
    <t>江西南昌</t>
  </si>
  <si>
    <t>陕西三原</t>
  </si>
  <si>
    <t>河北雄县</t>
  </si>
  <si>
    <t>江西</t>
  </si>
  <si>
    <t>山东烟台</t>
  </si>
  <si>
    <t>福建福清</t>
  </si>
  <si>
    <t>福建宁德</t>
  </si>
  <si>
    <t>福建平潭</t>
  </si>
  <si>
    <t>江西赣州</t>
  </si>
  <si>
    <t>江西南丰</t>
  </si>
  <si>
    <t>山东荷泽</t>
  </si>
  <si>
    <t>山东高密</t>
  </si>
  <si>
    <t>河北望都</t>
  </si>
  <si>
    <t>甘肃皋兰</t>
  </si>
  <si>
    <t>福建永定</t>
  </si>
  <si>
    <t>甘肃天生园</t>
  </si>
  <si>
    <t>济南</t>
  </si>
  <si>
    <t>山东沙子口</t>
  </si>
  <si>
    <t>河北遵化</t>
  </si>
  <si>
    <t>河北安新</t>
  </si>
  <si>
    <t>福建厦门</t>
  </si>
  <si>
    <t>河北秦皇岛</t>
  </si>
  <si>
    <t>甘肃永昌</t>
  </si>
  <si>
    <t>江西瑞金</t>
  </si>
  <si>
    <t>甘肃黄羊镇</t>
  </si>
  <si>
    <t>甘肃景泰</t>
  </si>
  <si>
    <t>甘肃酒泉</t>
  </si>
  <si>
    <t>甘肃武威</t>
  </si>
  <si>
    <t>甘肃古浪</t>
  </si>
  <si>
    <t>浙江绍兴</t>
  </si>
  <si>
    <t>河北宣化</t>
  </si>
  <si>
    <t>河北易县</t>
  </si>
  <si>
    <t>河北山海关</t>
  </si>
  <si>
    <t>碳水</t>
    <phoneticPr fontId="16" type="noConversion"/>
  </si>
  <si>
    <t>宇粮刀削面（干）</t>
  </si>
  <si>
    <t>碳</t>
  </si>
  <si>
    <t>蛋</t>
  </si>
  <si>
    <t>脂</t>
  </si>
  <si>
    <t>营养成分</t>
    <phoneticPr fontId="15" type="noConversion"/>
  </si>
  <si>
    <t>100g
含量</t>
    <phoneticPr fontId="15" type="noConversion"/>
  </si>
  <si>
    <t>应摄入量</t>
    <phoneticPr fontId="15" type="noConversion"/>
  </si>
  <si>
    <t>实际
摄入量</t>
    <phoneticPr fontId="15" type="noConversion"/>
  </si>
  <si>
    <t>大概分摊</t>
  </si>
  <si>
    <t>碳</t>
    <phoneticPr fontId="15" type="noConversion"/>
  </si>
  <si>
    <t>每餐食物量
及成分</t>
    <phoneticPr fontId="15" type="noConversion"/>
  </si>
  <si>
    <t>组合</t>
    <phoneticPr fontId="15" type="noConversion"/>
  </si>
  <si>
    <t>*能吃蔬菜更好，能扛饿+压制胰岛素帮助减脂</t>
    <phoneticPr fontId="15" type="noConversion"/>
  </si>
  <si>
    <t>午餐</t>
  </si>
  <si>
    <t>晚餐</t>
  </si>
  <si>
    <t>午餐</t>
    <phoneticPr fontId="15" type="noConversion"/>
  </si>
  <si>
    <t>晚餐</t>
    <phoneticPr fontId="15" type="noConversion"/>
  </si>
  <si>
    <t>*上述配额留出了2成碳水和2成蛋白质作为机动</t>
    <phoneticPr fontId="15" type="noConversion"/>
  </si>
  <si>
    <t>*尽量多吃先吃蔬菜，能扛饿+压制胰岛素帮助减脂</t>
    <phoneticPr fontId="15" type="noConversion"/>
  </si>
  <si>
    <t>*上述配额留出了1成碳水和2成蛋白质作为机动</t>
    <phoneticPr fontId="15" type="noConversion"/>
  </si>
  <si>
    <t>*练完半小时内开吃
*没正餐可用便携快餐+蛋白粉
*少吃不吃蔬菜</t>
    <phoneticPr fontId="15" type="noConversion"/>
  </si>
  <si>
    <t>晚餐/练后餐</t>
    <phoneticPr fontId="15" type="noConversion"/>
  </si>
  <si>
    <t>餐序</t>
    <phoneticPr fontId="16" type="noConversion"/>
  </si>
  <si>
    <t>套餐选择</t>
    <phoneticPr fontId="16" type="noConversion"/>
  </si>
  <si>
    <t>休息日搭配</t>
    <phoneticPr fontId="16" type="noConversion"/>
  </si>
  <si>
    <t>力训日搭配</t>
    <phoneticPr fontId="16" type="noConversion"/>
  </si>
  <si>
    <t>捷氏燕麦片</t>
  </si>
  <si>
    <t>鸡蛋</t>
  </si>
  <si>
    <t>纯牛奶</t>
    <phoneticPr fontId="15" type="noConversion"/>
  </si>
  <si>
    <t>鸡蛋</t>
    <phoneticPr fontId="15" type="noConversion"/>
  </si>
  <si>
    <t>西红柿</t>
  </si>
  <si>
    <t>合计</t>
    <phoneticPr fontId="15" type="noConversion"/>
  </si>
  <si>
    <t>炖鸡肉</t>
  </si>
  <si>
    <t>蘑菇</t>
  </si>
  <si>
    <t>鸡肉</t>
  </si>
  <si>
    <t>营养</t>
    <phoneticPr fontId="15" type="noConversion"/>
  </si>
  <si>
    <t>每餐量g</t>
    <phoneticPr fontId="15" type="noConversion"/>
  </si>
  <si>
    <t>*上述配额留出了1成碳水和1成蛋白质作为机动</t>
    <phoneticPr fontId="15" type="noConversion"/>
  </si>
  <si>
    <t>每份含量</t>
  </si>
  <si>
    <t>牛肉干</t>
    <phoneticPr fontId="15" type="noConversion"/>
  </si>
  <si>
    <t>炖鸡肉</t>
    <phoneticPr fontId="15" type="noConversion"/>
  </si>
  <si>
    <t>米饭（很软）</t>
    <phoneticPr fontId="15" type="noConversion"/>
  </si>
  <si>
    <t>炒茄子</t>
    <phoneticPr fontId="15" type="noConversion"/>
  </si>
  <si>
    <t>炒茄子</t>
  </si>
  <si>
    <t>卤牛肉</t>
  </si>
  <si>
    <t>娃娃菜</t>
    <phoneticPr fontId="15" type="noConversion"/>
  </si>
  <si>
    <t>肥肉</t>
    <phoneticPr fontId="15" type="noConversion"/>
  </si>
  <si>
    <t>油</t>
    <phoneticPr fontId="15" type="noConversion"/>
  </si>
  <si>
    <t>油+渣</t>
    <phoneticPr fontId="15" type="noConversion"/>
  </si>
  <si>
    <t>早1</t>
    <phoneticPr fontId="15" type="noConversion"/>
  </si>
  <si>
    <t>早2</t>
  </si>
  <si>
    <t>早3</t>
  </si>
  <si>
    <t>早4</t>
  </si>
  <si>
    <t>早5</t>
  </si>
  <si>
    <t>早6</t>
  </si>
  <si>
    <t>早7</t>
  </si>
  <si>
    <t>午1</t>
    <phoneticPr fontId="15" type="noConversion"/>
  </si>
  <si>
    <t>午2</t>
  </si>
  <si>
    <t>午3</t>
  </si>
  <si>
    <t>午4</t>
  </si>
  <si>
    <t>午5</t>
  </si>
  <si>
    <t>午6</t>
  </si>
  <si>
    <t>午7</t>
  </si>
  <si>
    <t>晚1</t>
    <phoneticPr fontId="15" type="noConversion"/>
  </si>
  <si>
    <t>晚2</t>
  </si>
  <si>
    <t>晚3</t>
  </si>
  <si>
    <t>晚4</t>
  </si>
  <si>
    <t>晚5</t>
  </si>
  <si>
    <t>晚6</t>
  </si>
  <si>
    <t>晚7</t>
  </si>
  <si>
    <t>夜1</t>
    <phoneticPr fontId="15" type="noConversion"/>
  </si>
  <si>
    <t>夜2</t>
  </si>
  <si>
    <t>夜3</t>
  </si>
  <si>
    <t>夜4</t>
  </si>
  <si>
    <t>夜5</t>
  </si>
  <si>
    <t>夜6</t>
  </si>
  <si>
    <t>夜7</t>
  </si>
  <si>
    <t>早1</t>
    <phoneticPr fontId="16" type="noConversion"/>
  </si>
  <si>
    <t>午1</t>
    <phoneticPr fontId="16" type="noConversion"/>
  </si>
  <si>
    <t>晚1</t>
    <phoneticPr fontId="16" type="noConversion"/>
  </si>
  <si>
    <t>夜1</t>
    <phoneticPr fontId="16" type="noConversion"/>
  </si>
  <si>
    <t>前1</t>
    <phoneticPr fontId="16" type="noConversion"/>
  </si>
  <si>
    <t>前2</t>
  </si>
  <si>
    <t>前3</t>
  </si>
  <si>
    <t>前4</t>
  </si>
  <si>
    <t>前5</t>
  </si>
  <si>
    <t>前6</t>
  </si>
  <si>
    <t>前7</t>
  </si>
  <si>
    <t>后1</t>
    <phoneticPr fontId="16" type="noConversion"/>
  </si>
  <si>
    <t>后2</t>
  </si>
  <si>
    <t>后3</t>
  </si>
  <si>
    <t>后4</t>
  </si>
  <si>
    <t>后5</t>
  </si>
  <si>
    <t>后6</t>
  </si>
  <si>
    <t>后7</t>
  </si>
  <si>
    <t>红肠</t>
  </si>
  <si>
    <t>茄子</t>
    <phoneticPr fontId="15" type="noConversion"/>
  </si>
  <si>
    <t>饮食总量</t>
    <phoneticPr fontId="15" type="noConversion"/>
  </si>
  <si>
    <t>体重(kg)</t>
    <phoneticPr fontId="15" type="noConversion"/>
  </si>
  <si>
    <t>蛋白质</t>
    <phoneticPr fontId="15" type="noConversion"/>
  </si>
  <si>
    <t>肌肉量</t>
    <phoneticPr fontId="15" type="noConversion"/>
  </si>
  <si>
    <t>有氧运动</t>
    <phoneticPr fontId="15" type="noConversion"/>
  </si>
  <si>
    <t>E12+E12*E14+E12*E15</t>
    <phoneticPr fontId="15" type="noConversion"/>
  </si>
  <si>
    <t>G12+G12*G14</t>
  </si>
  <si>
    <t>B4*K26</t>
  </si>
  <si>
    <t>B4*K27</t>
  </si>
  <si>
    <t>碳水饮食总量=体重*摄入配额</t>
    <phoneticPr fontId="15" type="noConversion"/>
  </si>
  <si>
    <t>蛋白质饮食总量=体重*摄入配额</t>
    <phoneticPr fontId="15" type="noConversion"/>
  </si>
  <si>
    <t>G13+G13*G14</t>
  </si>
  <si>
    <t>B4*K30</t>
  </si>
  <si>
    <t>B4*K31</t>
  </si>
  <si>
    <t>E13+E13*E15</t>
  </si>
  <si>
    <t>(B4/B3/B3)*1000</t>
  </si>
  <si>
    <t>碳水摄入配额=碳水+碳水*肌肉量+碳水*有氧运动</t>
    <phoneticPr fontId="15" type="noConversion"/>
  </si>
  <si>
    <t>蛋白质摄入配额=蛋白质+蛋白质*肌肉量</t>
    <phoneticPr fontId="15" type="noConversion"/>
  </si>
  <si>
    <t>碳水摄入配额=碳水+碳水*有氧运动</t>
    <phoneticPr fontId="15" type="noConversion"/>
  </si>
  <si>
    <t>米</t>
    <phoneticPr fontId="15" type="noConversion"/>
  </si>
  <si>
    <t>水</t>
    <phoneticPr fontId="15" type="noConversion"/>
  </si>
  <si>
    <t>较硬</t>
    <phoneticPr fontId="15" type="noConversion"/>
  </si>
  <si>
    <t>软</t>
    <phoneticPr fontId="15" type="noConversion"/>
  </si>
  <si>
    <t>很软</t>
    <phoneticPr fontId="15" type="noConversion"/>
  </si>
  <si>
    <t>软</t>
  </si>
  <si>
    <t>主食</t>
    <phoneticPr fontId="15" type="noConversion"/>
  </si>
  <si>
    <t>粉条</t>
    <phoneticPr fontId="15" type="noConversion"/>
  </si>
  <si>
    <t>核桃吐司面包</t>
    <phoneticPr fontId="15" type="noConversion"/>
  </si>
  <si>
    <t>油酥烧饼</t>
    <phoneticPr fontId="15" type="noConversion"/>
  </si>
  <si>
    <t>蔬菜</t>
    <phoneticPr fontId="15" type="noConversion"/>
  </si>
  <si>
    <t>西红柿</t>
    <phoneticPr fontId="15" type="noConversion"/>
  </si>
  <si>
    <t>油菜</t>
    <phoneticPr fontId="15" type="noConversion"/>
  </si>
  <si>
    <t>冬瓜</t>
    <phoneticPr fontId="15" type="noConversion"/>
  </si>
  <si>
    <t>菠菜</t>
    <phoneticPr fontId="15" type="noConversion"/>
  </si>
  <si>
    <t>油脂</t>
    <phoneticPr fontId="15" type="noConversion"/>
  </si>
  <si>
    <t>鸡肉</t>
    <phoneticPr fontId="15" type="noConversion"/>
  </si>
  <si>
    <t>鲁花花生油</t>
    <phoneticPr fontId="15" type="noConversion"/>
  </si>
  <si>
    <t>生牛肉</t>
    <phoneticPr fontId="15" type="noConversion"/>
  </si>
  <si>
    <t>卤牛肉</t>
    <phoneticPr fontId="15" type="noConversion"/>
  </si>
  <si>
    <t>鲳鱼炸</t>
    <phoneticPr fontId="15" type="noConversion"/>
  </si>
  <si>
    <t>五香烤肠</t>
    <phoneticPr fontId="15" type="noConversion"/>
  </si>
  <si>
    <t>红肠</t>
    <phoneticPr fontId="15" type="noConversion"/>
  </si>
  <si>
    <t>水果</t>
    <phoneticPr fontId="15" type="noConversion"/>
  </si>
  <si>
    <t>冬枣</t>
    <phoneticPr fontId="15" type="noConversion"/>
  </si>
  <si>
    <t>炒菜</t>
    <phoneticPr fontId="15" type="noConversion"/>
  </si>
  <si>
    <t>卷心菜豆皮</t>
    <phoneticPr fontId="15" type="noConversion"/>
  </si>
  <si>
    <t>豉椒肉丝</t>
    <phoneticPr fontId="15" type="noConversion"/>
  </si>
  <si>
    <t>花生米(油炸)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</si>
</sst>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5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10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20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1" fillId="0" borderId="0"/>
  </cellStyleXfs>
  <cellXfs count="231">
    <xf numFmtId="0" fontId="0" fillId="0" borderId="0" xfId="0">
      <alignment vertical="center"/>
    </xf>
    <xf numFmtId="0" fontId="14" fillId="0" borderId="0" xfId="0" applyFont="1">
      <alignment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vertical="center" wrapText="1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left" vertical="center" wrapText="1"/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Protection="1">
      <alignment vertical="center"/>
      <protection locked="0"/>
    </xf>
    <xf numFmtId="9" fontId="14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14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14" xfId="0" applyFont="1" applyFill="1" applyBorder="1" applyAlignment="1" applyProtection="1">
      <alignment horizontal="center" vertical="center" wrapText="1"/>
      <protection locked="0"/>
    </xf>
    <xf numFmtId="0" fontId="12" fillId="2" borderId="14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quotePrefix="1" applyFont="1" applyBorder="1" applyAlignment="1">
      <alignment horizontal="center" vertical="center" wrapText="1"/>
    </xf>
    <xf numFmtId="0" fontId="17" fillId="0" borderId="0" xfId="1" applyFont="1" applyAlignment="1">
      <alignment horizontal="center"/>
    </xf>
    <xf numFmtId="0" fontId="17" fillId="0" borderId="0" xfId="1" applyFont="1"/>
    <xf numFmtId="0" fontId="20" fillId="0" borderId="16" xfId="1" applyFont="1" applyBorder="1" applyAlignment="1">
      <alignment horizontal="center" vertical="center" wrapText="1"/>
    </xf>
    <xf numFmtId="0" fontId="20" fillId="0" borderId="16" xfId="1" quotePrefix="1" applyFont="1" applyBorder="1" applyAlignment="1">
      <alignment horizontal="center" vertical="center" wrapText="1"/>
    </xf>
    <xf numFmtId="0" fontId="20" fillId="0" borderId="16" xfId="1" quotePrefix="1" applyFont="1" applyBorder="1" applyAlignment="1">
      <alignment horizontal="right" vertical="center" wrapText="1"/>
    </xf>
    <xf numFmtId="0" fontId="20" fillId="0" borderId="17" xfId="1" quotePrefix="1" applyFont="1" applyBorder="1" applyAlignment="1">
      <alignment horizontal="center" vertical="center" wrapText="1"/>
    </xf>
    <xf numFmtId="0" fontId="17" fillId="0" borderId="0" xfId="1" applyFont="1" applyAlignment="1">
      <alignment horizontal="center" vertical="center" wrapText="1"/>
    </xf>
    <xf numFmtId="0" fontId="17" fillId="0" borderId="19" xfId="1" applyFont="1" applyBorder="1" applyAlignment="1">
      <alignment horizontal="center"/>
    </xf>
    <xf numFmtId="0" fontId="17" fillId="0" borderId="20" xfId="1" applyFont="1" applyBorder="1"/>
    <xf numFmtId="0" fontId="17" fillId="0" borderId="20" xfId="1" quotePrefix="1" applyFont="1" applyBorder="1"/>
    <xf numFmtId="0" fontId="17" fillId="0" borderId="20" xfId="1" quotePrefix="1" applyFont="1" applyBorder="1" applyAlignment="1">
      <alignment horizontal="right"/>
    </xf>
    <xf numFmtId="0" fontId="17" fillId="0" borderId="21" xfId="1" quotePrefix="1" applyFont="1" applyBorder="1"/>
    <xf numFmtId="0" fontId="17" fillId="0" borderId="22" xfId="1" applyFont="1" applyBorder="1" applyAlignment="1">
      <alignment horizontal="center"/>
    </xf>
    <xf numFmtId="0" fontId="17" fillId="0" borderId="23" xfId="1" quotePrefix="1" applyFont="1" applyBorder="1"/>
    <xf numFmtId="0" fontId="17" fillId="0" borderId="23" xfId="1" applyFont="1" applyBorder="1"/>
    <xf numFmtId="0" fontId="17" fillId="0" borderId="23" xfId="1" quotePrefix="1" applyFont="1" applyBorder="1" applyAlignment="1">
      <alignment horizontal="right"/>
    </xf>
    <xf numFmtId="0" fontId="17" fillId="0" borderId="24" xfId="1" quotePrefix="1" applyFont="1" applyBorder="1"/>
    <xf numFmtId="0" fontId="17" fillId="0" borderId="0" xfId="1" applyFont="1" applyAlignment="1">
      <alignment horizontal="right"/>
    </xf>
    <xf numFmtId="0" fontId="17" fillId="0" borderId="15" xfId="1" applyFont="1" applyBorder="1" applyAlignment="1">
      <alignment horizontal="center" vertical="center" wrapText="1"/>
    </xf>
    <xf numFmtId="0" fontId="17" fillId="0" borderId="16" xfId="1" applyFont="1" applyBorder="1" applyAlignment="1">
      <alignment horizontal="center" vertical="center" wrapText="1"/>
    </xf>
    <xf numFmtId="0" fontId="17" fillId="0" borderId="16" xfId="1" quotePrefix="1" applyFont="1" applyBorder="1" applyAlignment="1">
      <alignment horizontal="center" vertical="center" wrapText="1"/>
    </xf>
    <xf numFmtId="0" fontId="19" fillId="0" borderId="16" xfId="1" quotePrefix="1" applyFont="1" applyBorder="1" applyAlignment="1">
      <alignment horizontal="center" vertical="center" wrapText="1"/>
    </xf>
    <xf numFmtId="0" fontId="17" fillId="0" borderId="17" xfId="1" quotePrefix="1" applyFont="1" applyBorder="1" applyAlignment="1">
      <alignment horizontal="center" vertical="center" wrapText="1"/>
    </xf>
    <xf numFmtId="0" fontId="17" fillId="0" borderId="19" xfId="1" applyFont="1" applyBorder="1"/>
    <xf numFmtId="0" fontId="19" fillId="0" borderId="20" xfId="1" quotePrefix="1" applyFont="1" applyBorder="1"/>
    <xf numFmtId="0" fontId="17" fillId="0" borderId="21" xfId="1" applyFont="1" applyBorder="1"/>
    <xf numFmtId="0" fontId="17" fillId="0" borderId="19" xfId="1" quotePrefix="1" applyFont="1" applyBorder="1"/>
    <xf numFmtId="0" fontId="19" fillId="0" borderId="20" xfId="1" applyFont="1" applyBorder="1"/>
    <xf numFmtId="0" fontId="17" fillId="0" borderId="22" xfId="1" quotePrefix="1" applyFont="1" applyBorder="1"/>
    <xf numFmtId="0" fontId="19" fillId="0" borderId="23" xfId="1" applyFont="1" applyBorder="1"/>
    <xf numFmtId="0" fontId="17" fillId="0" borderId="24" xfId="1" applyFont="1" applyBorder="1"/>
    <xf numFmtId="0" fontId="19" fillId="0" borderId="0" xfId="1" applyFont="1"/>
    <xf numFmtId="9" fontId="9" fillId="0" borderId="1" xfId="0" applyNumberFormat="1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1" xfId="0" applyFont="1" applyBorder="1" applyAlignment="1">
      <alignment horizontal="center" vertical="center"/>
    </xf>
    <xf numFmtId="176" fontId="9" fillId="0" borderId="1" xfId="0" applyNumberFormat="1" applyFont="1" applyBorder="1" applyAlignment="1" applyProtection="1">
      <alignment horizontal="center" vertical="center" wrapText="1"/>
      <protection locked="0"/>
    </xf>
    <xf numFmtId="176" fontId="9" fillId="0" borderId="1" xfId="0" applyNumberFormat="1" applyFont="1" applyBorder="1" applyAlignment="1">
      <alignment horizontal="center" vertical="center" wrapText="1"/>
    </xf>
    <xf numFmtId="176" fontId="9" fillId="0" borderId="0" xfId="0" applyNumberFormat="1" applyFont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9" fontId="7" fillId="4" borderId="1" xfId="0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9" fontId="7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176" fontId="7" fillId="0" borderId="14" xfId="0" applyNumberFormat="1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>
      <alignment vertical="center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3" borderId="0" xfId="0" applyFont="1" applyFill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12" fillId="6" borderId="1" xfId="0" applyFont="1" applyFill="1" applyBorder="1" applyAlignment="1" applyProtection="1">
      <alignment horizontal="center" vertical="center" wrapText="1"/>
      <protection locked="0"/>
    </xf>
    <xf numFmtId="0" fontId="12" fillId="6" borderId="1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2" fillId="6" borderId="14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vertical="center" wrapText="1"/>
    </xf>
    <xf numFmtId="0" fontId="1" fillId="0" borderId="25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176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76" fontId="1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176" fontId="1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1" xfId="0" applyFont="1" applyBorder="1">
      <alignment vertical="center"/>
    </xf>
    <xf numFmtId="0" fontId="14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2" fillId="6" borderId="1" xfId="0" applyFont="1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>
      <alignment horizontal="center" vertical="center" wrapText="1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 wrapText="1"/>
    </xf>
    <xf numFmtId="0" fontId="12" fillId="0" borderId="1" xfId="0" applyFont="1" applyBorder="1" applyAlignment="1" applyProtection="1">
      <alignment vertical="center" wrapText="1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12" fillId="0" borderId="1" xfId="0" applyFont="1" applyBorder="1" applyAlignment="1">
      <alignment horizontal="left" vertical="center" wrapText="1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1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1" fillId="0" borderId="4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1" fillId="0" borderId="1" xfId="0" applyFont="1" applyBorder="1">
      <alignment vertical="center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1" fillId="0" borderId="4" xfId="0" applyFont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25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4" fillId="0" borderId="2" xfId="0" applyFont="1" applyBorder="1">
      <alignment vertical="center"/>
    </xf>
    <xf numFmtId="0" fontId="14" fillId="0" borderId="3" xfId="0" applyFont="1" applyBorder="1">
      <alignment vertical="center"/>
    </xf>
    <xf numFmtId="0" fontId="14" fillId="0" borderId="1" xfId="0" applyFont="1" applyBorder="1">
      <alignment vertical="center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25" xfId="0" applyFont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10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 applyProtection="1">
      <alignment horizontal="center" vertical="center" wrapText="1"/>
      <protection locked="0"/>
    </xf>
    <xf numFmtId="0" fontId="14" fillId="0" borderId="13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left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0" fontId="14" fillId="0" borderId="6" xfId="0" applyFont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14" fillId="0" borderId="1" xfId="0" applyFont="1" applyBorder="1" applyAlignment="1" applyProtection="1">
      <alignment horizontal="left" vertical="center" wrapText="1"/>
      <protection locked="0"/>
    </xf>
    <xf numFmtId="0" fontId="9" fillId="0" borderId="4" xfId="0" applyFont="1" applyBorder="1" applyAlignment="1" applyProtection="1">
      <alignment horizontal="left" vertical="center" wrapText="1"/>
      <protection locked="0"/>
    </xf>
    <xf numFmtId="0" fontId="14" fillId="0" borderId="6" xfId="0" applyFont="1" applyBorder="1" applyAlignment="1" applyProtection="1">
      <alignment horizontal="left" vertical="center" wrapText="1"/>
      <protection locked="0"/>
    </xf>
    <xf numFmtId="0" fontId="14" fillId="0" borderId="7" xfId="0" applyFont="1" applyBorder="1" applyAlignment="1" applyProtection="1">
      <alignment horizontal="left" vertical="center" wrapText="1"/>
      <protection locked="0"/>
    </xf>
    <xf numFmtId="9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0" fontId="14" fillId="0" borderId="7" xfId="0" applyFont="1" applyBorder="1" applyAlignment="1" applyProtection="1">
      <alignment horizontal="center" vertical="center" wrapText="1"/>
      <protection locked="0"/>
    </xf>
    <xf numFmtId="0" fontId="19" fillId="0" borderId="0" xfId="1" applyFont="1" applyAlignment="1">
      <alignment horizontal="center"/>
    </xf>
    <xf numFmtId="0" fontId="19" fillId="0" borderId="18" xfId="1" applyFont="1" applyBorder="1" applyAlignment="1">
      <alignment horizontal="center"/>
    </xf>
  </cellXfs>
  <cellStyles count="2">
    <cellStyle name="常规" xfId="0" builtinId="0"/>
    <cellStyle name="常规 2" xfId="1" xr:uid="{0226401D-D691-418C-8342-27DE7F3798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316871</xdr:colOff>
          <xdr:row>1</xdr:row>
          <xdr:rowOff>181069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</xdr:row>
          <xdr:rowOff>9053</xdr:rowOff>
        </xdr:from>
        <xdr:to>
          <xdr:col>2</xdr:col>
          <xdr:colOff>869133</xdr:colOff>
          <xdr:row>2</xdr:row>
          <xdr:rowOff>172016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</xdr:row>
          <xdr:rowOff>9053</xdr:rowOff>
        </xdr:from>
        <xdr:to>
          <xdr:col>3</xdr:col>
          <xdr:colOff>869133</xdr:colOff>
          <xdr:row>2</xdr:row>
          <xdr:rowOff>172016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</xdr:row>
          <xdr:rowOff>9053</xdr:rowOff>
        </xdr:from>
        <xdr:to>
          <xdr:col>4</xdr:col>
          <xdr:colOff>869133</xdr:colOff>
          <xdr:row>2</xdr:row>
          <xdr:rowOff>172016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3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</xdr:row>
          <xdr:rowOff>9053</xdr:rowOff>
        </xdr:from>
        <xdr:to>
          <xdr:col>5</xdr:col>
          <xdr:colOff>869133</xdr:colOff>
          <xdr:row>2</xdr:row>
          <xdr:rowOff>172016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3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3</xdr:row>
          <xdr:rowOff>9053</xdr:rowOff>
        </xdr:from>
        <xdr:to>
          <xdr:col>2</xdr:col>
          <xdr:colOff>869133</xdr:colOff>
          <xdr:row>3</xdr:row>
          <xdr:rowOff>172016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3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4</xdr:row>
          <xdr:rowOff>9053</xdr:rowOff>
        </xdr:from>
        <xdr:to>
          <xdr:col>2</xdr:col>
          <xdr:colOff>869133</xdr:colOff>
          <xdr:row>4</xdr:row>
          <xdr:rowOff>172016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3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5</xdr:row>
          <xdr:rowOff>9053</xdr:rowOff>
        </xdr:from>
        <xdr:to>
          <xdr:col>2</xdr:col>
          <xdr:colOff>869133</xdr:colOff>
          <xdr:row>5</xdr:row>
          <xdr:rowOff>172016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3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6</xdr:row>
          <xdr:rowOff>9053</xdr:rowOff>
        </xdr:from>
        <xdr:to>
          <xdr:col>2</xdr:col>
          <xdr:colOff>869133</xdr:colOff>
          <xdr:row>6</xdr:row>
          <xdr:rowOff>172016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3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7</xdr:row>
          <xdr:rowOff>9053</xdr:rowOff>
        </xdr:from>
        <xdr:to>
          <xdr:col>2</xdr:col>
          <xdr:colOff>869133</xdr:colOff>
          <xdr:row>7</xdr:row>
          <xdr:rowOff>172016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3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8</xdr:row>
          <xdr:rowOff>9053</xdr:rowOff>
        </xdr:from>
        <xdr:to>
          <xdr:col>2</xdr:col>
          <xdr:colOff>869133</xdr:colOff>
          <xdr:row>8</xdr:row>
          <xdr:rowOff>172016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3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9</xdr:row>
          <xdr:rowOff>9053</xdr:rowOff>
        </xdr:from>
        <xdr:to>
          <xdr:col>2</xdr:col>
          <xdr:colOff>869133</xdr:colOff>
          <xdr:row>9</xdr:row>
          <xdr:rowOff>172016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3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10</xdr:row>
          <xdr:rowOff>9053</xdr:rowOff>
        </xdr:from>
        <xdr:to>
          <xdr:col>2</xdr:col>
          <xdr:colOff>869133</xdr:colOff>
          <xdr:row>10</xdr:row>
          <xdr:rowOff>172016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3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11</xdr:row>
          <xdr:rowOff>9053</xdr:rowOff>
        </xdr:from>
        <xdr:to>
          <xdr:col>2</xdr:col>
          <xdr:colOff>869133</xdr:colOff>
          <xdr:row>11</xdr:row>
          <xdr:rowOff>172016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12</xdr:row>
          <xdr:rowOff>9053</xdr:rowOff>
        </xdr:from>
        <xdr:to>
          <xdr:col>2</xdr:col>
          <xdr:colOff>869133</xdr:colOff>
          <xdr:row>12</xdr:row>
          <xdr:rowOff>172016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3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13</xdr:row>
          <xdr:rowOff>9053</xdr:rowOff>
        </xdr:from>
        <xdr:to>
          <xdr:col>2</xdr:col>
          <xdr:colOff>869133</xdr:colOff>
          <xdr:row>13</xdr:row>
          <xdr:rowOff>172016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3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14</xdr:row>
          <xdr:rowOff>9053</xdr:rowOff>
        </xdr:from>
        <xdr:to>
          <xdr:col>2</xdr:col>
          <xdr:colOff>869133</xdr:colOff>
          <xdr:row>14</xdr:row>
          <xdr:rowOff>172016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3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15</xdr:row>
          <xdr:rowOff>9053</xdr:rowOff>
        </xdr:from>
        <xdr:to>
          <xdr:col>2</xdr:col>
          <xdr:colOff>869133</xdr:colOff>
          <xdr:row>15</xdr:row>
          <xdr:rowOff>172016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3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16</xdr:row>
          <xdr:rowOff>9053</xdr:rowOff>
        </xdr:from>
        <xdr:to>
          <xdr:col>2</xdr:col>
          <xdr:colOff>869133</xdr:colOff>
          <xdr:row>16</xdr:row>
          <xdr:rowOff>172016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17</xdr:row>
          <xdr:rowOff>9053</xdr:rowOff>
        </xdr:from>
        <xdr:to>
          <xdr:col>2</xdr:col>
          <xdr:colOff>869133</xdr:colOff>
          <xdr:row>17</xdr:row>
          <xdr:rowOff>172016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3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18</xdr:row>
          <xdr:rowOff>9053</xdr:rowOff>
        </xdr:from>
        <xdr:to>
          <xdr:col>2</xdr:col>
          <xdr:colOff>869133</xdr:colOff>
          <xdr:row>18</xdr:row>
          <xdr:rowOff>172016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19</xdr:row>
          <xdr:rowOff>9053</xdr:rowOff>
        </xdr:from>
        <xdr:to>
          <xdr:col>2</xdr:col>
          <xdr:colOff>869133</xdr:colOff>
          <xdr:row>19</xdr:row>
          <xdr:rowOff>172016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20</xdr:row>
          <xdr:rowOff>9053</xdr:rowOff>
        </xdr:from>
        <xdr:to>
          <xdr:col>2</xdr:col>
          <xdr:colOff>869133</xdr:colOff>
          <xdr:row>20</xdr:row>
          <xdr:rowOff>172016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21</xdr:row>
          <xdr:rowOff>9053</xdr:rowOff>
        </xdr:from>
        <xdr:to>
          <xdr:col>2</xdr:col>
          <xdr:colOff>869133</xdr:colOff>
          <xdr:row>21</xdr:row>
          <xdr:rowOff>172016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22</xdr:row>
          <xdr:rowOff>9053</xdr:rowOff>
        </xdr:from>
        <xdr:to>
          <xdr:col>2</xdr:col>
          <xdr:colOff>869133</xdr:colOff>
          <xdr:row>22</xdr:row>
          <xdr:rowOff>172016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23</xdr:row>
          <xdr:rowOff>9053</xdr:rowOff>
        </xdr:from>
        <xdr:to>
          <xdr:col>2</xdr:col>
          <xdr:colOff>869133</xdr:colOff>
          <xdr:row>23</xdr:row>
          <xdr:rowOff>172016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24</xdr:row>
          <xdr:rowOff>9053</xdr:rowOff>
        </xdr:from>
        <xdr:to>
          <xdr:col>2</xdr:col>
          <xdr:colOff>869133</xdr:colOff>
          <xdr:row>24</xdr:row>
          <xdr:rowOff>172016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25</xdr:row>
          <xdr:rowOff>9053</xdr:rowOff>
        </xdr:from>
        <xdr:to>
          <xdr:col>2</xdr:col>
          <xdr:colOff>869133</xdr:colOff>
          <xdr:row>25</xdr:row>
          <xdr:rowOff>172016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3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26</xdr:row>
          <xdr:rowOff>9053</xdr:rowOff>
        </xdr:from>
        <xdr:to>
          <xdr:col>2</xdr:col>
          <xdr:colOff>869133</xdr:colOff>
          <xdr:row>26</xdr:row>
          <xdr:rowOff>172016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27</xdr:row>
          <xdr:rowOff>9053</xdr:rowOff>
        </xdr:from>
        <xdr:to>
          <xdr:col>2</xdr:col>
          <xdr:colOff>869133</xdr:colOff>
          <xdr:row>27</xdr:row>
          <xdr:rowOff>172016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28</xdr:row>
          <xdr:rowOff>9053</xdr:rowOff>
        </xdr:from>
        <xdr:to>
          <xdr:col>2</xdr:col>
          <xdr:colOff>869133</xdr:colOff>
          <xdr:row>28</xdr:row>
          <xdr:rowOff>172016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29</xdr:row>
          <xdr:rowOff>9053</xdr:rowOff>
        </xdr:from>
        <xdr:to>
          <xdr:col>2</xdr:col>
          <xdr:colOff>869133</xdr:colOff>
          <xdr:row>29</xdr:row>
          <xdr:rowOff>172016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3</xdr:row>
          <xdr:rowOff>9053</xdr:rowOff>
        </xdr:from>
        <xdr:to>
          <xdr:col>3</xdr:col>
          <xdr:colOff>869133</xdr:colOff>
          <xdr:row>3</xdr:row>
          <xdr:rowOff>172016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4</xdr:row>
          <xdr:rowOff>9053</xdr:rowOff>
        </xdr:from>
        <xdr:to>
          <xdr:col>3</xdr:col>
          <xdr:colOff>869133</xdr:colOff>
          <xdr:row>4</xdr:row>
          <xdr:rowOff>172016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5</xdr:row>
          <xdr:rowOff>9053</xdr:rowOff>
        </xdr:from>
        <xdr:to>
          <xdr:col>3</xdr:col>
          <xdr:colOff>869133</xdr:colOff>
          <xdr:row>5</xdr:row>
          <xdr:rowOff>172016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6</xdr:row>
          <xdr:rowOff>9053</xdr:rowOff>
        </xdr:from>
        <xdr:to>
          <xdr:col>3</xdr:col>
          <xdr:colOff>869133</xdr:colOff>
          <xdr:row>6</xdr:row>
          <xdr:rowOff>172016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3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7</xdr:row>
          <xdr:rowOff>9053</xdr:rowOff>
        </xdr:from>
        <xdr:to>
          <xdr:col>3</xdr:col>
          <xdr:colOff>869133</xdr:colOff>
          <xdr:row>7</xdr:row>
          <xdr:rowOff>172016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3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8</xdr:row>
          <xdr:rowOff>9053</xdr:rowOff>
        </xdr:from>
        <xdr:to>
          <xdr:col>3</xdr:col>
          <xdr:colOff>869133</xdr:colOff>
          <xdr:row>8</xdr:row>
          <xdr:rowOff>172016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3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9</xdr:row>
          <xdr:rowOff>9053</xdr:rowOff>
        </xdr:from>
        <xdr:to>
          <xdr:col>3</xdr:col>
          <xdr:colOff>869133</xdr:colOff>
          <xdr:row>9</xdr:row>
          <xdr:rowOff>172016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3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10</xdr:row>
          <xdr:rowOff>9053</xdr:rowOff>
        </xdr:from>
        <xdr:to>
          <xdr:col>3</xdr:col>
          <xdr:colOff>869133</xdr:colOff>
          <xdr:row>10</xdr:row>
          <xdr:rowOff>172016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3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11</xdr:row>
          <xdr:rowOff>9053</xdr:rowOff>
        </xdr:from>
        <xdr:to>
          <xdr:col>3</xdr:col>
          <xdr:colOff>869133</xdr:colOff>
          <xdr:row>11</xdr:row>
          <xdr:rowOff>172016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3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12</xdr:row>
          <xdr:rowOff>9053</xdr:rowOff>
        </xdr:from>
        <xdr:to>
          <xdr:col>3</xdr:col>
          <xdr:colOff>869133</xdr:colOff>
          <xdr:row>12</xdr:row>
          <xdr:rowOff>172016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3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13</xdr:row>
          <xdr:rowOff>9053</xdr:rowOff>
        </xdr:from>
        <xdr:to>
          <xdr:col>3</xdr:col>
          <xdr:colOff>869133</xdr:colOff>
          <xdr:row>13</xdr:row>
          <xdr:rowOff>172016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3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14</xdr:row>
          <xdr:rowOff>9053</xdr:rowOff>
        </xdr:from>
        <xdr:to>
          <xdr:col>3</xdr:col>
          <xdr:colOff>869133</xdr:colOff>
          <xdr:row>14</xdr:row>
          <xdr:rowOff>172016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3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15</xdr:row>
          <xdr:rowOff>9053</xdr:rowOff>
        </xdr:from>
        <xdr:to>
          <xdr:col>3</xdr:col>
          <xdr:colOff>869133</xdr:colOff>
          <xdr:row>15</xdr:row>
          <xdr:rowOff>172016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3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16</xdr:row>
          <xdr:rowOff>9053</xdr:rowOff>
        </xdr:from>
        <xdr:to>
          <xdr:col>3</xdr:col>
          <xdr:colOff>869133</xdr:colOff>
          <xdr:row>16</xdr:row>
          <xdr:rowOff>172016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3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17</xdr:row>
          <xdr:rowOff>9053</xdr:rowOff>
        </xdr:from>
        <xdr:to>
          <xdr:col>3</xdr:col>
          <xdr:colOff>869133</xdr:colOff>
          <xdr:row>17</xdr:row>
          <xdr:rowOff>172016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3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18</xdr:row>
          <xdr:rowOff>9053</xdr:rowOff>
        </xdr:from>
        <xdr:to>
          <xdr:col>3</xdr:col>
          <xdr:colOff>869133</xdr:colOff>
          <xdr:row>18</xdr:row>
          <xdr:rowOff>172016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3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19</xdr:row>
          <xdr:rowOff>9053</xdr:rowOff>
        </xdr:from>
        <xdr:to>
          <xdr:col>3</xdr:col>
          <xdr:colOff>869133</xdr:colOff>
          <xdr:row>19</xdr:row>
          <xdr:rowOff>172016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3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20</xdr:row>
          <xdr:rowOff>9053</xdr:rowOff>
        </xdr:from>
        <xdr:to>
          <xdr:col>3</xdr:col>
          <xdr:colOff>869133</xdr:colOff>
          <xdr:row>20</xdr:row>
          <xdr:rowOff>172016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3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21</xdr:row>
          <xdr:rowOff>9053</xdr:rowOff>
        </xdr:from>
        <xdr:to>
          <xdr:col>3</xdr:col>
          <xdr:colOff>869133</xdr:colOff>
          <xdr:row>21</xdr:row>
          <xdr:rowOff>172016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3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22</xdr:row>
          <xdr:rowOff>9053</xdr:rowOff>
        </xdr:from>
        <xdr:to>
          <xdr:col>3</xdr:col>
          <xdr:colOff>869133</xdr:colOff>
          <xdr:row>22</xdr:row>
          <xdr:rowOff>172016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3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23</xdr:row>
          <xdr:rowOff>9053</xdr:rowOff>
        </xdr:from>
        <xdr:to>
          <xdr:col>3</xdr:col>
          <xdr:colOff>869133</xdr:colOff>
          <xdr:row>23</xdr:row>
          <xdr:rowOff>172016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3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24</xdr:row>
          <xdr:rowOff>9053</xdr:rowOff>
        </xdr:from>
        <xdr:to>
          <xdr:col>3</xdr:col>
          <xdr:colOff>869133</xdr:colOff>
          <xdr:row>24</xdr:row>
          <xdr:rowOff>172016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3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25</xdr:row>
          <xdr:rowOff>9053</xdr:rowOff>
        </xdr:from>
        <xdr:to>
          <xdr:col>3</xdr:col>
          <xdr:colOff>869133</xdr:colOff>
          <xdr:row>25</xdr:row>
          <xdr:rowOff>172016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3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26</xdr:row>
          <xdr:rowOff>9053</xdr:rowOff>
        </xdr:from>
        <xdr:to>
          <xdr:col>3</xdr:col>
          <xdr:colOff>869133</xdr:colOff>
          <xdr:row>26</xdr:row>
          <xdr:rowOff>172016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3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27</xdr:row>
          <xdr:rowOff>9053</xdr:rowOff>
        </xdr:from>
        <xdr:to>
          <xdr:col>3</xdr:col>
          <xdr:colOff>869133</xdr:colOff>
          <xdr:row>27</xdr:row>
          <xdr:rowOff>172016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3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28</xdr:row>
          <xdr:rowOff>9053</xdr:rowOff>
        </xdr:from>
        <xdr:to>
          <xdr:col>3</xdr:col>
          <xdr:colOff>869133</xdr:colOff>
          <xdr:row>28</xdr:row>
          <xdr:rowOff>172016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3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29</xdr:row>
          <xdr:rowOff>9053</xdr:rowOff>
        </xdr:from>
        <xdr:to>
          <xdr:col>3</xdr:col>
          <xdr:colOff>869133</xdr:colOff>
          <xdr:row>29</xdr:row>
          <xdr:rowOff>172016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3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3</xdr:row>
          <xdr:rowOff>9053</xdr:rowOff>
        </xdr:from>
        <xdr:to>
          <xdr:col>4</xdr:col>
          <xdr:colOff>869133</xdr:colOff>
          <xdr:row>3</xdr:row>
          <xdr:rowOff>172016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3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4</xdr:row>
          <xdr:rowOff>9053</xdr:rowOff>
        </xdr:from>
        <xdr:to>
          <xdr:col>4</xdr:col>
          <xdr:colOff>869133</xdr:colOff>
          <xdr:row>4</xdr:row>
          <xdr:rowOff>172016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3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5</xdr:row>
          <xdr:rowOff>9053</xdr:rowOff>
        </xdr:from>
        <xdr:to>
          <xdr:col>4</xdr:col>
          <xdr:colOff>869133</xdr:colOff>
          <xdr:row>5</xdr:row>
          <xdr:rowOff>172016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3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6</xdr:row>
          <xdr:rowOff>9053</xdr:rowOff>
        </xdr:from>
        <xdr:to>
          <xdr:col>4</xdr:col>
          <xdr:colOff>869133</xdr:colOff>
          <xdr:row>6</xdr:row>
          <xdr:rowOff>172016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3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7</xdr:row>
          <xdr:rowOff>9053</xdr:rowOff>
        </xdr:from>
        <xdr:to>
          <xdr:col>4</xdr:col>
          <xdr:colOff>869133</xdr:colOff>
          <xdr:row>7</xdr:row>
          <xdr:rowOff>172016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3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8</xdr:row>
          <xdr:rowOff>9053</xdr:rowOff>
        </xdr:from>
        <xdr:to>
          <xdr:col>4</xdr:col>
          <xdr:colOff>869133</xdr:colOff>
          <xdr:row>8</xdr:row>
          <xdr:rowOff>172016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3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9</xdr:row>
          <xdr:rowOff>9053</xdr:rowOff>
        </xdr:from>
        <xdr:to>
          <xdr:col>4</xdr:col>
          <xdr:colOff>869133</xdr:colOff>
          <xdr:row>9</xdr:row>
          <xdr:rowOff>172016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3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10</xdr:row>
          <xdr:rowOff>9053</xdr:rowOff>
        </xdr:from>
        <xdr:to>
          <xdr:col>4</xdr:col>
          <xdr:colOff>869133</xdr:colOff>
          <xdr:row>10</xdr:row>
          <xdr:rowOff>172016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3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11</xdr:row>
          <xdr:rowOff>9053</xdr:rowOff>
        </xdr:from>
        <xdr:to>
          <xdr:col>4</xdr:col>
          <xdr:colOff>869133</xdr:colOff>
          <xdr:row>11</xdr:row>
          <xdr:rowOff>172016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3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12</xdr:row>
          <xdr:rowOff>9053</xdr:rowOff>
        </xdr:from>
        <xdr:to>
          <xdr:col>4</xdr:col>
          <xdr:colOff>869133</xdr:colOff>
          <xdr:row>12</xdr:row>
          <xdr:rowOff>172016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3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13</xdr:row>
          <xdr:rowOff>9053</xdr:rowOff>
        </xdr:from>
        <xdr:to>
          <xdr:col>4</xdr:col>
          <xdr:colOff>869133</xdr:colOff>
          <xdr:row>13</xdr:row>
          <xdr:rowOff>172016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3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14</xdr:row>
          <xdr:rowOff>9053</xdr:rowOff>
        </xdr:from>
        <xdr:to>
          <xdr:col>4</xdr:col>
          <xdr:colOff>869133</xdr:colOff>
          <xdr:row>14</xdr:row>
          <xdr:rowOff>172016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3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15</xdr:row>
          <xdr:rowOff>9053</xdr:rowOff>
        </xdr:from>
        <xdr:to>
          <xdr:col>4</xdr:col>
          <xdr:colOff>869133</xdr:colOff>
          <xdr:row>15</xdr:row>
          <xdr:rowOff>172016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3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16</xdr:row>
          <xdr:rowOff>9053</xdr:rowOff>
        </xdr:from>
        <xdr:to>
          <xdr:col>4</xdr:col>
          <xdr:colOff>869133</xdr:colOff>
          <xdr:row>16</xdr:row>
          <xdr:rowOff>172016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17</xdr:row>
          <xdr:rowOff>9053</xdr:rowOff>
        </xdr:from>
        <xdr:to>
          <xdr:col>4</xdr:col>
          <xdr:colOff>869133</xdr:colOff>
          <xdr:row>17</xdr:row>
          <xdr:rowOff>172016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18</xdr:row>
          <xdr:rowOff>9053</xdr:rowOff>
        </xdr:from>
        <xdr:to>
          <xdr:col>4</xdr:col>
          <xdr:colOff>869133</xdr:colOff>
          <xdr:row>18</xdr:row>
          <xdr:rowOff>172016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19</xdr:row>
          <xdr:rowOff>9053</xdr:rowOff>
        </xdr:from>
        <xdr:to>
          <xdr:col>4</xdr:col>
          <xdr:colOff>869133</xdr:colOff>
          <xdr:row>19</xdr:row>
          <xdr:rowOff>172016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20</xdr:row>
          <xdr:rowOff>9053</xdr:rowOff>
        </xdr:from>
        <xdr:to>
          <xdr:col>4</xdr:col>
          <xdr:colOff>869133</xdr:colOff>
          <xdr:row>20</xdr:row>
          <xdr:rowOff>172016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21</xdr:row>
          <xdr:rowOff>9053</xdr:rowOff>
        </xdr:from>
        <xdr:to>
          <xdr:col>4</xdr:col>
          <xdr:colOff>869133</xdr:colOff>
          <xdr:row>21</xdr:row>
          <xdr:rowOff>172016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22</xdr:row>
          <xdr:rowOff>9053</xdr:rowOff>
        </xdr:from>
        <xdr:to>
          <xdr:col>4</xdr:col>
          <xdr:colOff>869133</xdr:colOff>
          <xdr:row>22</xdr:row>
          <xdr:rowOff>172016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3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23</xdr:row>
          <xdr:rowOff>9053</xdr:rowOff>
        </xdr:from>
        <xdr:to>
          <xdr:col>4</xdr:col>
          <xdr:colOff>869133</xdr:colOff>
          <xdr:row>23</xdr:row>
          <xdr:rowOff>172016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3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24</xdr:row>
          <xdr:rowOff>9053</xdr:rowOff>
        </xdr:from>
        <xdr:to>
          <xdr:col>4</xdr:col>
          <xdr:colOff>869133</xdr:colOff>
          <xdr:row>24</xdr:row>
          <xdr:rowOff>172016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3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25</xdr:row>
          <xdr:rowOff>9053</xdr:rowOff>
        </xdr:from>
        <xdr:to>
          <xdr:col>4</xdr:col>
          <xdr:colOff>869133</xdr:colOff>
          <xdr:row>25</xdr:row>
          <xdr:rowOff>172016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3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26</xdr:row>
          <xdr:rowOff>9053</xdr:rowOff>
        </xdr:from>
        <xdr:to>
          <xdr:col>4</xdr:col>
          <xdr:colOff>869133</xdr:colOff>
          <xdr:row>26</xdr:row>
          <xdr:rowOff>172016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3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27</xdr:row>
          <xdr:rowOff>9053</xdr:rowOff>
        </xdr:from>
        <xdr:to>
          <xdr:col>4</xdr:col>
          <xdr:colOff>869133</xdr:colOff>
          <xdr:row>27</xdr:row>
          <xdr:rowOff>172016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3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28</xdr:row>
          <xdr:rowOff>9053</xdr:rowOff>
        </xdr:from>
        <xdr:to>
          <xdr:col>4</xdr:col>
          <xdr:colOff>869133</xdr:colOff>
          <xdr:row>28</xdr:row>
          <xdr:rowOff>172016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3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29</xdr:row>
          <xdr:rowOff>9053</xdr:rowOff>
        </xdr:from>
        <xdr:to>
          <xdr:col>4</xdr:col>
          <xdr:colOff>869133</xdr:colOff>
          <xdr:row>29</xdr:row>
          <xdr:rowOff>172016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3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3</xdr:row>
          <xdr:rowOff>9053</xdr:rowOff>
        </xdr:from>
        <xdr:to>
          <xdr:col>5</xdr:col>
          <xdr:colOff>869133</xdr:colOff>
          <xdr:row>3</xdr:row>
          <xdr:rowOff>172016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3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4</xdr:row>
          <xdr:rowOff>9053</xdr:rowOff>
        </xdr:from>
        <xdr:to>
          <xdr:col>5</xdr:col>
          <xdr:colOff>869133</xdr:colOff>
          <xdr:row>4</xdr:row>
          <xdr:rowOff>172016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3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5</xdr:row>
          <xdr:rowOff>9053</xdr:rowOff>
        </xdr:from>
        <xdr:to>
          <xdr:col>5</xdr:col>
          <xdr:colOff>869133</xdr:colOff>
          <xdr:row>5</xdr:row>
          <xdr:rowOff>172016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3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6</xdr:row>
          <xdr:rowOff>9053</xdr:rowOff>
        </xdr:from>
        <xdr:to>
          <xdr:col>5</xdr:col>
          <xdr:colOff>869133</xdr:colOff>
          <xdr:row>6</xdr:row>
          <xdr:rowOff>172016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3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7</xdr:row>
          <xdr:rowOff>9053</xdr:rowOff>
        </xdr:from>
        <xdr:to>
          <xdr:col>5</xdr:col>
          <xdr:colOff>869133</xdr:colOff>
          <xdr:row>7</xdr:row>
          <xdr:rowOff>172016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3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8</xdr:row>
          <xdr:rowOff>9053</xdr:rowOff>
        </xdr:from>
        <xdr:to>
          <xdr:col>5</xdr:col>
          <xdr:colOff>869133</xdr:colOff>
          <xdr:row>8</xdr:row>
          <xdr:rowOff>172016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3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9</xdr:row>
          <xdr:rowOff>9053</xdr:rowOff>
        </xdr:from>
        <xdr:to>
          <xdr:col>5</xdr:col>
          <xdr:colOff>869133</xdr:colOff>
          <xdr:row>9</xdr:row>
          <xdr:rowOff>172016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3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10</xdr:row>
          <xdr:rowOff>9053</xdr:rowOff>
        </xdr:from>
        <xdr:to>
          <xdr:col>5</xdr:col>
          <xdr:colOff>869133</xdr:colOff>
          <xdr:row>10</xdr:row>
          <xdr:rowOff>172016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3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11</xdr:row>
          <xdr:rowOff>9053</xdr:rowOff>
        </xdr:from>
        <xdr:to>
          <xdr:col>5</xdr:col>
          <xdr:colOff>869133</xdr:colOff>
          <xdr:row>11</xdr:row>
          <xdr:rowOff>172016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3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12</xdr:row>
          <xdr:rowOff>9053</xdr:rowOff>
        </xdr:from>
        <xdr:to>
          <xdr:col>5</xdr:col>
          <xdr:colOff>869133</xdr:colOff>
          <xdr:row>12</xdr:row>
          <xdr:rowOff>172016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3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13</xdr:row>
          <xdr:rowOff>9053</xdr:rowOff>
        </xdr:from>
        <xdr:to>
          <xdr:col>5</xdr:col>
          <xdr:colOff>869133</xdr:colOff>
          <xdr:row>13</xdr:row>
          <xdr:rowOff>172016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3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14</xdr:row>
          <xdr:rowOff>9053</xdr:rowOff>
        </xdr:from>
        <xdr:to>
          <xdr:col>5</xdr:col>
          <xdr:colOff>869133</xdr:colOff>
          <xdr:row>14</xdr:row>
          <xdr:rowOff>172016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3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15</xdr:row>
          <xdr:rowOff>9053</xdr:rowOff>
        </xdr:from>
        <xdr:to>
          <xdr:col>5</xdr:col>
          <xdr:colOff>869133</xdr:colOff>
          <xdr:row>15</xdr:row>
          <xdr:rowOff>172016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3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16</xdr:row>
          <xdr:rowOff>9053</xdr:rowOff>
        </xdr:from>
        <xdr:to>
          <xdr:col>5</xdr:col>
          <xdr:colOff>869133</xdr:colOff>
          <xdr:row>16</xdr:row>
          <xdr:rowOff>172016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3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17</xdr:row>
          <xdr:rowOff>9053</xdr:rowOff>
        </xdr:from>
        <xdr:to>
          <xdr:col>5</xdr:col>
          <xdr:colOff>869133</xdr:colOff>
          <xdr:row>17</xdr:row>
          <xdr:rowOff>172016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3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18</xdr:row>
          <xdr:rowOff>9053</xdr:rowOff>
        </xdr:from>
        <xdr:to>
          <xdr:col>5</xdr:col>
          <xdr:colOff>869133</xdr:colOff>
          <xdr:row>18</xdr:row>
          <xdr:rowOff>172016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3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19</xdr:row>
          <xdr:rowOff>9053</xdr:rowOff>
        </xdr:from>
        <xdr:to>
          <xdr:col>5</xdr:col>
          <xdr:colOff>869133</xdr:colOff>
          <xdr:row>19</xdr:row>
          <xdr:rowOff>172016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3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20</xdr:row>
          <xdr:rowOff>9053</xdr:rowOff>
        </xdr:from>
        <xdr:to>
          <xdr:col>5</xdr:col>
          <xdr:colOff>869133</xdr:colOff>
          <xdr:row>20</xdr:row>
          <xdr:rowOff>172016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3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21</xdr:row>
          <xdr:rowOff>9053</xdr:rowOff>
        </xdr:from>
        <xdr:to>
          <xdr:col>5</xdr:col>
          <xdr:colOff>869133</xdr:colOff>
          <xdr:row>21</xdr:row>
          <xdr:rowOff>172016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3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22</xdr:row>
          <xdr:rowOff>9053</xdr:rowOff>
        </xdr:from>
        <xdr:to>
          <xdr:col>5</xdr:col>
          <xdr:colOff>869133</xdr:colOff>
          <xdr:row>22</xdr:row>
          <xdr:rowOff>172016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3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23</xdr:row>
          <xdr:rowOff>9053</xdr:rowOff>
        </xdr:from>
        <xdr:to>
          <xdr:col>5</xdr:col>
          <xdr:colOff>869133</xdr:colOff>
          <xdr:row>23</xdr:row>
          <xdr:rowOff>172016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3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24</xdr:row>
          <xdr:rowOff>9053</xdr:rowOff>
        </xdr:from>
        <xdr:to>
          <xdr:col>5</xdr:col>
          <xdr:colOff>869133</xdr:colOff>
          <xdr:row>24</xdr:row>
          <xdr:rowOff>172016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3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25</xdr:row>
          <xdr:rowOff>9053</xdr:rowOff>
        </xdr:from>
        <xdr:to>
          <xdr:col>5</xdr:col>
          <xdr:colOff>869133</xdr:colOff>
          <xdr:row>25</xdr:row>
          <xdr:rowOff>172016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3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26</xdr:row>
          <xdr:rowOff>9053</xdr:rowOff>
        </xdr:from>
        <xdr:to>
          <xdr:col>5</xdr:col>
          <xdr:colOff>869133</xdr:colOff>
          <xdr:row>26</xdr:row>
          <xdr:rowOff>172016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3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27</xdr:row>
          <xdr:rowOff>9053</xdr:rowOff>
        </xdr:from>
        <xdr:to>
          <xdr:col>5</xdr:col>
          <xdr:colOff>869133</xdr:colOff>
          <xdr:row>27</xdr:row>
          <xdr:rowOff>172016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3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28</xdr:row>
          <xdr:rowOff>9053</xdr:rowOff>
        </xdr:from>
        <xdr:to>
          <xdr:col>5</xdr:col>
          <xdr:colOff>869133</xdr:colOff>
          <xdr:row>28</xdr:row>
          <xdr:rowOff>172016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3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29</xdr:row>
          <xdr:rowOff>9053</xdr:rowOff>
        </xdr:from>
        <xdr:to>
          <xdr:col>5</xdr:col>
          <xdr:colOff>869133</xdr:colOff>
          <xdr:row>29</xdr:row>
          <xdr:rowOff>172016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3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</xdr:row>
          <xdr:rowOff>9053</xdr:rowOff>
        </xdr:from>
        <xdr:to>
          <xdr:col>11</xdr:col>
          <xdr:colOff>869133</xdr:colOff>
          <xdr:row>2</xdr:row>
          <xdr:rowOff>172016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3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</xdr:row>
          <xdr:rowOff>9053</xdr:rowOff>
        </xdr:from>
        <xdr:to>
          <xdr:col>11</xdr:col>
          <xdr:colOff>869133</xdr:colOff>
          <xdr:row>3</xdr:row>
          <xdr:rowOff>172016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3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4</xdr:row>
          <xdr:rowOff>9053</xdr:rowOff>
        </xdr:from>
        <xdr:to>
          <xdr:col>11</xdr:col>
          <xdr:colOff>869133</xdr:colOff>
          <xdr:row>4</xdr:row>
          <xdr:rowOff>172016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3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5</xdr:row>
          <xdr:rowOff>9053</xdr:rowOff>
        </xdr:from>
        <xdr:to>
          <xdr:col>11</xdr:col>
          <xdr:colOff>869133</xdr:colOff>
          <xdr:row>5</xdr:row>
          <xdr:rowOff>172016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3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6</xdr:row>
          <xdr:rowOff>9053</xdr:rowOff>
        </xdr:from>
        <xdr:to>
          <xdr:col>11</xdr:col>
          <xdr:colOff>869133</xdr:colOff>
          <xdr:row>6</xdr:row>
          <xdr:rowOff>172016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3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7</xdr:row>
          <xdr:rowOff>9053</xdr:rowOff>
        </xdr:from>
        <xdr:to>
          <xdr:col>11</xdr:col>
          <xdr:colOff>869133</xdr:colOff>
          <xdr:row>7</xdr:row>
          <xdr:rowOff>172016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3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8</xdr:row>
          <xdr:rowOff>9053</xdr:rowOff>
        </xdr:from>
        <xdr:to>
          <xdr:col>11</xdr:col>
          <xdr:colOff>869133</xdr:colOff>
          <xdr:row>8</xdr:row>
          <xdr:rowOff>172016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3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9</xdr:row>
          <xdr:rowOff>9053</xdr:rowOff>
        </xdr:from>
        <xdr:to>
          <xdr:col>11</xdr:col>
          <xdr:colOff>869133</xdr:colOff>
          <xdr:row>9</xdr:row>
          <xdr:rowOff>172016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3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10</xdr:row>
          <xdr:rowOff>9053</xdr:rowOff>
        </xdr:from>
        <xdr:to>
          <xdr:col>11</xdr:col>
          <xdr:colOff>869133</xdr:colOff>
          <xdr:row>10</xdr:row>
          <xdr:rowOff>172016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3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11</xdr:row>
          <xdr:rowOff>9053</xdr:rowOff>
        </xdr:from>
        <xdr:to>
          <xdr:col>11</xdr:col>
          <xdr:colOff>869133</xdr:colOff>
          <xdr:row>11</xdr:row>
          <xdr:rowOff>172016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3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12</xdr:row>
          <xdr:rowOff>9053</xdr:rowOff>
        </xdr:from>
        <xdr:to>
          <xdr:col>11</xdr:col>
          <xdr:colOff>869133</xdr:colOff>
          <xdr:row>12</xdr:row>
          <xdr:rowOff>172016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3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13</xdr:row>
          <xdr:rowOff>9053</xdr:rowOff>
        </xdr:from>
        <xdr:to>
          <xdr:col>11</xdr:col>
          <xdr:colOff>869133</xdr:colOff>
          <xdr:row>13</xdr:row>
          <xdr:rowOff>172016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3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14</xdr:row>
          <xdr:rowOff>9053</xdr:rowOff>
        </xdr:from>
        <xdr:to>
          <xdr:col>11</xdr:col>
          <xdr:colOff>869133</xdr:colOff>
          <xdr:row>14</xdr:row>
          <xdr:rowOff>172016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3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15</xdr:row>
          <xdr:rowOff>9053</xdr:rowOff>
        </xdr:from>
        <xdr:to>
          <xdr:col>11</xdr:col>
          <xdr:colOff>869133</xdr:colOff>
          <xdr:row>15</xdr:row>
          <xdr:rowOff>172016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3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16</xdr:row>
          <xdr:rowOff>9053</xdr:rowOff>
        </xdr:from>
        <xdr:to>
          <xdr:col>11</xdr:col>
          <xdr:colOff>869133</xdr:colOff>
          <xdr:row>16</xdr:row>
          <xdr:rowOff>172016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3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17</xdr:row>
          <xdr:rowOff>9053</xdr:rowOff>
        </xdr:from>
        <xdr:to>
          <xdr:col>11</xdr:col>
          <xdr:colOff>869133</xdr:colOff>
          <xdr:row>17</xdr:row>
          <xdr:rowOff>172016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3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18</xdr:row>
          <xdr:rowOff>9053</xdr:rowOff>
        </xdr:from>
        <xdr:to>
          <xdr:col>11</xdr:col>
          <xdr:colOff>869133</xdr:colOff>
          <xdr:row>18</xdr:row>
          <xdr:rowOff>172016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3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19</xdr:row>
          <xdr:rowOff>9053</xdr:rowOff>
        </xdr:from>
        <xdr:to>
          <xdr:col>11</xdr:col>
          <xdr:colOff>869133</xdr:colOff>
          <xdr:row>19</xdr:row>
          <xdr:rowOff>172016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3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20</xdr:row>
          <xdr:rowOff>9053</xdr:rowOff>
        </xdr:from>
        <xdr:to>
          <xdr:col>11</xdr:col>
          <xdr:colOff>869133</xdr:colOff>
          <xdr:row>20</xdr:row>
          <xdr:rowOff>172016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3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21</xdr:row>
          <xdr:rowOff>9053</xdr:rowOff>
        </xdr:from>
        <xdr:to>
          <xdr:col>11</xdr:col>
          <xdr:colOff>869133</xdr:colOff>
          <xdr:row>21</xdr:row>
          <xdr:rowOff>172016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3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22</xdr:row>
          <xdr:rowOff>9053</xdr:rowOff>
        </xdr:from>
        <xdr:to>
          <xdr:col>11</xdr:col>
          <xdr:colOff>869133</xdr:colOff>
          <xdr:row>22</xdr:row>
          <xdr:rowOff>172016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3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23</xdr:row>
          <xdr:rowOff>9053</xdr:rowOff>
        </xdr:from>
        <xdr:to>
          <xdr:col>11</xdr:col>
          <xdr:colOff>869133</xdr:colOff>
          <xdr:row>23</xdr:row>
          <xdr:rowOff>172016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3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24</xdr:row>
          <xdr:rowOff>9053</xdr:rowOff>
        </xdr:from>
        <xdr:to>
          <xdr:col>11</xdr:col>
          <xdr:colOff>869133</xdr:colOff>
          <xdr:row>24</xdr:row>
          <xdr:rowOff>172016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3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25</xdr:row>
          <xdr:rowOff>9053</xdr:rowOff>
        </xdr:from>
        <xdr:to>
          <xdr:col>11</xdr:col>
          <xdr:colOff>869133</xdr:colOff>
          <xdr:row>25</xdr:row>
          <xdr:rowOff>172016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3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26</xdr:row>
          <xdr:rowOff>9053</xdr:rowOff>
        </xdr:from>
        <xdr:to>
          <xdr:col>11</xdr:col>
          <xdr:colOff>869133</xdr:colOff>
          <xdr:row>26</xdr:row>
          <xdr:rowOff>172016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3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27</xdr:row>
          <xdr:rowOff>9053</xdr:rowOff>
        </xdr:from>
        <xdr:to>
          <xdr:col>11</xdr:col>
          <xdr:colOff>869133</xdr:colOff>
          <xdr:row>27</xdr:row>
          <xdr:rowOff>172016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3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28</xdr:row>
          <xdr:rowOff>9053</xdr:rowOff>
        </xdr:from>
        <xdr:to>
          <xdr:col>11</xdr:col>
          <xdr:colOff>869133</xdr:colOff>
          <xdr:row>28</xdr:row>
          <xdr:rowOff>172016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3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29</xdr:row>
          <xdr:rowOff>9053</xdr:rowOff>
        </xdr:from>
        <xdr:to>
          <xdr:col>11</xdr:col>
          <xdr:colOff>869133</xdr:colOff>
          <xdr:row>29</xdr:row>
          <xdr:rowOff>172016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3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30</xdr:row>
          <xdr:rowOff>9053</xdr:rowOff>
        </xdr:from>
        <xdr:to>
          <xdr:col>11</xdr:col>
          <xdr:colOff>869133</xdr:colOff>
          <xdr:row>30</xdr:row>
          <xdr:rowOff>172016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3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31</xdr:row>
          <xdr:rowOff>9053</xdr:rowOff>
        </xdr:from>
        <xdr:to>
          <xdr:col>11</xdr:col>
          <xdr:colOff>869133</xdr:colOff>
          <xdr:row>31</xdr:row>
          <xdr:rowOff>172016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3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32</xdr:row>
          <xdr:rowOff>9053</xdr:rowOff>
        </xdr:from>
        <xdr:to>
          <xdr:col>11</xdr:col>
          <xdr:colOff>869133</xdr:colOff>
          <xdr:row>32</xdr:row>
          <xdr:rowOff>172016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3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33</xdr:row>
          <xdr:rowOff>9053</xdr:rowOff>
        </xdr:from>
        <xdr:to>
          <xdr:col>11</xdr:col>
          <xdr:colOff>869133</xdr:colOff>
          <xdr:row>33</xdr:row>
          <xdr:rowOff>172016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3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34</xdr:row>
          <xdr:rowOff>9053</xdr:rowOff>
        </xdr:from>
        <xdr:to>
          <xdr:col>11</xdr:col>
          <xdr:colOff>869133</xdr:colOff>
          <xdr:row>34</xdr:row>
          <xdr:rowOff>172016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3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35</xdr:row>
          <xdr:rowOff>9053</xdr:rowOff>
        </xdr:from>
        <xdr:to>
          <xdr:col>11</xdr:col>
          <xdr:colOff>869133</xdr:colOff>
          <xdr:row>35</xdr:row>
          <xdr:rowOff>172016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3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36</xdr:row>
          <xdr:rowOff>9053</xdr:rowOff>
        </xdr:from>
        <xdr:to>
          <xdr:col>11</xdr:col>
          <xdr:colOff>869133</xdr:colOff>
          <xdr:row>36</xdr:row>
          <xdr:rowOff>172016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3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</xdr:row>
          <xdr:rowOff>9053</xdr:rowOff>
        </xdr:from>
        <xdr:to>
          <xdr:col>12</xdr:col>
          <xdr:colOff>869133</xdr:colOff>
          <xdr:row>2</xdr:row>
          <xdr:rowOff>172016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3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</xdr:row>
          <xdr:rowOff>9053</xdr:rowOff>
        </xdr:from>
        <xdr:to>
          <xdr:col>12</xdr:col>
          <xdr:colOff>869133</xdr:colOff>
          <xdr:row>3</xdr:row>
          <xdr:rowOff>172016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3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4</xdr:row>
          <xdr:rowOff>9053</xdr:rowOff>
        </xdr:from>
        <xdr:to>
          <xdr:col>12</xdr:col>
          <xdr:colOff>869133</xdr:colOff>
          <xdr:row>4</xdr:row>
          <xdr:rowOff>172016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3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5</xdr:row>
          <xdr:rowOff>9053</xdr:rowOff>
        </xdr:from>
        <xdr:to>
          <xdr:col>12</xdr:col>
          <xdr:colOff>869133</xdr:colOff>
          <xdr:row>5</xdr:row>
          <xdr:rowOff>172016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3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6</xdr:row>
          <xdr:rowOff>9053</xdr:rowOff>
        </xdr:from>
        <xdr:to>
          <xdr:col>12</xdr:col>
          <xdr:colOff>869133</xdr:colOff>
          <xdr:row>6</xdr:row>
          <xdr:rowOff>172016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3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7</xdr:row>
          <xdr:rowOff>9053</xdr:rowOff>
        </xdr:from>
        <xdr:to>
          <xdr:col>12</xdr:col>
          <xdr:colOff>869133</xdr:colOff>
          <xdr:row>7</xdr:row>
          <xdr:rowOff>172016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3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8</xdr:row>
          <xdr:rowOff>9053</xdr:rowOff>
        </xdr:from>
        <xdr:to>
          <xdr:col>12</xdr:col>
          <xdr:colOff>869133</xdr:colOff>
          <xdr:row>8</xdr:row>
          <xdr:rowOff>172016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3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9</xdr:row>
          <xdr:rowOff>9053</xdr:rowOff>
        </xdr:from>
        <xdr:to>
          <xdr:col>12</xdr:col>
          <xdr:colOff>869133</xdr:colOff>
          <xdr:row>9</xdr:row>
          <xdr:rowOff>172016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3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10</xdr:row>
          <xdr:rowOff>9053</xdr:rowOff>
        </xdr:from>
        <xdr:to>
          <xdr:col>12</xdr:col>
          <xdr:colOff>869133</xdr:colOff>
          <xdr:row>10</xdr:row>
          <xdr:rowOff>172016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3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11</xdr:row>
          <xdr:rowOff>9053</xdr:rowOff>
        </xdr:from>
        <xdr:to>
          <xdr:col>12</xdr:col>
          <xdr:colOff>869133</xdr:colOff>
          <xdr:row>11</xdr:row>
          <xdr:rowOff>172016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3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12</xdr:row>
          <xdr:rowOff>9053</xdr:rowOff>
        </xdr:from>
        <xdr:to>
          <xdr:col>12</xdr:col>
          <xdr:colOff>869133</xdr:colOff>
          <xdr:row>12</xdr:row>
          <xdr:rowOff>172016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3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13</xdr:row>
          <xdr:rowOff>9053</xdr:rowOff>
        </xdr:from>
        <xdr:to>
          <xdr:col>12</xdr:col>
          <xdr:colOff>869133</xdr:colOff>
          <xdr:row>13</xdr:row>
          <xdr:rowOff>172016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3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14</xdr:row>
          <xdr:rowOff>9053</xdr:rowOff>
        </xdr:from>
        <xdr:to>
          <xdr:col>12</xdr:col>
          <xdr:colOff>869133</xdr:colOff>
          <xdr:row>14</xdr:row>
          <xdr:rowOff>172016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3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15</xdr:row>
          <xdr:rowOff>9053</xdr:rowOff>
        </xdr:from>
        <xdr:to>
          <xdr:col>12</xdr:col>
          <xdr:colOff>869133</xdr:colOff>
          <xdr:row>15</xdr:row>
          <xdr:rowOff>172016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3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16</xdr:row>
          <xdr:rowOff>9053</xdr:rowOff>
        </xdr:from>
        <xdr:to>
          <xdr:col>12</xdr:col>
          <xdr:colOff>869133</xdr:colOff>
          <xdr:row>16</xdr:row>
          <xdr:rowOff>172016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3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17</xdr:row>
          <xdr:rowOff>9053</xdr:rowOff>
        </xdr:from>
        <xdr:to>
          <xdr:col>12</xdr:col>
          <xdr:colOff>869133</xdr:colOff>
          <xdr:row>17</xdr:row>
          <xdr:rowOff>172016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3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18</xdr:row>
          <xdr:rowOff>9053</xdr:rowOff>
        </xdr:from>
        <xdr:to>
          <xdr:col>12</xdr:col>
          <xdr:colOff>869133</xdr:colOff>
          <xdr:row>18</xdr:row>
          <xdr:rowOff>172016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3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19</xdr:row>
          <xdr:rowOff>9053</xdr:rowOff>
        </xdr:from>
        <xdr:to>
          <xdr:col>12</xdr:col>
          <xdr:colOff>869133</xdr:colOff>
          <xdr:row>19</xdr:row>
          <xdr:rowOff>172016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3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20</xdr:row>
          <xdr:rowOff>9053</xdr:rowOff>
        </xdr:from>
        <xdr:to>
          <xdr:col>12</xdr:col>
          <xdr:colOff>869133</xdr:colOff>
          <xdr:row>20</xdr:row>
          <xdr:rowOff>172016</xdr:rowOff>
        </xdr:to>
        <xdr:sp macro="" textlink="">
          <xdr:nvSpPr>
            <xdr:cNvPr id="3319" name="Button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3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21</xdr:row>
          <xdr:rowOff>9053</xdr:rowOff>
        </xdr:from>
        <xdr:to>
          <xdr:col>12</xdr:col>
          <xdr:colOff>869133</xdr:colOff>
          <xdr:row>21</xdr:row>
          <xdr:rowOff>172016</xdr:rowOff>
        </xdr:to>
        <xdr:sp macro="" textlink="">
          <xdr:nvSpPr>
            <xdr:cNvPr id="3320" name="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3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22</xdr:row>
          <xdr:rowOff>9053</xdr:rowOff>
        </xdr:from>
        <xdr:to>
          <xdr:col>12</xdr:col>
          <xdr:colOff>869133</xdr:colOff>
          <xdr:row>22</xdr:row>
          <xdr:rowOff>172016</xdr:rowOff>
        </xdr:to>
        <xdr:sp macro="" textlink="">
          <xdr:nvSpPr>
            <xdr:cNvPr id="3321" name="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3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23</xdr:row>
          <xdr:rowOff>9053</xdr:rowOff>
        </xdr:from>
        <xdr:to>
          <xdr:col>12</xdr:col>
          <xdr:colOff>869133</xdr:colOff>
          <xdr:row>23</xdr:row>
          <xdr:rowOff>172016</xdr:rowOff>
        </xdr:to>
        <xdr:sp macro="" textlink="">
          <xdr:nvSpPr>
            <xdr:cNvPr id="3322" name="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3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24</xdr:row>
          <xdr:rowOff>9053</xdr:rowOff>
        </xdr:from>
        <xdr:to>
          <xdr:col>12</xdr:col>
          <xdr:colOff>869133</xdr:colOff>
          <xdr:row>24</xdr:row>
          <xdr:rowOff>172016</xdr:rowOff>
        </xdr:to>
        <xdr:sp macro="" textlink="">
          <xdr:nvSpPr>
            <xdr:cNvPr id="3323" name="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3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25</xdr:row>
          <xdr:rowOff>9053</xdr:rowOff>
        </xdr:from>
        <xdr:to>
          <xdr:col>12</xdr:col>
          <xdr:colOff>869133</xdr:colOff>
          <xdr:row>25</xdr:row>
          <xdr:rowOff>172016</xdr:rowOff>
        </xdr:to>
        <xdr:sp macro="" textlink="">
          <xdr:nvSpPr>
            <xdr:cNvPr id="3324" name="Button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3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26</xdr:row>
          <xdr:rowOff>9053</xdr:rowOff>
        </xdr:from>
        <xdr:to>
          <xdr:col>12</xdr:col>
          <xdr:colOff>869133</xdr:colOff>
          <xdr:row>26</xdr:row>
          <xdr:rowOff>172016</xdr:rowOff>
        </xdr:to>
        <xdr:sp macro="" textlink="">
          <xdr:nvSpPr>
            <xdr:cNvPr id="3325" name="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3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27</xdr:row>
          <xdr:rowOff>9053</xdr:rowOff>
        </xdr:from>
        <xdr:to>
          <xdr:col>12</xdr:col>
          <xdr:colOff>869133</xdr:colOff>
          <xdr:row>27</xdr:row>
          <xdr:rowOff>172016</xdr:rowOff>
        </xdr:to>
        <xdr:sp macro="" textlink="">
          <xdr:nvSpPr>
            <xdr:cNvPr id="3326" name="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3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28</xdr:row>
          <xdr:rowOff>9053</xdr:rowOff>
        </xdr:from>
        <xdr:to>
          <xdr:col>12</xdr:col>
          <xdr:colOff>869133</xdr:colOff>
          <xdr:row>28</xdr:row>
          <xdr:rowOff>172016</xdr:rowOff>
        </xdr:to>
        <xdr:sp macro="" textlink="">
          <xdr:nvSpPr>
            <xdr:cNvPr id="3327" name="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3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29</xdr:row>
          <xdr:rowOff>9053</xdr:rowOff>
        </xdr:from>
        <xdr:to>
          <xdr:col>12</xdr:col>
          <xdr:colOff>869133</xdr:colOff>
          <xdr:row>29</xdr:row>
          <xdr:rowOff>172016</xdr:rowOff>
        </xdr:to>
        <xdr:sp macro="" textlink="">
          <xdr:nvSpPr>
            <xdr:cNvPr id="3328" name="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3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30</xdr:row>
          <xdr:rowOff>9053</xdr:rowOff>
        </xdr:from>
        <xdr:to>
          <xdr:col>12</xdr:col>
          <xdr:colOff>869133</xdr:colOff>
          <xdr:row>30</xdr:row>
          <xdr:rowOff>172016</xdr:rowOff>
        </xdr:to>
        <xdr:sp macro="" textlink="">
          <xdr:nvSpPr>
            <xdr:cNvPr id="3329" name="Button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3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31</xdr:row>
          <xdr:rowOff>9053</xdr:rowOff>
        </xdr:from>
        <xdr:to>
          <xdr:col>12</xdr:col>
          <xdr:colOff>869133</xdr:colOff>
          <xdr:row>31</xdr:row>
          <xdr:rowOff>172016</xdr:rowOff>
        </xdr:to>
        <xdr:sp macro="" textlink="">
          <xdr:nvSpPr>
            <xdr:cNvPr id="3330" name="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3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32</xdr:row>
          <xdr:rowOff>9053</xdr:rowOff>
        </xdr:from>
        <xdr:to>
          <xdr:col>12</xdr:col>
          <xdr:colOff>869133</xdr:colOff>
          <xdr:row>32</xdr:row>
          <xdr:rowOff>172016</xdr:rowOff>
        </xdr:to>
        <xdr:sp macro="" textlink="">
          <xdr:nvSpPr>
            <xdr:cNvPr id="3331" name="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3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33</xdr:row>
          <xdr:rowOff>9053</xdr:rowOff>
        </xdr:from>
        <xdr:to>
          <xdr:col>12</xdr:col>
          <xdr:colOff>869133</xdr:colOff>
          <xdr:row>33</xdr:row>
          <xdr:rowOff>172016</xdr:rowOff>
        </xdr:to>
        <xdr:sp macro="" textlink="">
          <xdr:nvSpPr>
            <xdr:cNvPr id="3332" name="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3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34</xdr:row>
          <xdr:rowOff>9053</xdr:rowOff>
        </xdr:from>
        <xdr:to>
          <xdr:col>12</xdr:col>
          <xdr:colOff>869133</xdr:colOff>
          <xdr:row>34</xdr:row>
          <xdr:rowOff>172016</xdr:rowOff>
        </xdr:to>
        <xdr:sp macro="" textlink="">
          <xdr:nvSpPr>
            <xdr:cNvPr id="3333" name="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3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35</xdr:row>
          <xdr:rowOff>9053</xdr:rowOff>
        </xdr:from>
        <xdr:to>
          <xdr:col>12</xdr:col>
          <xdr:colOff>869133</xdr:colOff>
          <xdr:row>35</xdr:row>
          <xdr:rowOff>172016</xdr:rowOff>
        </xdr:to>
        <xdr:sp macro="" textlink="">
          <xdr:nvSpPr>
            <xdr:cNvPr id="3334" name="Button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3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36</xdr:row>
          <xdr:rowOff>9053</xdr:rowOff>
        </xdr:from>
        <xdr:to>
          <xdr:col>12</xdr:col>
          <xdr:colOff>869133</xdr:colOff>
          <xdr:row>36</xdr:row>
          <xdr:rowOff>172016</xdr:rowOff>
        </xdr:to>
        <xdr:sp macro="" textlink="">
          <xdr:nvSpPr>
            <xdr:cNvPr id="3335" name="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3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</xdr:row>
          <xdr:rowOff>9053</xdr:rowOff>
        </xdr:from>
        <xdr:to>
          <xdr:col>13</xdr:col>
          <xdr:colOff>869133</xdr:colOff>
          <xdr:row>2</xdr:row>
          <xdr:rowOff>172016</xdr:rowOff>
        </xdr:to>
        <xdr:sp macro="" textlink="">
          <xdr:nvSpPr>
            <xdr:cNvPr id="3336" name="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3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</xdr:row>
          <xdr:rowOff>9053</xdr:rowOff>
        </xdr:from>
        <xdr:to>
          <xdr:col>13</xdr:col>
          <xdr:colOff>869133</xdr:colOff>
          <xdr:row>3</xdr:row>
          <xdr:rowOff>172016</xdr:rowOff>
        </xdr:to>
        <xdr:sp macro="" textlink="">
          <xdr:nvSpPr>
            <xdr:cNvPr id="3337" name="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3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4</xdr:row>
          <xdr:rowOff>9053</xdr:rowOff>
        </xdr:from>
        <xdr:to>
          <xdr:col>13</xdr:col>
          <xdr:colOff>869133</xdr:colOff>
          <xdr:row>4</xdr:row>
          <xdr:rowOff>172016</xdr:rowOff>
        </xdr:to>
        <xdr:sp macro="" textlink="">
          <xdr:nvSpPr>
            <xdr:cNvPr id="3338" name="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3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5</xdr:row>
          <xdr:rowOff>9053</xdr:rowOff>
        </xdr:from>
        <xdr:to>
          <xdr:col>13</xdr:col>
          <xdr:colOff>869133</xdr:colOff>
          <xdr:row>5</xdr:row>
          <xdr:rowOff>172016</xdr:rowOff>
        </xdr:to>
        <xdr:sp macro="" textlink="">
          <xdr:nvSpPr>
            <xdr:cNvPr id="3339" name="Button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3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6</xdr:row>
          <xdr:rowOff>9053</xdr:rowOff>
        </xdr:from>
        <xdr:to>
          <xdr:col>13</xdr:col>
          <xdr:colOff>869133</xdr:colOff>
          <xdr:row>6</xdr:row>
          <xdr:rowOff>172016</xdr:rowOff>
        </xdr:to>
        <xdr:sp macro="" textlink="">
          <xdr:nvSpPr>
            <xdr:cNvPr id="3340" name="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3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7</xdr:row>
          <xdr:rowOff>9053</xdr:rowOff>
        </xdr:from>
        <xdr:to>
          <xdr:col>13</xdr:col>
          <xdr:colOff>869133</xdr:colOff>
          <xdr:row>7</xdr:row>
          <xdr:rowOff>172016</xdr:rowOff>
        </xdr:to>
        <xdr:sp macro="" textlink="">
          <xdr:nvSpPr>
            <xdr:cNvPr id="3341" name="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3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8</xdr:row>
          <xdr:rowOff>9053</xdr:rowOff>
        </xdr:from>
        <xdr:to>
          <xdr:col>13</xdr:col>
          <xdr:colOff>869133</xdr:colOff>
          <xdr:row>8</xdr:row>
          <xdr:rowOff>172016</xdr:rowOff>
        </xdr:to>
        <xdr:sp macro="" textlink="">
          <xdr:nvSpPr>
            <xdr:cNvPr id="3342" name="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3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9</xdr:row>
          <xdr:rowOff>9053</xdr:rowOff>
        </xdr:from>
        <xdr:to>
          <xdr:col>13</xdr:col>
          <xdr:colOff>869133</xdr:colOff>
          <xdr:row>9</xdr:row>
          <xdr:rowOff>172016</xdr:rowOff>
        </xdr:to>
        <xdr:sp macro="" textlink="">
          <xdr:nvSpPr>
            <xdr:cNvPr id="3343" name="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3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10</xdr:row>
          <xdr:rowOff>9053</xdr:rowOff>
        </xdr:from>
        <xdr:to>
          <xdr:col>13</xdr:col>
          <xdr:colOff>869133</xdr:colOff>
          <xdr:row>10</xdr:row>
          <xdr:rowOff>172016</xdr:rowOff>
        </xdr:to>
        <xdr:sp macro="" textlink="">
          <xdr:nvSpPr>
            <xdr:cNvPr id="3344" name="Button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3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11</xdr:row>
          <xdr:rowOff>9053</xdr:rowOff>
        </xdr:from>
        <xdr:to>
          <xdr:col>13</xdr:col>
          <xdr:colOff>869133</xdr:colOff>
          <xdr:row>11</xdr:row>
          <xdr:rowOff>172016</xdr:rowOff>
        </xdr:to>
        <xdr:sp macro="" textlink="">
          <xdr:nvSpPr>
            <xdr:cNvPr id="3345" name="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3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12</xdr:row>
          <xdr:rowOff>9053</xdr:rowOff>
        </xdr:from>
        <xdr:to>
          <xdr:col>13</xdr:col>
          <xdr:colOff>869133</xdr:colOff>
          <xdr:row>12</xdr:row>
          <xdr:rowOff>172016</xdr:rowOff>
        </xdr:to>
        <xdr:sp macro="" textlink="">
          <xdr:nvSpPr>
            <xdr:cNvPr id="3346" name="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3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13</xdr:row>
          <xdr:rowOff>9053</xdr:rowOff>
        </xdr:from>
        <xdr:to>
          <xdr:col>13</xdr:col>
          <xdr:colOff>869133</xdr:colOff>
          <xdr:row>13</xdr:row>
          <xdr:rowOff>172016</xdr:rowOff>
        </xdr:to>
        <xdr:sp macro="" textlink="">
          <xdr:nvSpPr>
            <xdr:cNvPr id="3347" name="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3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14</xdr:row>
          <xdr:rowOff>9053</xdr:rowOff>
        </xdr:from>
        <xdr:to>
          <xdr:col>13</xdr:col>
          <xdr:colOff>869133</xdr:colOff>
          <xdr:row>14</xdr:row>
          <xdr:rowOff>172016</xdr:rowOff>
        </xdr:to>
        <xdr:sp macro="" textlink="">
          <xdr:nvSpPr>
            <xdr:cNvPr id="3348" name="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3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15</xdr:row>
          <xdr:rowOff>9053</xdr:rowOff>
        </xdr:from>
        <xdr:to>
          <xdr:col>13</xdr:col>
          <xdr:colOff>869133</xdr:colOff>
          <xdr:row>15</xdr:row>
          <xdr:rowOff>172016</xdr:rowOff>
        </xdr:to>
        <xdr:sp macro="" textlink="">
          <xdr:nvSpPr>
            <xdr:cNvPr id="3349" name="Button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3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16</xdr:row>
          <xdr:rowOff>9053</xdr:rowOff>
        </xdr:from>
        <xdr:to>
          <xdr:col>13</xdr:col>
          <xdr:colOff>869133</xdr:colOff>
          <xdr:row>16</xdr:row>
          <xdr:rowOff>172016</xdr:rowOff>
        </xdr:to>
        <xdr:sp macro="" textlink="">
          <xdr:nvSpPr>
            <xdr:cNvPr id="3350" name="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3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17</xdr:row>
          <xdr:rowOff>9053</xdr:rowOff>
        </xdr:from>
        <xdr:to>
          <xdr:col>13</xdr:col>
          <xdr:colOff>869133</xdr:colOff>
          <xdr:row>17</xdr:row>
          <xdr:rowOff>172016</xdr:rowOff>
        </xdr:to>
        <xdr:sp macro="" textlink="">
          <xdr:nvSpPr>
            <xdr:cNvPr id="3351" name="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3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18</xdr:row>
          <xdr:rowOff>9053</xdr:rowOff>
        </xdr:from>
        <xdr:to>
          <xdr:col>13</xdr:col>
          <xdr:colOff>869133</xdr:colOff>
          <xdr:row>18</xdr:row>
          <xdr:rowOff>172016</xdr:rowOff>
        </xdr:to>
        <xdr:sp macro="" textlink="">
          <xdr:nvSpPr>
            <xdr:cNvPr id="3352" name="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3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19</xdr:row>
          <xdr:rowOff>9053</xdr:rowOff>
        </xdr:from>
        <xdr:to>
          <xdr:col>13</xdr:col>
          <xdr:colOff>869133</xdr:colOff>
          <xdr:row>19</xdr:row>
          <xdr:rowOff>172016</xdr:rowOff>
        </xdr:to>
        <xdr:sp macro="" textlink="">
          <xdr:nvSpPr>
            <xdr:cNvPr id="3353" name="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3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20</xdr:row>
          <xdr:rowOff>9053</xdr:rowOff>
        </xdr:from>
        <xdr:to>
          <xdr:col>13</xdr:col>
          <xdr:colOff>869133</xdr:colOff>
          <xdr:row>20</xdr:row>
          <xdr:rowOff>172016</xdr:rowOff>
        </xdr:to>
        <xdr:sp macro="" textlink="">
          <xdr:nvSpPr>
            <xdr:cNvPr id="3354" name="Button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3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21</xdr:row>
          <xdr:rowOff>9053</xdr:rowOff>
        </xdr:from>
        <xdr:to>
          <xdr:col>13</xdr:col>
          <xdr:colOff>869133</xdr:colOff>
          <xdr:row>21</xdr:row>
          <xdr:rowOff>172016</xdr:rowOff>
        </xdr:to>
        <xdr:sp macro="" textlink="">
          <xdr:nvSpPr>
            <xdr:cNvPr id="3355" name="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3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22</xdr:row>
          <xdr:rowOff>9053</xdr:rowOff>
        </xdr:from>
        <xdr:to>
          <xdr:col>13</xdr:col>
          <xdr:colOff>869133</xdr:colOff>
          <xdr:row>22</xdr:row>
          <xdr:rowOff>172016</xdr:rowOff>
        </xdr:to>
        <xdr:sp macro="" textlink="">
          <xdr:nvSpPr>
            <xdr:cNvPr id="3356" name="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3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23</xdr:row>
          <xdr:rowOff>9053</xdr:rowOff>
        </xdr:from>
        <xdr:to>
          <xdr:col>13</xdr:col>
          <xdr:colOff>869133</xdr:colOff>
          <xdr:row>23</xdr:row>
          <xdr:rowOff>172016</xdr:rowOff>
        </xdr:to>
        <xdr:sp macro="" textlink="">
          <xdr:nvSpPr>
            <xdr:cNvPr id="3357" name="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3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24</xdr:row>
          <xdr:rowOff>9053</xdr:rowOff>
        </xdr:from>
        <xdr:to>
          <xdr:col>13</xdr:col>
          <xdr:colOff>869133</xdr:colOff>
          <xdr:row>24</xdr:row>
          <xdr:rowOff>172016</xdr:rowOff>
        </xdr:to>
        <xdr:sp macro="" textlink="">
          <xdr:nvSpPr>
            <xdr:cNvPr id="3358" name="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3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25</xdr:row>
          <xdr:rowOff>9053</xdr:rowOff>
        </xdr:from>
        <xdr:to>
          <xdr:col>13</xdr:col>
          <xdr:colOff>869133</xdr:colOff>
          <xdr:row>25</xdr:row>
          <xdr:rowOff>172016</xdr:rowOff>
        </xdr:to>
        <xdr:sp macro="" textlink="">
          <xdr:nvSpPr>
            <xdr:cNvPr id="3359" name="Button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3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26</xdr:row>
          <xdr:rowOff>9053</xdr:rowOff>
        </xdr:from>
        <xdr:to>
          <xdr:col>13</xdr:col>
          <xdr:colOff>869133</xdr:colOff>
          <xdr:row>26</xdr:row>
          <xdr:rowOff>172016</xdr:rowOff>
        </xdr:to>
        <xdr:sp macro="" textlink="">
          <xdr:nvSpPr>
            <xdr:cNvPr id="3360" name="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3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27</xdr:row>
          <xdr:rowOff>9053</xdr:rowOff>
        </xdr:from>
        <xdr:to>
          <xdr:col>13</xdr:col>
          <xdr:colOff>869133</xdr:colOff>
          <xdr:row>27</xdr:row>
          <xdr:rowOff>172016</xdr:rowOff>
        </xdr:to>
        <xdr:sp macro="" textlink="">
          <xdr:nvSpPr>
            <xdr:cNvPr id="3361" name="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3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28</xdr:row>
          <xdr:rowOff>9053</xdr:rowOff>
        </xdr:from>
        <xdr:to>
          <xdr:col>13</xdr:col>
          <xdr:colOff>869133</xdr:colOff>
          <xdr:row>28</xdr:row>
          <xdr:rowOff>172016</xdr:rowOff>
        </xdr:to>
        <xdr:sp macro="" textlink="">
          <xdr:nvSpPr>
            <xdr:cNvPr id="3362" name="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3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29</xdr:row>
          <xdr:rowOff>9053</xdr:rowOff>
        </xdr:from>
        <xdr:to>
          <xdr:col>13</xdr:col>
          <xdr:colOff>869133</xdr:colOff>
          <xdr:row>29</xdr:row>
          <xdr:rowOff>172016</xdr:rowOff>
        </xdr:to>
        <xdr:sp macro="" textlink="">
          <xdr:nvSpPr>
            <xdr:cNvPr id="3363" name="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3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30</xdr:row>
          <xdr:rowOff>9053</xdr:rowOff>
        </xdr:from>
        <xdr:to>
          <xdr:col>13</xdr:col>
          <xdr:colOff>869133</xdr:colOff>
          <xdr:row>30</xdr:row>
          <xdr:rowOff>172016</xdr:rowOff>
        </xdr:to>
        <xdr:sp macro="" textlink="">
          <xdr:nvSpPr>
            <xdr:cNvPr id="3364" name="Button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3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31</xdr:row>
          <xdr:rowOff>9053</xdr:rowOff>
        </xdr:from>
        <xdr:to>
          <xdr:col>13</xdr:col>
          <xdr:colOff>869133</xdr:colOff>
          <xdr:row>31</xdr:row>
          <xdr:rowOff>172016</xdr:rowOff>
        </xdr:to>
        <xdr:sp macro="" textlink="">
          <xdr:nvSpPr>
            <xdr:cNvPr id="3365" name="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3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32</xdr:row>
          <xdr:rowOff>9053</xdr:rowOff>
        </xdr:from>
        <xdr:to>
          <xdr:col>13</xdr:col>
          <xdr:colOff>869133</xdr:colOff>
          <xdr:row>32</xdr:row>
          <xdr:rowOff>172016</xdr:rowOff>
        </xdr:to>
        <xdr:sp macro="" textlink="">
          <xdr:nvSpPr>
            <xdr:cNvPr id="3366" name="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3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33</xdr:row>
          <xdr:rowOff>9053</xdr:rowOff>
        </xdr:from>
        <xdr:to>
          <xdr:col>13</xdr:col>
          <xdr:colOff>869133</xdr:colOff>
          <xdr:row>33</xdr:row>
          <xdr:rowOff>172016</xdr:rowOff>
        </xdr:to>
        <xdr:sp macro="" textlink="">
          <xdr:nvSpPr>
            <xdr:cNvPr id="3367" name="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3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34</xdr:row>
          <xdr:rowOff>9053</xdr:rowOff>
        </xdr:from>
        <xdr:to>
          <xdr:col>13</xdr:col>
          <xdr:colOff>869133</xdr:colOff>
          <xdr:row>34</xdr:row>
          <xdr:rowOff>172016</xdr:rowOff>
        </xdr:to>
        <xdr:sp macro="" textlink="">
          <xdr:nvSpPr>
            <xdr:cNvPr id="3368" name="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3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35</xdr:row>
          <xdr:rowOff>9053</xdr:rowOff>
        </xdr:from>
        <xdr:to>
          <xdr:col>13</xdr:col>
          <xdr:colOff>869133</xdr:colOff>
          <xdr:row>35</xdr:row>
          <xdr:rowOff>172016</xdr:rowOff>
        </xdr:to>
        <xdr:sp macro="" textlink="">
          <xdr:nvSpPr>
            <xdr:cNvPr id="3369" name="Button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3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36</xdr:row>
          <xdr:rowOff>9053</xdr:rowOff>
        </xdr:from>
        <xdr:to>
          <xdr:col>13</xdr:col>
          <xdr:colOff>869133</xdr:colOff>
          <xdr:row>36</xdr:row>
          <xdr:rowOff>172016</xdr:rowOff>
        </xdr:to>
        <xdr:sp macro="" textlink="">
          <xdr:nvSpPr>
            <xdr:cNvPr id="3370" name="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3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</xdr:row>
          <xdr:rowOff>9053</xdr:rowOff>
        </xdr:from>
        <xdr:to>
          <xdr:col>14</xdr:col>
          <xdr:colOff>869133</xdr:colOff>
          <xdr:row>2</xdr:row>
          <xdr:rowOff>172016</xdr:rowOff>
        </xdr:to>
        <xdr:sp macro="" textlink="">
          <xdr:nvSpPr>
            <xdr:cNvPr id="3371" name="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3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</xdr:row>
          <xdr:rowOff>9053</xdr:rowOff>
        </xdr:from>
        <xdr:to>
          <xdr:col>14</xdr:col>
          <xdr:colOff>869133</xdr:colOff>
          <xdr:row>3</xdr:row>
          <xdr:rowOff>172016</xdr:rowOff>
        </xdr:to>
        <xdr:sp macro="" textlink="">
          <xdr:nvSpPr>
            <xdr:cNvPr id="3372" name="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3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4</xdr:row>
          <xdr:rowOff>9053</xdr:rowOff>
        </xdr:from>
        <xdr:to>
          <xdr:col>14</xdr:col>
          <xdr:colOff>869133</xdr:colOff>
          <xdr:row>4</xdr:row>
          <xdr:rowOff>172016</xdr:rowOff>
        </xdr:to>
        <xdr:sp macro="" textlink="">
          <xdr:nvSpPr>
            <xdr:cNvPr id="3373" name="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3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5</xdr:row>
          <xdr:rowOff>9053</xdr:rowOff>
        </xdr:from>
        <xdr:to>
          <xdr:col>14</xdr:col>
          <xdr:colOff>869133</xdr:colOff>
          <xdr:row>5</xdr:row>
          <xdr:rowOff>172016</xdr:rowOff>
        </xdr:to>
        <xdr:sp macro="" textlink="">
          <xdr:nvSpPr>
            <xdr:cNvPr id="3374" name="Button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3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6</xdr:row>
          <xdr:rowOff>9053</xdr:rowOff>
        </xdr:from>
        <xdr:to>
          <xdr:col>14</xdr:col>
          <xdr:colOff>869133</xdr:colOff>
          <xdr:row>6</xdr:row>
          <xdr:rowOff>172016</xdr:rowOff>
        </xdr:to>
        <xdr:sp macro="" textlink="">
          <xdr:nvSpPr>
            <xdr:cNvPr id="3375" name="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3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7</xdr:row>
          <xdr:rowOff>9053</xdr:rowOff>
        </xdr:from>
        <xdr:to>
          <xdr:col>14</xdr:col>
          <xdr:colOff>869133</xdr:colOff>
          <xdr:row>7</xdr:row>
          <xdr:rowOff>172016</xdr:rowOff>
        </xdr:to>
        <xdr:sp macro="" textlink="">
          <xdr:nvSpPr>
            <xdr:cNvPr id="3376" name="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3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8</xdr:row>
          <xdr:rowOff>9053</xdr:rowOff>
        </xdr:from>
        <xdr:to>
          <xdr:col>14</xdr:col>
          <xdr:colOff>869133</xdr:colOff>
          <xdr:row>8</xdr:row>
          <xdr:rowOff>172016</xdr:rowOff>
        </xdr:to>
        <xdr:sp macro="" textlink="">
          <xdr:nvSpPr>
            <xdr:cNvPr id="3377" name="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3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9</xdr:row>
          <xdr:rowOff>9053</xdr:rowOff>
        </xdr:from>
        <xdr:to>
          <xdr:col>14</xdr:col>
          <xdr:colOff>869133</xdr:colOff>
          <xdr:row>9</xdr:row>
          <xdr:rowOff>172016</xdr:rowOff>
        </xdr:to>
        <xdr:sp macro="" textlink="">
          <xdr:nvSpPr>
            <xdr:cNvPr id="3378" name="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3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10</xdr:row>
          <xdr:rowOff>9053</xdr:rowOff>
        </xdr:from>
        <xdr:to>
          <xdr:col>14</xdr:col>
          <xdr:colOff>869133</xdr:colOff>
          <xdr:row>10</xdr:row>
          <xdr:rowOff>172016</xdr:rowOff>
        </xdr:to>
        <xdr:sp macro="" textlink="">
          <xdr:nvSpPr>
            <xdr:cNvPr id="3379" name="Button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3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11</xdr:row>
          <xdr:rowOff>9053</xdr:rowOff>
        </xdr:from>
        <xdr:to>
          <xdr:col>14</xdr:col>
          <xdr:colOff>869133</xdr:colOff>
          <xdr:row>11</xdr:row>
          <xdr:rowOff>172016</xdr:rowOff>
        </xdr:to>
        <xdr:sp macro="" textlink="">
          <xdr:nvSpPr>
            <xdr:cNvPr id="3380" name="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3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12</xdr:row>
          <xdr:rowOff>9053</xdr:rowOff>
        </xdr:from>
        <xdr:to>
          <xdr:col>14</xdr:col>
          <xdr:colOff>869133</xdr:colOff>
          <xdr:row>12</xdr:row>
          <xdr:rowOff>172016</xdr:rowOff>
        </xdr:to>
        <xdr:sp macro="" textlink="">
          <xdr:nvSpPr>
            <xdr:cNvPr id="3381" name="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3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13</xdr:row>
          <xdr:rowOff>9053</xdr:rowOff>
        </xdr:from>
        <xdr:to>
          <xdr:col>14</xdr:col>
          <xdr:colOff>869133</xdr:colOff>
          <xdr:row>13</xdr:row>
          <xdr:rowOff>172016</xdr:rowOff>
        </xdr:to>
        <xdr:sp macro="" textlink="">
          <xdr:nvSpPr>
            <xdr:cNvPr id="3382" name="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3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14</xdr:row>
          <xdr:rowOff>9053</xdr:rowOff>
        </xdr:from>
        <xdr:to>
          <xdr:col>14</xdr:col>
          <xdr:colOff>869133</xdr:colOff>
          <xdr:row>14</xdr:row>
          <xdr:rowOff>172016</xdr:rowOff>
        </xdr:to>
        <xdr:sp macro="" textlink="">
          <xdr:nvSpPr>
            <xdr:cNvPr id="3383" name="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3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15</xdr:row>
          <xdr:rowOff>9053</xdr:rowOff>
        </xdr:from>
        <xdr:to>
          <xdr:col>14</xdr:col>
          <xdr:colOff>869133</xdr:colOff>
          <xdr:row>15</xdr:row>
          <xdr:rowOff>172016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3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16</xdr:row>
          <xdr:rowOff>9053</xdr:rowOff>
        </xdr:from>
        <xdr:to>
          <xdr:col>14</xdr:col>
          <xdr:colOff>869133</xdr:colOff>
          <xdr:row>16</xdr:row>
          <xdr:rowOff>172016</xdr:rowOff>
        </xdr:to>
        <xdr:sp macro="" textlink="">
          <xdr:nvSpPr>
            <xdr:cNvPr id="3385" name="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3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17</xdr:row>
          <xdr:rowOff>9053</xdr:rowOff>
        </xdr:from>
        <xdr:to>
          <xdr:col>14</xdr:col>
          <xdr:colOff>869133</xdr:colOff>
          <xdr:row>17</xdr:row>
          <xdr:rowOff>172016</xdr:rowOff>
        </xdr:to>
        <xdr:sp macro="" textlink="">
          <xdr:nvSpPr>
            <xdr:cNvPr id="3386" name="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3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18</xdr:row>
          <xdr:rowOff>9053</xdr:rowOff>
        </xdr:from>
        <xdr:to>
          <xdr:col>14</xdr:col>
          <xdr:colOff>869133</xdr:colOff>
          <xdr:row>18</xdr:row>
          <xdr:rowOff>172016</xdr:rowOff>
        </xdr:to>
        <xdr:sp macro="" textlink="">
          <xdr:nvSpPr>
            <xdr:cNvPr id="3387" name="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3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19</xdr:row>
          <xdr:rowOff>9053</xdr:rowOff>
        </xdr:from>
        <xdr:to>
          <xdr:col>14</xdr:col>
          <xdr:colOff>869133</xdr:colOff>
          <xdr:row>19</xdr:row>
          <xdr:rowOff>172016</xdr:rowOff>
        </xdr:to>
        <xdr:sp macro="" textlink="">
          <xdr:nvSpPr>
            <xdr:cNvPr id="3388" name="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3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20</xdr:row>
          <xdr:rowOff>9053</xdr:rowOff>
        </xdr:from>
        <xdr:to>
          <xdr:col>14</xdr:col>
          <xdr:colOff>869133</xdr:colOff>
          <xdr:row>20</xdr:row>
          <xdr:rowOff>172016</xdr:rowOff>
        </xdr:to>
        <xdr:sp macro="" textlink="">
          <xdr:nvSpPr>
            <xdr:cNvPr id="3389" name="Button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3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21</xdr:row>
          <xdr:rowOff>9053</xdr:rowOff>
        </xdr:from>
        <xdr:to>
          <xdr:col>14</xdr:col>
          <xdr:colOff>869133</xdr:colOff>
          <xdr:row>21</xdr:row>
          <xdr:rowOff>172016</xdr:rowOff>
        </xdr:to>
        <xdr:sp macro="" textlink="">
          <xdr:nvSpPr>
            <xdr:cNvPr id="3390" name="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3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22</xdr:row>
          <xdr:rowOff>9053</xdr:rowOff>
        </xdr:from>
        <xdr:to>
          <xdr:col>14</xdr:col>
          <xdr:colOff>869133</xdr:colOff>
          <xdr:row>22</xdr:row>
          <xdr:rowOff>172016</xdr:rowOff>
        </xdr:to>
        <xdr:sp macro="" textlink="">
          <xdr:nvSpPr>
            <xdr:cNvPr id="3391" name="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3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23</xdr:row>
          <xdr:rowOff>9053</xdr:rowOff>
        </xdr:from>
        <xdr:to>
          <xdr:col>14</xdr:col>
          <xdr:colOff>869133</xdr:colOff>
          <xdr:row>23</xdr:row>
          <xdr:rowOff>172016</xdr:rowOff>
        </xdr:to>
        <xdr:sp macro="" textlink="">
          <xdr:nvSpPr>
            <xdr:cNvPr id="3392" name="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3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24</xdr:row>
          <xdr:rowOff>9053</xdr:rowOff>
        </xdr:from>
        <xdr:to>
          <xdr:col>14</xdr:col>
          <xdr:colOff>869133</xdr:colOff>
          <xdr:row>24</xdr:row>
          <xdr:rowOff>172016</xdr:rowOff>
        </xdr:to>
        <xdr:sp macro="" textlink="">
          <xdr:nvSpPr>
            <xdr:cNvPr id="3393" name="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3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25</xdr:row>
          <xdr:rowOff>9053</xdr:rowOff>
        </xdr:from>
        <xdr:to>
          <xdr:col>14</xdr:col>
          <xdr:colOff>869133</xdr:colOff>
          <xdr:row>25</xdr:row>
          <xdr:rowOff>172016</xdr:rowOff>
        </xdr:to>
        <xdr:sp macro="" textlink="">
          <xdr:nvSpPr>
            <xdr:cNvPr id="3394" name="Button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3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26</xdr:row>
          <xdr:rowOff>9053</xdr:rowOff>
        </xdr:from>
        <xdr:to>
          <xdr:col>14</xdr:col>
          <xdr:colOff>869133</xdr:colOff>
          <xdr:row>26</xdr:row>
          <xdr:rowOff>172016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3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27</xdr:row>
          <xdr:rowOff>9053</xdr:rowOff>
        </xdr:from>
        <xdr:to>
          <xdr:col>14</xdr:col>
          <xdr:colOff>869133</xdr:colOff>
          <xdr:row>27</xdr:row>
          <xdr:rowOff>172016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3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28</xdr:row>
          <xdr:rowOff>9053</xdr:rowOff>
        </xdr:from>
        <xdr:to>
          <xdr:col>14</xdr:col>
          <xdr:colOff>869133</xdr:colOff>
          <xdr:row>28</xdr:row>
          <xdr:rowOff>172016</xdr:rowOff>
        </xdr:to>
        <xdr:sp macro="" textlink="">
          <xdr:nvSpPr>
            <xdr:cNvPr id="3397" name="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3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29</xdr:row>
          <xdr:rowOff>9053</xdr:rowOff>
        </xdr:from>
        <xdr:to>
          <xdr:col>14</xdr:col>
          <xdr:colOff>869133</xdr:colOff>
          <xdr:row>29</xdr:row>
          <xdr:rowOff>172016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3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30</xdr:row>
          <xdr:rowOff>9053</xdr:rowOff>
        </xdr:from>
        <xdr:to>
          <xdr:col>14</xdr:col>
          <xdr:colOff>869133</xdr:colOff>
          <xdr:row>30</xdr:row>
          <xdr:rowOff>172016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3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31</xdr:row>
          <xdr:rowOff>9053</xdr:rowOff>
        </xdr:from>
        <xdr:to>
          <xdr:col>14</xdr:col>
          <xdr:colOff>869133</xdr:colOff>
          <xdr:row>31</xdr:row>
          <xdr:rowOff>172016</xdr:rowOff>
        </xdr:to>
        <xdr:sp macro="" textlink="">
          <xdr:nvSpPr>
            <xdr:cNvPr id="3400" name="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3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32</xdr:row>
          <xdr:rowOff>9053</xdr:rowOff>
        </xdr:from>
        <xdr:to>
          <xdr:col>14</xdr:col>
          <xdr:colOff>869133</xdr:colOff>
          <xdr:row>32</xdr:row>
          <xdr:rowOff>172016</xdr:rowOff>
        </xdr:to>
        <xdr:sp macro="" textlink="">
          <xdr:nvSpPr>
            <xdr:cNvPr id="3401" name="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3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33</xdr:row>
          <xdr:rowOff>9053</xdr:rowOff>
        </xdr:from>
        <xdr:to>
          <xdr:col>14</xdr:col>
          <xdr:colOff>869133</xdr:colOff>
          <xdr:row>33</xdr:row>
          <xdr:rowOff>172016</xdr:rowOff>
        </xdr:to>
        <xdr:sp macro="" textlink="">
          <xdr:nvSpPr>
            <xdr:cNvPr id="3402" name="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3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34</xdr:row>
          <xdr:rowOff>9053</xdr:rowOff>
        </xdr:from>
        <xdr:to>
          <xdr:col>14</xdr:col>
          <xdr:colOff>869133</xdr:colOff>
          <xdr:row>34</xdr:row>
          <xdr:rowOff>172016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3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35</xdr:row>
          <xdr:rowOff>9053</xdr:rowOff>
        </xdr:from>
        <xdr:to>
          <xdr:col>14</xdr:col>
          <xdr:colOff>869133</xdr:colOff>
          <xdr:row>35</xdr:row>
          <xdr:rowOff>172016</xdr:rowOff>
        </xdr:to>
        <xdr:sp macro="" textlink="">
          <xdr:nvSpPr>
            <xdr:cNvPr id="3404" name="Button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3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36</xdr:row>
          <xdr:rowOff>9053</xdr:rowOff>
        </xdr:from>
        <xdr:to>
          <xdr:col>14</xdr:col>
          <xdr:colOff>869133</xdr:colOff>
          <xdr:row>36</xdr:row>
          <xdr:rowOff>172016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3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</xdr:row>
          <xdr:rowOff>9053</xdr:rowOff>
        </xdr:from>
        <xdr:to>
          <xdr:col>7</xdr:col>
          <xdr:colOff>0</xdr:colOff>
          <xdr:row>2</xdr:row>
          <xdr:rowOff>172016</xdr:rowOff>
        </xdr:to>
        <xdr:sp macro="" textlink="">
          <xdr:nvSpPr>
            <xdr:cNvPr id="3406" name="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3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</xdr:row>
          <xdr:rowOff>9053</xdr:rowOff>
        </xdr:from>
        <xdr:to>
          <xdr:col>8</xdr:col>
          <xdr:colOff>0</xdr:colOff>
          <xdr:row>2</xdr:row>
          <xdr:rowOff>172016</xdr:rowOff>
        </xdr:to>
        <xdr:sp macro="" textlink="">
          <xdr:nvSpPr>
            <xdr:cNvPr id="3407" name="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3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</xdr:row>
          <xdr:rowOff>9053</xdr:rowOff>
        </xdr:from>
        <xdr:to>
          <xdr:col>9</xdr:col>
          <xdr:colOff>0</xdr:colOff>
          <xdr:row>2</xdr:row>
          <xdr:rowOff>172016</xdr:rowOff>
        </xdr:to>
        <xdr:sp macro="" textlink="">
          <xdr:nvSpPr>
            <xdr:cNvPr id="3408" name="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3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</xdr:row>
          <xdr:rowOff>9053</xdr:rowOff>
        </xdr:from>
        <xdr:to>
          <xdr:col>16</xdr:col>
          <xdr:colOff>0</xdr:colOff>
          <xdr:row>2</xdr:row>
          <xdr:rowOff>172016</xdr:rowOff>
        </xdr:to>
        <xdr:sp macro="" textlink="">
          <xdr:nvSpPr>
            <xdr:cNvPr id="3412" name="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3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</xdr:row>
          <xdr:rowOff>9053</xdr:rowOff>
        </xdr:from>
        <xdr:to>
          <xdr:col>17</xdr:col>
          <xdr:colOff>0</xdr:colOff>
          <xdr:row>2</xdr:row>
          <xdr:rowOff>172016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3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</xdr:row>
          <xdr:rowOff>9053</xdr:rowOff>
        </xdr:from>
        <xdr:to>
          <xdr:col>18</xdr:col>
          <xdr:colOff>0</xdr:colOff>
          <xdr:row>2</xdr:row>
          <xdr:rowOff>172016</xdr:rowOff>
        </xdr:to>
        <xdr:sp macro="" textlink="">
          <xdr:nvSpPr>
            <xdr:cNvPr id="3414" name="Button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3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3</xdr:row>
          <xdr:rowOff>9053</xdr:rowOff>
        </xdr:from>
        <xdr:to>
          <xdr:col>7</xdr:col>
          <xdr:colOff>0</xdr:colOff>
          <xdr:row>3</xdr:row>
          <xdr:rowOff>172016</xdr:rowOff>
        </xdr:to>
        <xdr:sp macro="" textlink="">
          <xdr:nvSpPr>
            <xdr:cNvPr id="3415" name="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3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3</xdr:row>
          <xdr:rowOff>9053</xdr:rowOff>
        </xdr:from>
        <xdr:to>
          <xdr:col>8</xdr:col>
          <xdr:colOff>0</xdr:colOff>
          <xdr:row>3</xdr:row>
          <xdr:rowOff>172016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3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3</xdr:row>
          <xdr:rowOff>9053</xdr:rowOff>
        </xdr:from>
        <xdr:to>
          <xdr:col>9</xdr:col>
          <xdr:colOff>0</xdr:colOff>
          <xdr:row>3</xdr:row>
          <xdr:rowOff>172016</xdr:rowOff>
        </xdr:to>
        <xdr:sp macro="" textlink="">
          <xdr:nvSpPr>
            <xdr:cNvPr id="3417" name="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3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4</xdr:row>
          <xdr:rowOff>9053</xdr:rowOff>
        </xdr:from>
        <xdr:to>
          <xdr:col>7</xdr:col>
          <xdr:colOff>0</xdr:colOff>
          <xdr:row>4</xdr:row>
          <xdr:rowOff>172016</xdr:rowOff>
        </xdr:to>
        <xdr:sp macro="" textlink="">
          <xdr:nvSpPr>
            <xdr:cNvPr id="3418" name="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3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4</xdr:row>
          <xdr:rowOff>9053</xdr:rowOff>
        </xdr:from>
        <xdr:to>
          <xdr:col>8</xdr:col>
          <xdr:colOff>0</xdr:colOff>
          <xdr:row>4</xdr:row>
          <xdr:rowOff>172016</xdr:rowOff>
        </xdr:to>
        <xdr:sp macro="" textlink="">
          <xdr:nvSpPr>
            <xdr:cNvPr id="3419" name="Button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3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4</xdr:row>
          <xdr:rowOff>9053</xdr:rowOff>
        </xdr:from>
        <xdr:to>
          <xdr:col>9</xdr:col>
          <xdr:colOff>0</xdr:colOff>
          <xdr:row>4</xdr:row>
          <xdr:rowOff>172016</xdr:rowOff>
        </xdr:to>
        <xdr:sp macro="" textlink="">
          <xdr:nvSpPr>
            <xdr:cNvPr id="3420" name="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3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5</xdr:row>
          <xdr:rowOff>9053</xdr:rowOff>
        </xdr:from>
        <xdr:to>
          <xdr:col>7</xdr:col>
          <xdr:colOff>0</xdr:colOff>
          <xdr:row>5</xdr:row>
          <xdr:rowOff>172016</xdr:rowOff>
        </xdr:to>
        <xdr:sp macro="" textlink="">
          <xdr:nvSpPr>
            <xdr:cNvPr id="3421" name="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3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5</xdr:row>
          <xdr:rowOff>9053</xdr:rowOff>
        </xdr:from>
        <xdr:to>
          <xdr:col>8</xdr:col>
          <xdr:colOff>0</xdr:colOff>
          <xdr:row>5</xdr:row>
          <xdr:rowOff>172016</xdr:rowOff>
        </xdr:to>
        <xdr:sp macro="" textlink="">
          <xdr:nvSpPr>
            <xdr:cNvPr id="3422" name="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3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5</xdr:row>
          <xdr:rowOff>9053</xdr:rowOff>
        </xdr:from>
        <xdr:to>
          <xdr:col>9</xdr:col>
          <xdr:colOff>0</xdr:colOff>
          <xdr:row>5</xdr:row>
          <xdr:rowOff>172016</xdr:rowOff>
        </xdr:to>
        <xdr:sp macro="" textlink="">
          <xdr:nvSpPr>
            <xdr:cNvPr id="3423" name="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3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6</xdr:row>
          <xdr:rowOff>9053</xdr:rowOff>
        </xdr:from>
        <xdr:to>
          <xdr:col>7</xdr:col>
          <xdr:colOff>0</xdr:colOff>
          <xdr:row>6</xdr:row>
          <xdr:rowOff>172016</xdr:rowOff>
        </xdr:to>
        <xdr:sp macro="" textlink="">
          <xdr:nvSpPr>
            <xdr:cNvPr id="3424" name="Button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3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6</xdr:row>
          <xdr:rowOff>9053</xdr:rowOff>
        </xdr:from>
        <xdr:to>
          <xdr:col>8</xdr:col>
          <xdr:colOff>0</xdr:colOff>
          <xdr:row>6</xdr:row>
          <xdr:rowOff>172016</xdr:rowOff>
        </xdr:to>
        <xdr:sp macro="" textlink="">
          <xdr:nvSpPr>
            <xdr:cNvPr id="3425" name="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3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6</xdr:row>
          <xdr:rowOff>9053</xdr:rowOff>
        </xdr:from>
        <xdr:to>
          <xdr:col>9</xdr:col>
          <xdr:colOff>0</xdr:colOff>
          <xdr:row>6</xdr:row>
          <xdr:rowOff>172016</xdr:rowOff>
        </xdr:to>
        <xdr:sp macro="" textlink="">
          <xdr:nvSpPr>
            <xdr:cNvPr id="3426" name="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3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7</xdr:row>
          <xdr:rowOff>9053</xdr:rowOff>
        </xdr:from>
        <xdr:to>
          <xdr:col>7</xdr:col>
          <xdr:colOff>0</xdr:colOff>
          <xdr:row>7</xdr:row>
          <xdr:rowOff>172016</xdr:rowOff>
        </xdr:to>
        <xdr:sp macro="" textlink="">
          <xdr:nvSpPr>
            <xdr:cNvPr id="3427" name="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3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7</xdr:row>
          <xdr:rowOff>9053</xdr:rowOff>
        </xdr:from>
        <xdr:to>
          <xdr:col>8</xdr:col>
          <xdr:colOff>0</xdr:colOff>
          <xdr:row>7</xdr:row>
          <xdr:rowOff>172016</xdr:rowOff>
        </xdr:to>
        <xdr:sp macro="" textlink="">
          <xdr:nvSpPr>
            <xdr:cNvPr id="3428" name="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3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7</xdr:row>
          <xdr:rowOff>9053</xdr:rowOff>
        </xdr:from>
        <xdr:to>
          <xdr:col>9</xdr:col>
          <xdr:colOff>0</xdr:colOff>
          <xdr:row>7</xdr:row>
          <xdr:rowOff>172016</xdr:rowOff>
        </xdr:to>
        <xdr:sp macro="" textlink="">
          <xdr:nvSpPr>
            <xdr:cNvPr id="3429" name="Button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3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8</xdr:row>
          <xdr:rowOff>9053</xdr:rowOff>
        </xdr:from>
        <xdr:to>
          <xdr:col>7</xdr:col>
          <xdr:colOff>0</xdr:colOff>
          <xdr:row>8</xdr:row>
          <xdr:rowOff>172016</xdr:rowOff>
        </xdr:to>
        <xdr:sp macro="" textlink="">
          <xdr:nvSpPr>
            <xdr:cNvPr id="3430" name="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3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8</xdr:row>
          <xdr:rowOff>9053</xdr:rowOff>
        </xdr:from>
        <xdr:to>
          <xdr:col>8</xdr:col>
          <xdr:colOff>0</xdr:colOff>
          <xdr:row>8</xdr:row>
          <xdr:rowOff>172016</xdr:rowOff>
        </xdr:to>
        <xdr:sp macro="" textlink="">
          <xdr:nvSpPr>
            <xdr:cNvPr id="3431" name="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3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8</xdr:row>
          <xdr:rowOff>9053</xdr:rowOff>
        </xdr:from>
        <xdr:to>
          <xdr:col>9</xdr:col>
          <xdr:colOff>0</xdr:colOff>
          <xdr:row>8</xdr:row>
          <xdr:rowOff>172016</xdr:rowOff>
        </xdr:to>
        <xdr:sp macro="" textlink="">
          <xdr:nvSpPr>
            <xdr:cNvPr id="3432" name="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3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9</xdr:row>
          <xdr:rowOff>9053</xdr:rowOff>
        </xdr:from>
        <xdr:to>
          <xdr:col>7</xdr:col>
          <xdr:colOff>0</xdr:colOff>
          <xdr:row>9</xdr:row>
          <xdr:rowOff>172016</xdr:rowOff>
        </xdr:to>
        <xdr:sp macro="" textlink="">
          <xdr:nvSpPr>
            <xdr:cNvPr id="3433" name="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3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9</xdr:row>
          <xdr:rowOff>9053</xdr:rowOff>
        </xdr:from>
        <xdr:to>
          <xdr:col>8</xdr:col>
          <xdr:colOff>0</xdr:colOff>
          <xdr:row>9</xdr:row>
          <xdr:rowOff>172016</xdr:rowOff>
        </xdr:to>
        <xdr:sp macro="" textlink="">
          <xdr:nvSpPr>
            <xdr:cNvPr id="3434" name="Button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3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9</xdr:row>
          <xdr:rowOff>9053</xdr:rowOff>
        </xdr:from>
        <xdr:to>
          <xdr:col>9</xdr:col>
          <xdr:colOff>0</xdr:colOff>
          <xdr:row>9</xdr:row>
          <xdr:rowOff>172016</xdr:rowOff>
        </xdr:to>
        <xdr:sp macro="" textlink="">
          <xdr:nvSpPr>
            <xdr:cNvPr id="3435" name="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3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10</xdr:row>
          <xdr:rowOff>9053</xdr:rowOff>
        </xdr:from>
        <xdr:to>
          <xdr:col>7</xdr:col>
          <xdr:colOff>0</xdr:colOff>
          <xdr:row>10</xdr:row>
          <xdr:rowOff>172016</xdr:rowOff>
        </xdr:to>
        <xdr:sp macro="" textlink="">
          <xdr:nvSpPr>
            <xdr:cNvPr id="3436" name="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3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10</xdr:row>
          <xdr:rowOff>9053</xdr:rowOff>
        </xdr:from>
        <xdr:to>
          <xdr:col>8</xdr:col>
          <xdr:colOff>0</xdr:colOff>
          <xdr:row>10</xdr:row>
          <xdr:rowOff>172016</xdr:rowOff>
        </xdr:to>
        <xdr:sp macro="" textlink="">
          <xdr:nvSpPr>
            <xdr:cNvPr id="3437" name="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3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10</xdr:row>
          <xdr:rowOff>9053</xdr:rowOff>
        </xdr:from>
        <xdr:to>
          <xdr:col>9</xdr:col>
          <xdr:colOff>0</xdr:colOff>
          <xdr:row>10</xdr:row>
          <xdr:rowOff>172016</xdr:rowOff>
        </xdr:to>
        <xdr:sp macro="" textlink="">
          <xdr:nvSpPr>
            <xdr:cNvPr id="3438" name="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3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11</xdr:row>
          <xdr:rowOff>9053</xdr:rowOff>
        </xdr:from>
        <xdr:to>
          <xdr:col>7</xdr:col>
          <xdr:colOff>0</xdr:colOff>
          <xdr:row>11</xdr:row>
          <xdr:rowOff>172016</xdr:rowOff>
        </xdr:to>
        <xdr:sp macro="" textlink="">
          <xdr:nvSpPr>
            <xdr:cNvPr id="3439" name="Button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3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11</xdr:row>
          <xdr:rowOff>9053</xdr:rowOff>
        </xdr:from>
        <xdr:to>
          <xdr:col>8</xdr:col>
          <xdr:colOff>0</xdr:colOff>
          <xdr:row>11</xdr:row>
          <xdr:rowOff>172016</xdr:rowOff>
        </xdr:to>
        <xdr:sp macro="" textlink="">
          <xdr:nvSpPr>
            <xdr:cNvPr id="3440" name="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3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11</xdr:row>
          <xdr:rowOff>9053</xdr:rowOff>
        </xdr:from>
        <xdr:to>
          <xdr:col>9</xdr:col>
          <xdr:colOff>0</xdr:colOff>
          <xdr:row>11</xdr:row>
          <xdr:rowOff>172016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3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12</xdr:row>
          <xdr:rowOff>9053</xdr:rowOff>
        </xdr:from>
        <xdr:to>
          <xdr:col>7</xdr:col>
          <xdr:colOff>0</xdr:colOff>
          <xdr:row>12</xdr:row>
          <xdr:rowOff>172016</xdr:rowOff>
        </xdr:to>
        <xdr:sp macro="" textlink="">
          <xdr:nvSpPr>
            <xdr:cNvPr id="3442" name="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3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12</xdr:row>
          <xdr:rowOff>9053</xdr:rowOff>
        </xdr:from>
        <xdr:to>
          <xdr:col>8</xdr:col>
          <xdr:colOff>0</xdr:colOff>
          <xdr:row>12</xdr:row>
          <xdr:rowOff>172016</xdr:rowOff>
        </xdr:to>
        <xdr:sp macro="" textlink="">
          <xdr:nvSpPr>
            <xdr:cNvPr id="3443" name="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3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12</xdr:row>
          <xdr:rowOff>9053</xdr:rowOff>
        </xdr:from>
        <xdr:to>
          <xdr:col>9</xdr:col>
          <xdr:colOff>0</xdr:colOff>
          <xdr:row>12</xdr:row>
          <xdr:rowOff>172016</xdr:rowOff>
        </xdr:to>
        <xdr:sp macro="" textlink="">
          <xdr:nvSpPr>
            <xdr:cNvPr id="3444" name="Button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3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13</xdr:row>
          <xdr:rowOff>9053</xdr:rowOff>
        </xdr:from>
        <xdr:to>
          <xdr:col>7</xdr:col>
          <xdr:colOff>0</xdr:colOff>
          <xdr:row>13</xdr:row>
          <xdr:rowOff>172016</xdr:rowOff>
        </xdr:to>
        <xdr:sp macro="" textlink="">
          <xdr:nvSpPr>
            <xdr:cNvPr id="3445" name="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3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13</xdr:row>
          <xdr:rowOff>9053</xdr:rowOff>
        </xdr:from>
        <xdr:to>
          <xdr:col>8</xdr:col>
          <xdr:colOff>0</xdr:colOff>
          <xdr:row>13</xdr:row>
          <xdr:rowOff>172016</xdr:rowOff>
        </xdr:to>
        <xdr:sp macro="" textlink="">
          <xdr:nvSpPr>
            <xdr:cNvPr id="3446" name="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3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13</xdr:row>
          <xdr:rowOff>9053</xdr:rowOff>
        </xdr:from>
        <xdr:to>
          <xdr:col>9</xdr:col>
          <xdr:colOff>0</xdr:colOff>
          <xdr:row>13</xdr:row>
          <xdr:rowOff>172016</xdr:rowOff>
        </xdr:to>
        <xdr:sp macro="" textlink="">
          <xdr:nvSpPr>
            <xdr:cNvPr id="3447" name="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3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14</xdr:row>
          <xdr:rowOff>9053</xdr:rowOff>
        </xdr:from>
        <xdr:to>
          <xdr:col>7</xdr:col>
          <xdr:colOff>0</xdr:colOff>
          <xdr:row>14</xdr:row>
          <xdr:rowOff>172016</xdr:rowOff>
        </xdr:to>
        <xdr:sp macro="" textlink="">
          <xdr:nvSpPr>
            <xdr:cNvPr id="3448" name="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3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14</xdr:row>
          <xdr:rowOff>9053</xdr:rowOff>
        </xdr:from>
        <xdr:to>
          <xdr:col>8</xdr:col>
          <xdr:colOff>0</xdr:colOff>
          <xdr:row>14</xdr:row>
          <xdr:rowOff>172016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3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14</xdr:row>
          <xdr:rowOff>9053</xdr:rowOff>
        </xdr:from>
        <xdr:to>
          <xdr:col>9</xdr:col>
          <xdr:colOff>0</xdr:colOff>
          <xdr:row>14</xdr:row>
          <xdr:rowOff>172016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3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15</xdr:row>
          <xdr:rowOff>9053</xdr:rowOff>
        </xdr:from>
        <xdr:to>
          <xdr:col>7</xdr:col>
          <xdr:colOff>0</xdr:colOff>
          <xdr:row>15</xdr:row>
          <xdr:rowOff>172016</xdr:rowOff>
        </xdr:to>
        <xdr:sp macro="" textlink="">
          <xdr:nvSpPr>
            <xdr:cNvPr id="3451" name="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3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15</xdr:row>
          <xdr:rowOff>9053</xdr:rowOff>
        </xdr:from>
        <xdr:to>
          <xdr:col>8</xdr:col>
          <xdr:colOff>0</xdr:colOff>
          <xdr:row>15</xdr:row>
          <xdr:rowOff>172016</xdr:rowOff>
        </xdr:to>
        <xdr:sp macro="" textlink="">
          <xdr:nvSpPr>
            <xdr:cNvPr id="3452" name="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3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15</xdr:row>
          <xdr:rowOff>9053</xdr:rowOff>
        </xdr:from>
        <xdr:to>
          <xdr:col>9</xdr:col>
          <xdr:colOff>0</xdr:colOff>
          <xdr:row>15</xdr:row>
          <xdr:rowOff>172016</xdr:rowOff>
        </xdr:to>
        <xdr:sp macro="" textlink="">
          <xdr:nvSpPr>
            <xdr:cNvPr id="3453" name="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3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16</xdr:row>
          <xdr:rowOff>9053</xdr:rowOff>
        </xdr:from>
        <xdr:to>
          <xdr:col>7</xdr:col>
          <xdr:colOff>0</xdr:colOff>
          <xdr:row>16</xdr:row>
          <xdr:rowOff>172016</xdr:rowOff>
        </xdr:to>
        <xdr:sp macro="" textlink="">
          <xdr:nvSpPr>
            <xdr:cNvPr id="3454" name="Button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3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16</xdr:row>
          <xdr:rowOff>9053</xdr:rowOff>
        </xdr:from>
        <xdr:to>
          <xdr:col>8</xdr:col>
          <xdr:colOff>0</xdr:colOff>
          <xdr:row>16</xdr:row>
          <xdr:rowOff>172016</xdr:rowOff>
        </xdr:to>
        <xdr:sp macro="" textlink="">
          <xdr:nvSpPr>
            <xdr:cNvPr id="3455" name="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3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16</xdr:row>
          <xdr:rowOff>9053</xdr:rowOff>
        </xdr:from>
        <xdr:to>
          <xdr:col>9</xdr:col>
          <xdr:colOff>0</xdr:colOff>
          <xdr:row>16</xdr:row>
          <xdr:rowOff>172016</xdr:rowOff>
        </xdr:to>
        <xdr:sp macro="" textlink="">
          <xdr:nvSpPr>
            <xdr:cNvPr id="3456" name="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3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17</xdr:row>
          <xdr:rowOff>9053</xdr:rowOff>
        </xdr:from>
        <xdr:to>
          <xdr:col>7</xdr:col>
          <xdr:colOff>0</xdr:colOff>
          <xdr:row>17</xdr:row>
          <xdr:rowOff>172016</xdr:rowOff>
        </xdr:to>
        <xdr:sp macro="" textlink="">
          <xdr:nvSpPr>
            <xdr:cNvPr id="3457" name="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3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17</xdr:row>
          <xdr:rowOff>9053</xdr:rowOff>
        </xdr:from>
        <xdr:to>
          <xdr:col>8</xdr:col>
          <xdr:colOff>0</xdr:colOff>
          <xdr:row>17</xdr:row>
          <xdr:rowOff>172016</xdr:rowOff>
        </xdr:to>
        <xdr:sp macro="" textlink="">
          <xdr:nvSpPr>
            <xdr:cNvPr id="3458" name="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3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17</xdr:row>
          <xdr:rowOff>9053</xdr:rowOff>
        </xdr:from>
        <xdr:to>
          <xdr:col>9</xdr:col>
          <xdr:colOff>0</xdr:colOff>
          <xdr:row>17</xdr:row>
          <xdr:rowOff>172016</xdr:rowOff>
        </xdr:to>
        <xdr:sp macro="" textlink="">
          <xdr:nvSpPr>
            <xdr:cNvPr id="3459" name="Button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3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18</xdr:row>
          <xdr:rowOff>9053</xdr:rowOff>
        </xdr:from>
        <xdr:to>
          <xdr:col>7</xdr:col>
          <xdr:colOff>0</xdr:colOff>
          <xdr:row>18</xdr:row>
          <xdr:rowOff>172016</xdr:rowOff>
        </xdr:to>
        <xdr:sp macro="" textlink="">
          <xdr:nvSpPr>
            <xdr:cNvPr id="3460" name="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3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18</xdr:row>
          <xdr:rowOff>9053</xdr:rowOff>
        </xdr:from>
        <xdr:to>
          <xdr:col>8</xdr:col>
          <xdr:colOff>0</xdr:colOff>
          <xdr:row>18</xdr:row>
          <xdr:rowOff>172016</xdr:rowOff>
        </xdr:to>
        <xdr:sp macro="" textlink="">
          <xdr:nvSpPr>
            <xdr:cNvPr id="3461" name="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3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18</xdr:row>
          <xdr:rowOff>9053</xdr:rowOff>
        </xdr:from>
        <xdr:to>
          <xdr:col>9</xdr:col>
          <xdr:colOff>0</xdr:colOff>
          <xdr:row>18</xdr:row>
          <xdr:rowOff>172016</xdr:rowOff>
        </xdr:to>
        <xdr:sp macro="" textlink="">
          <xdr:nvSpPr>
            <xdr:cNvPr id="3462" name="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3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19</xdr:row>
          <xdr:rowOff>9053</xdr:rowOff>
        </xdr:from>
        <xdr:to>
          <xdr:col>7</xdr:col>
          <xdr:colOff>0</xdr:colOff>
          <xdr:row>19</xdr:row>
          <xdr:rowOff>172016</xdr:rowOff>
        </xdr:to>
        <xdr:sp macro="" textlink="">
          <xdr:nvSpPr>
            <xdr:cNvPr id="3463" name="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3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19</xdr:row>
          <xdr:rowOff>9053</xdr:rowOff>
        </xdr:from>
        <xdr:to>
          <xdr:col>8</xdr:col>
          <xdr:colOff>0</xdr:colOff>
          <xdr:row>19</xdr:row>
          <xdr:rowOff>172016</xdr:rowOff>
        </xdr:to>
        <xdr:sp macro="" textlink="">
          <xdr:nvSpPr>
            <xdr:cNvPr id="3464" name="Button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3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19</xdr:row>
          <xdr:rowOff>9053</xdr:rowOff>
        </xdr:from>
        <xdr:to>
          <xdr:col>9</xdr:col>
          <xdr:colOff>0</xdr:colOff>
          <xdr:row>19</xdr:row>
          <xdr:rowOff>172016</xdr:rowOff>
        </xdr:to>
        <xdr:sp macro="" textlink="">
          <xdr:nvSpPr>
            <xdr:cNvPr id="3465" name="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3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20</xdr:row>
          <xdr:rowOff>9053</xdr:rowOff>
        </xdr:from>
        <xdr:to>
          <xdr:col>7</xdr:col>
          <xdr:colOff>0</xdr:colOff>
          <xdr:row>20</xdr:row>
          <xdr:rowOff>172016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3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20</xdr:row>
          <xdr:rowOff>9053</xdr:rowOff>
        </xdr:from>
        <xdr:to>
          <xdr:col>8</xdr:col>
          <xdr:colOff>0</xdr:colOff>
          <xdr:row>20</xdr:row>
          <xdr:rowOff>172016</xdr:rowOff>
        </xdr:to>
        <xdr:sp macro="" textlink="">
          <xdr:nvSpPr>
            <xdr:cNvPr id="3467" name="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3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20</xdr:row>
          <xdr:rowOff>9053</xdr:rowOff>
        </xdr:from>
        <xdr:to>
          <xdr:col>9</xdr:col>
          <xdr:colOff>0</xdr:colOff>
          <xdr:row>20</xdr:row>
          <xdr:rowOff>172016</xdr:rowOff>
        </xdr:to>
        <xdr:sp macro="" textlink="">
          <xdr:nvSpPr>
            <xdr:cNvPr id="3468" name="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3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21</xdr:row>
          <xdr:rowOff>9053</xdr:rowOff>
        </xdr:from>
        <xdr:to>
          <xdr:col>7</xdr:col>
          <xdr:colOff>0</xdr:colOff>
          <xdr:row>21</xdr:row>
          <xdr:rowOff>172016</xdr:rowOff>
        </xdr:to>
        <xdr:sp macro="" textlink="">
          <xdr:nvSpPr>
            <xdr:cNvPr id="3469" name="Button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3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21</xdr:row>
          <xdr:rowOff>9053</xdr:rowOff>
        </xdr:from>
        <xdr:to>
          <xdr:col>8</xdr:col>
          <xdr:colOff>0</xdr:colOff>
          <xdr:row>21</xdr:row>
          <xdr:rowOff>172016</xdr:rowOff>
        </xdr:to>
        <xdr:sp macro="" textlink="">
          <xdr:nvSpPr>
            <xdr:cNvPr id="3470" name="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3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21</xdr:row>
          <xdr:rowOff>9053</xdr:rowOff>
        </xdr:from>
        <xdr:to>
          <xdr:col>9</xdr:col>
          <xdr:colOff>0</xdr:colOff>
          <xdr:row>21</xdr:row>
          <xdr:rowOff>172016</xdr:rowOff>
        </xdr:to>
        <xdr:sp macro="" textlink="">
          <xdr:nvSpPr>
            <xdr:cNvPr id="3471" name="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3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22</xdr:row>
          <xdr:rowOff>9053</xdr:rowOff>
        </xdr:from>
        <xdr:to>
          <xdr:col>7</xdr:col>
          <xdr:colOff>0</xdr:colOff>
          <xdr:row>22</xdr:row>
          <xdr:rowOff>172016</xdr:rowOff>
        </xdr:to>
        <xdr:sp macro="" textlink="">
          <xdr:nvSpPr>
            <xdr:cNvPr id="3472" name="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3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22</xdr:row>
          <xdr:rowOff>9053</xdr:rowOff>
        </xdr:from>
        <xdr:to>
          <xdr:col>8</xdr:col>
          <xdr:colOff>0</xdr:colOff>
          <xdr:row>22</xdr:row>
          <xdr:rowOff>172016</xdr:rowOff>
        </xdr:to>
        <xdr:sp macro="" textlink="">
          <xdr:nvSpPr>
            <xdr:cNvPr id="3473" name="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3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22</xdr:row>
          <xdr:rowOff>9053</xdr:rowOff>
        </xdr:from>
        <xdr:to>
          <xdr:col>9</xdr:col>
          <xdr:colOff>0</xdr:colOff>
          <xdr:row>22</xdr:row>
          <xdr:rowOff>172016</xdr:rowOff>
        </xdr:to>
        <xdr:sp macro="" textlink="">
          <xdr:nvSpPr>
            <xdr:cNvPr id="3474" name="Button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3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23</xdr:row>
          <xdr:rowOff>9053</xdr:rowOff>
        </xdr:from>
        <xdr:to>
          <xdr:col>7</xdr:col>
          <xdr:colOff>0</xdr:colOff>
          <xdr:row>23</xdr:row>
          <xdr:rowOff>172016</xdr:rowOff>
        </xdr:to>
        <xdr:sp macro="" textlink="">
          <xdr:nvSpPr>
            <xdr:cNvPr id="3475" name="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3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23</xdr:row>
          <xdr:rowOff>9053</xdr:rowOff>
        </xdr:from>
        <xdr:to>
          <xdr:col>8</xdr:col>
          <xdr:colOff>0</xdr:colOff>
          <xdr:row>23</xdr:row>
          <xdr:rowOff>172016</xdr:rowOff>
        </xdr:to>
        <xdr:sp macro="" textlink="">
          <xdr:nvSpPr>
            <xdr:cNvPr id="3476" name="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3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23</xdr:row>
          <xdr:rowOff>9053</xdr:rowOff>
        </xdr:from>
        <xdr:to>
          <xdr:col>9</xdr:col>
          <xdr:colOff>0</xdr:colOff>
          <xdr:row>23</xdr:row>
          <xdr:rowOff>172016</xdr:rowOff>
        </xdr:to>
        <xdr:sp macro="" textlink="">
          <xdr:nvSpPr>
            <xdr:cNvPr id="3477" name="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3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24</xdr:row>
          <xdr:rowOff>9053</xdr:rowOff>
        </xdr:from>
        <xdr:to>
          <xdr:col>7</xdr:col>
          <xdr:colOff>0</xdr:colOff>
          <xdr:row>24</xdr:row>
          <xdr:rowOff>172016</xdr:rowOff>
        </xdr:to>
        <xdr:sp macro="" textlink="">
          <xdr:nvSpPr>
            <xdr:cNvPr id="3478" name="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3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24</xdr:row>
          <xdr:rowOff>9053</xdr:rowOff>
        </xdr:from>
        <xdr:to>
          <xdr:col>8</xdr:col>
          <xdr:colOff>0</xdr:colOff>
          <xdr:row>24</xdr:row>
          <xdr:rowOff>172016</xdr:rowOff>
        </xdr:to>
        <xdr:sp macro="" textlink="">
          <xdr:nvSpPr>
            <xdr:cNvPr id="3479" name="Button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3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24</xdr:row>
          <xdr:rowOff>9053</xdr:rowOff>
        </xdr:from>
        <xdr:to>
          <xdr:col>9</xdr:col>
          <xdr:colOff>0</xdr:colOff>
          <xdr:row>24</xdr:row>
          <xdr:rowOff>172016</xdr:rowOff>
        </xdr:to>
        <xdr:sp macro="" textlink="">
          <xdr:nvSpPr>
            <xdr:cNvPr id="3480" name="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3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25</xdr:row>
          <xdr:rowOff>9053</xdr:rowOff>
        </xdr:from>
        <xdr:to>
          <xdr:col>7</xdr:col>
          <xdr:colOff>0</xdr:colOff>
          <xdr:row>25</xdr:row>
          <xdr:rowOff>172016</xdr:rowOff>
        </xdr:to>
        <xdr:sp macro="" textlink="">
          <xdr:nvSpPr>
            <xdr:cNvPr id="3481" name="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3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25</xdr:row>
          <xdr:rowOff>9053</xdr:rowOff>
        </xdr:from>
        <xdr:to>
          <xdr:col>8</xdr:col>
          <xdr:colOff>0</xdr:colOff>
          <xdr:row>25</xdr:row>
          <xdr:rowOff>172016</xdr:rowOff>
        </xdr:to>
        <xdr:sp macro="" textlink="">
          <xdr:nvSpPr>
            <xdr:cNvPr id="3482" name="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3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25</xdr:row>
          <xdr:rowOff>9053</xdr:rowOff>
        </xdr:from>
        <xdr:to>
          <xdr:col>9</xdr:col>
          <xdr:colOff>0</xdr:colOff>
          <xdr:row>25</xdr:row>
          <xdr:rowOff>172016</xdr:rowOff>
        </xdr:to>
        <xdr:sp macro="" textlink="">
          <xdr:nvSpPr>
            <xdr:cNvPr id="3483" name="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3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26</xdr:row>
          <xdr:rowOff>9053</xdr:rowOff>
        </xdr:from>
        <xdr:to>
          <xdr:col>7</xdr:col>
          <xdr:colOff>0</xdr:colOff>
          <xdr:row>26</xdr:row>
          <xdr:rowOff>172016</xdr:rowOff>
        </xdr:to>
        <xdr:sp macro="" textlink="">
          <xdr:nvSpPr>
            <xdr:cNvPr id="3484" name="Button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3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26</xdr:row>
          <xdr:rowOff>9053</xdr:rowOff>
        </xdr:from>
        <xdr:to>
          <xdr:col>8</xdr:col>
          <xdr:colOff>0</xdr:colOff>
          <xdr:row>26</xdr:row>
          <xdr:rowOff>172016</xdr:rowOff>
        </xdr:to>
        <xdr:sp macro="" textlink="">
          <xdr:nvSpPr>
            <xdr:cNvPr id="3485" name="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3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26</xdr:row>
          <xdr:rowOff>9053</xdr:rowOff>
        </xdr:from>
        <xdr:to>
          <xdr:col>9</xdr:col>
          <xdr:colOff>0</xdr:colOff>
          <xdr:row>26</xdr:row>
          <xdr:rowOff>172016</xdr:rowOff>
        </xdr:to>
        <xdr:sp macro="" textlink="">
          <xdr:nvSpPr>
            <xdr:cNvPr id="3486" name="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3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27</xdr:row>
          <xdr:rowOff>9053</xdr:rowOff>
        </xdr:from>
        <xdr:to>
          <xdr:col>7</xdr:col>
          <xdr:colOff>0</xdr:colOff>
          <xdr:row>27</xdr:row>
          <xdr:rowOff>172016</xdr:rowOff>
        </xdr:to>
        <xdr:sp macro="" textlink="">
          <xdr:nvSpPr>
            <xdr:cNvPr id="3487" name="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3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27</xdr:row>
          <xdr:rowOff>9053</xdr:rowOff>
        </xdr:from>
        <xdr:to>
          <xdr:col>8</xdr:col>
          <xdr:colOff>0</xdr:colOff>
          <xdr:row>27</xdr:row>
          <xdr:rowOff>172016</xdr:rowOff>
        </xdr:to>
        <xdr:sp macro="" textlink="">
          <xdr:nvSpPr>
            <xdr:cNvPr id="3488" name="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3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27</xdr:row>
          <xdr:rowOff>9053</xdr:rowOff>
        </xdr:from>
        <xdr:to>
          <xdr:col>9</xdr:col>
          <xdr:colOff>0</xdr:colOff>
          <xdr:row>27</xdr:row>
          <xdr:rowOff>172016</xdr:rowOff>
        </xdr:to>
        <xdr:sp macro="" textlink="">
          <xdr:nvSpPr>
            <xdr:cNvPr id="3489" name="Button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3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28</xdr:row>
          <xdr:rowOff>9053</xdr:rowOff>
        </xdr:from>
        <xdr:to>
          <xdr:col>7</xdr:col>
          <xdr:colOff>0</xdr:colOff>
          <xdr:row>28</xdr:row>
          <xdr:rowOff>172016</xdr:rowOff>
        </xdr:to>
        <xdr:sp macro="" textlink="">
          <xdr:nvSpPr>
            <xdr:cNvPr id="3490" name="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3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28</xdr:row>
          <xdr:rowOff>9053</xdr:rowOff>
        </xdr:from>
        <xdr:to>
          <xdr:col>8</xdr:col>
          <xdr:colOff>0</xdr:colOff>
          <xdr:row>28</xdr:row>
          <xdr:rowOff>172016</xdr:rowOff>
        </xdr:to>
        <xdr:sp macro="" textlink="">
          <xdr:nvSpPr>
            <xdr:cNvPr id="3491" name="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3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28</xdr:row>
          <xdr:rowOff>9053</xdr:rowOff>
        </xdr:from>
        <xdr:to>
          <xdr:col>9</xdr:col>
          <xdr:colOff>0</xdr:colOff>
          <xdr:row>28</xdr:row>
          <xdr:rowOff>172016</xdr:rowOff>
        </xdr:to>
        <xdr:sp macro="" textlink="">
          <xdr:nvSpPr>
            <xdr:cNvPr id="3492" name="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3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29</xdr:row>
          <xdr:rowOff>9053</xdr:rowOff>
        </xdr:from>
        <xdr:to>
          <xdr:col>7</xdr:col>
          <xdr:colOff>0</xdr:colOff>
          <xdr:row>29</xdr:row>
          <xdr:rowOff>172016</xdr:rowOff>
        </xdr:to>
        <xdr:sp macro="" textlink="">
          <xdr:nvSpPr>
            <xdr:cNvPr id="3493" name="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3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29</xdr:row>
          <xdr:rowOff>9053</xdr:rowOff>
        </xdr:from>
        <xdr:to>
          <xdr:col>8</xdr:col>
          <xdr:colOff>0</xdr:colOff>
          <xdr:row>29</xdr:row>
          <xdr:rowOff>172016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3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29</xdr:row>
          <xdr:rowOff>9053</xdr:rowOff>
        </xdr:from>
        <xdr:to>
          <xdr:col>9</xdr:col>
          <xdr:colOff>0</xdr:colOff>
          <xdr:row>29</xdr:row>
          <xdr:rowOff>172016</xdr:rowOff>
        </xdr:to>
        <xdr:sp macro="" textlink="">
          <xdr:nvSpPr>
            <xdr:cNvPr id="3495" name="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3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</xdr:row>
          <xdr:rowOff>9053</xdr:rowOff>
        </xdr:from>
        <xdr:to>
          <xdr:col>16</xdr:col>
          <xdr:colOff>0</xdr:colOff>
          <xdr:row>3</xdr:row>
          <xdr:rowOff>172016</xdr:rowOff>
        </xdr:to>
        <xdr:sp macro="" textlink="">
          <xdr:nvSpPr>
            <xdr:cNvPr id="3496" name="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3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</xdr:row>
          <xdr:rowOff>9053</xdr:rowOff>
        </xdr:from>
        <xdr:to>
          <xdr:col>17</xdr:col>
          <xdr:colOff>0</xdr:colOff>
          <xdr:row>3</xdr:row>
          <xdr:rowOff>172016</xdr:rowOff>
        </xdr:to>
        <xdr:sp macro="" textlink="">
          <xdr:nvSpPr>
            <xdr:cNvPr id="3497" name="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3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</xdr:row>
          <xdr:rowOff>9053</xdr:rowOff>
        </xdr:from>
        <xdr:to>
          <xdr:col>18</xdr:col>
          <xdr:colOff>0</xdr:colOff>
          <xdr:row>3</xdr:row>
          <xdr:rowOff>172016</xdr:rowOff>
        </xdr:to>
        <xdr:sp macro="" textlink="">
          <xdr:nvSpPr>
            <xdr:cNvPr id="3498" name="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3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4</xdr:row>
          <xdr:rowOff>9053</xdr:rowOff>
        </xdr:from>
        <xdr:to>
          <xdr:col>16</xdr:col>
          <xdr:colOff>0</xdr:colOff>
          <xdr:row>4</xdr:row>
          <xdr:rowOff>172016</xdr:rowOff>
        </xdr:to>
        <xdr:sp macro="" textlink="">
          <xdr:nvSpPr>
            <xdr:cNvPr id="3499" name="Button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3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4</xdr:row>
          <xdr:rowOff>9053</xdr:rowOff>
        </xdr:from>
        <xdr:to>
          <xdr:col>17</xdr:col>
          <xdr:colOff>0</xdr:colOff>
          <xdr:row>4</xdr:row>
          <xdr:rowOff>172016</xdr:rowOff>
        </xdr:to>
        <xdr:sp macro="" textlink="">
          <xdr:nvSpPr>
            <xdr:cNvPr id="3500" name="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3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4</xdr:row>
          <xdr:rowOff>9053</xdr:rowOff>
        </xdr:from>
        <xdr:to>
          <xdr:col>18</xdr:col>
          <xdr:colOff>0</xdr:colOff>
          <xdr:row>4</xdr:row>
          <xdr:rowOff>172016</xdr:rowOff>
        </xdr:to>
        <xdr:sp macro="" textlink="">
          <xdr:nvSpPr>
            <xdr:cNvPr id="3501" name="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3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5</xdr:row>
          <xdr:rowOff>9053</xdr:rowOff>
        </xdr:from>
        <xdr:to>
          <xdr:col>16</xdr:col>
          <xdr:colOff>0</xdr:colOff>
          <xdr:row>5</xdr:row>
          <xdr:rowOff>172016</xdr:rowOff>
        </xdr:to>
        <xdr:sp macro="" textlink="">
          <xdr:nvSpPr>
            <xdr:cNvPr id="3502" name="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3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5</xdr:row>
          <xdr:rowOff>9053</xdr:rowOff>
        </xdr:from>
        <xdr:to>
          <xdr:col>17</xdr:col>
          <xdr:colOff>0</xdr:colOff>
          <xdr:row>5</xdr:row>
          <xdr:rowOff>172016</xdr:rowOff>
        </xdr:to>
        <xdr:sp macro="" textlink="">
          <xdr:nvSpPr>
            <xdr:cNvPr id="3503" name="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3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5</xdr:row>
          <xdr:rowOff>9053</xdr:rowOff>
        </xdr:from>
        <xdr:to>
          <xdr:col>18</xdr:col>
          <xdr:colOff>0</xdr:colOff>
          <xdr:row>5</xdr:row>
          <xdr:rowOff>172016</xdr:rowOff>
        </xdr:to>
        <xdr:sp macro="" textlink="">
          <xdr:nvSpPr>
            <xdr:cNvPr id="3504" name="Button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3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6</xdr:row>
          <xdr:rowOff>9053</xdr:rowOff>
        </xdr:from>
        <xdr:to>
          <xdr:col>16</xdr:col>
          <xdr:colOff>0</xdr:colOff>
          <xdr:row>6</xdr:row>
          <xdr:rowOff>172016</xdr:rowOff>
        </xdr:to>
        <xdr:sp macro="" textlink="">
          <xdr:nvSpPr>
            <xdr:cNvPr id="3505" name="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3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6</xdr:row>
          <xdr:rowOff>9053</xdr:rowOff>
        </xdr:from>
        <xdr:to>
          <xdr:col>17</xdr:col>
          <xdr:colOff>0</xdr:colOff>
          <xdr:row>6</xdr:row>
          <xdr:rowOff>172016</xdr:rowOff>
        </xdr:to>
        <xdr:sp macro="" textlink="">
          <xdr:nvSpPr>
            <xdr:cNvPr id="3506" name="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3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6</xdr:row>
          <xdr:rowOff>9053</xdr:rowOff>
        </xdr:from>
        <xdr:to>
          <xdr:col>18</xdr:col>
          <xdr:colOff>0</xdr:colOff>
          <xdr:row>6</xdr:row>
          <xdr:rowOff>172016</xdr:rowOff>
        </xdr:to>
        <xdr:sp macro="" textlink="">
          <xdr:nvSpPr>
            <xdr:cNvPr id="3507" name="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3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7</xdr:row>
          <xdr:rowOff>9053</xdr:rowOff>
        </xdr:from>
        <xdr:to>
          <xdr:col>16</xdr:col>
          <xdr:colOff>0</xdr:colOff>
          <xdr:row>7</xdr:row>
          <xdr:rowOff>172016</xdr:rowOff>
        </xdr:to>
        <xdr:sp macro="" textlink="">
          <xdr:nvSpPr>
            <xdr:cNvPr id="3508" name="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3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7</xdr:row>
          <xdr:rowOff>9053</xdr:rowOff>
        </xdr:from>
        <xdr:to>
          <xdr:col>17</xdr:col>
          <xdr:colOff>0</xdr:colOff>
          <xdr:row>7</xdr:row>
          <xdr:rowOff>172016</xdr:rowOff>
        </xdr:to>
        <xdr:sp macro="" textlink="">
          <xdr:nvSpPr>
            <xdr:cNvPr id="3509" name="Button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3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7</xdr:row>
          <xdr:rowOff>9053</xdr:rowOff>
        </xdr:from>
        <xdr:to>
          <xdr:col>18</xdr:col>
          <xdr:colOff>0</xdr:colOff>
          <xdr:row>7</xdr:row>
          <xdr:rowOff>172016</xdr:rowOff>
        </xdr:to>
        <xdr:sp macro="" textlink="">
          <xdr:nvSpPr>
            <xdr:cNvPr id="3510" name="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3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8</xdr:row>
          <xdr:rowOff>9053</xdr:rowOff>
        </xdr:from>
        <xdr:to>
          <xdr:col>16</xdr:col>
          <xdr:colOff>0</xdr:colOff>
          <xdr:row>8</xdr:row>
          <xdr:rowOff>172016</xdr:rowOff>
        </xdr:to>
        <xdr:sp macro="" textlink="">
          <xdr:nvSpPr>
            <xdr:cNvPr id="3511" name="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3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8</xdr:row>
          <xdr:rowOff>9053</xdr:rowOff>
        </xdr:from>
        <xdr:to>
          <xdr:col>17</xdr:col>
          <xdr:colOff>0</xdr:colOff>
          <xdr:row>8</xdr:row>
          <xdr:rowOff>172016</xdr:rowOff>
        </xdr:to>
        <xdr:sp macro="" textlink="">
          <xdr:nvSpPr>
            <xdr:cNvPr id="3512" name="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3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8</xdr:row>
          <xdr:rowOff>9053</xdr:rowOff>
        </xdr:from>
        <xdr:to>
          <xdr:col>18</xdr:col>
          <xdr:colOff>0</xdr:colOff>
          <xdr:row>8</xdr:row>
          <xdr:rowOff>172016</xdr:rowOff>
        </xdr:to>
        <xdr:sp macro="" textlink="">
          <xdr:nvSpPr>
            <xdr:cNvPr id="3513" name="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3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9</xdr:row>
          <xdr:rowOff>9053</xdr:rowOff>
        </xdr:from>
        <xdr:to>
          <xdr:col>16</xdr:col>
          <xdr:colOff>0</xdr:colOff>
          <xdr:row>9</xdr:row>
          <xdr:rowOff>172016</xdr:rowOff>
        </xdr:to>
        <xdr:sp macro="" textlink="">
          <xdr:nvSpPr>
            <xdr:cNvPr id="3514" name="Button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3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9</xdr:row>
          <xdr:rowOff>9053</xdr:rowOff>
        </xdr:from>
        <xdr:to>
          <xdr:col>17</xdr:col>
          <xdr:colOff>0</xdr:colOff>
          <xdr:row>9</xdr:row>
          <xdr:rowOff>172016</xdr:rowOff>
        </xdr:to>
        <xdr:sp macro="" textlink="">
          <xdr:nvSpPr>
            <xdr:cNvPr id="3515" name="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3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9</xdr:row>
          <xdr:rowOff>9053</xdr:rowOff>
        </xdr:from>
        <xdr:to>
          <xdr:col>18</xdr:col>
          <xdr:colOff>0</xdr:colOff>
          <xdr:row>9</xdr:row>
          <xdr:rowOff>172016</xdr:rowOff>
        </xdr:to>
        <xdr:sp macro="" textlink="">
          <xdr:nvSpPr>
            <xdr:cNvPr id="3516" name="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3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10</xdr:row>
          <xdr:rowOff>9053</xdr:rowOff>
        </xdr:from>
        <xdr:to>
          <xdr:col>16</xdr:col>
          <xdr:colOff>0</xdr:colOff>
          <xdr:row>10</xdr:row>
          <xdr:rowOff>172016</xdr:rowOff>
        </xdr:to>
        <xdr:sp macro="" textlink="">
          <xdr:nvSpPr>
            <xdr:cNvPr id="3517" name="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3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10</xdr:row>
          <xdr:rowOff>9053</xdr:rowOff>
        </xdr:from>
        <xdr:to>
          <xdr:col>17</xdr:col>
          <xdr:colOff>0</xdr:colOff>
          <xdr:row>10</xdr:row>
          <xdr:rowOff>172016</xdr:rowOff>
        </xdr:to>
        <xdr:sp macro="" textlink="">
          <xdr:nvSpPr>
            <xdr:cNvPr id="3518" name="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3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10</xdr:row>
          <xdr:rowOff>9053</xdr:rowOff>
        </xdr:from>
        <xdr:to>
          <xdr:col>18</xdr:col>
          <xdr:colOff>0</xdr:colOff>
          <xdr:row>10</xdr:row>
          <xdr:rowOff>172016</xdr:rowOff>
        </xdr:to>
        <xdr:sp macro="" textlink="">
          <xdr:nvSpPr>
            <xdr:cNvPr id="3519" name="Button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3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11</xdr:row>
          <xdr:rowOff>9053</xdr:rowOff>
        </xdr:from>
        <xdr:to>
          <xdr:col>16</xdr:col>
          <xdr:colOff>0</xdr:colOff>
          <xdr:row>11</xdr:row>
          <xdr:rowOff>172016</xdr:rowOff>
        </xdr:to>
        <xdr:sp macro="" textlink="">
          <xdr:nvSpPr>
            <xdr:cNvPr id="3520" name="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3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11</xdr:row>
          <xdr:rowOff>9053</xdr:rowOff>
        </xdr:from>
        <xdr:to>
          <xdr:col>17</xdr:col>
          <xdr:colOff>0</xdr:colOff>
          <xdr:row>11</xdr:row>
          <xdr:rowOff>172016</xdr:rowOff>
        </xdr:to>
        <xdr:sp macro="" textlink="">
          <xdr:nvSpPr>
            <xdr:cNvPr id="3521" name="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3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11</xdr:row>
          <xdr:rowOff>9053</xdr:rowOff>
        </xdr:from>
        <xdr:to>
          <xdr:col>18</xdr:col>
          <xdr:colOff>0</xdr:colOff>
          <xdr:row>11</xdr:row>
          <xdr:rowOff>172016</xdr:rowOff>
        </xdr:to>
        <xdr:sp macro="" textlink="">
          <xdr:nvSpPr>
            <xdr:cNvPr id="3522" name="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3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12</xdr:row>
          <xdr:rowOff>9053</xdr:rowOff>
        </xdr:from>
        <xdr:to>
          <xdr:col>16</xdr:col>
          <xdr:colOff>0</xdr:colOff>
          <xdr:row>12</xdr:row>
          <xdr:rowOff>172016</xdr:rowOff>
        </xdr:to>
        <xdr:sp macro="" textlink="">
          <xdr:nvSpPr>
            <xdr:cNvPr id="3523" name="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3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12</xdr:row>
          <xdr:rowOff>9053</xdr:rowOff>
        </xdr:from>
        <xdr:to>
          <xdr:col>17</xdr:col>
          <xdr:colOff>0</xdr:colOff>
          <xdr:row>12</xdr:row>
          <xdr:rowOff>172016</xdr:rowOff>
        </xdr:to>
        <xdr:sp macro="" textlink="">
          <xdr:nvSpPr>
            <xdr:cNvPr id="3524" name="Button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3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12</xdr:row>
          <xdr:rowOff>9053</xdr:rowOff>
        </xdr:from>
        <xdr:to>
          <xdr:col>18</xdr:col>
          <xdr:colOff>0</xdr:colOff>
          <xdr:row>12</xdr:row>
          <xdr:rowOff>172016</xdr:rowOff>
        </xdr:to>
        <xdr:sp macro="" textlink="">
          <xdr:nvSpPr>
            <xdr:cNvPr id="3525" name="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3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13</xdr:row>
          <xdr:rowOff>9053</xdr:rowOff>
        </xdr:from>
        <xdr:to>
          <xdr:col>16</xdr:col>
          <xdr:colOff>0</xdr:colOff>
          <xdr:row>13</xdr:row>
          <xdr:rowOff>172016</xdr:rowOff>
        </xdr:to>
        <xdr:sp macro="" textlink="">
          <xdr:nvSpPr>
            <xdr:cNvPr id="3526" name="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3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13</xdr:row>
          <xdr:rowOff>9053</xdr:rowOff>
        </xdr:from>
        <xdr:to>
          <xdr:col>17</xdr:col>
          <xdr:colOff>0</xdr:colOff>
          <xdr:row>13</xdr:row>
          <xdr:rowOff>172016</xdr:rowOff>
        </xdr:to>
        <xdr:sp macro="" textlink="">
          <xdr:nvSpPr>
            <xdr:cNvPr id="3527" name="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3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13</xdr:row>
          <xdr:rowOff>9053</xdr:rowOff>
        </xdr:from>
        <xdr:to>
          <xdr:col>18</xdr:col>
          <xdr:colOff>0</xdr:colOff>
          <xdr:row>13</xdr:row>
          <xdr:rowOff>172016</xdr:rowOff>
        </xdr:to>
        <xdr:sp macro="" textlink="">
          <xdr:nvSpPr>
            <xdr:cNvPr id="3528" name="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3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14</xdr:row>
          <xdr:rowOff>9053</xdr:rowOff>
        </xdr:from>
        <xdr:to>
          <xdr:col>16</xdr:col>
          <xdr:colOff>0</xdr:colOff>
          <xdr:row>14</xdr:row>
          <xdr:rowOff>172016</xdr:rowOff>
        </xdr:to>
        <xdr:sp macro="" textlink="">
          <xdr:nvSpPr>
            <xdr:cNvPr id="3529" name="Button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3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14</xdr:row>
          <xdr:rowOff>9053</xdr:rowOff>
        </xdr:from>
        <xdr:to>
          <xdr:col>17</xdr:col>
          <xdr:colOff>0</xdr:colOff>
          <xdr:row>14</xdr:row>
          <xdr:rowOff>172016</xdr:rowOff>
        </xdr:to>
        <xdr:sp macro="" textlink="">
          <xdr:nvSpPr>
            <xdr:cNvPr id="3530" name="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3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14</xdr:row>
          <xdr:rowOff>9053</xdr:rowOff>
        </xdr:from>
        <xdr:to>
          <xdr:col>18</xdr:col>
          <xdr:colOff>0</xdr:colOff>
          <xdr:row>14</xdr:row>
          <xdr:rowOff>172016</xdr:rowOff>
        </xdr:to>
        <xdr:sp macro="" textlink="">
          <xdr:nvSpPr>
            <xdr:cNvPr id="3531" name="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3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15</xdr:row>
          <xdr:rowOff>9053</xdr:rowOff>
        </xdr:from>
        <xdr:to>
          <xdr:col>16</xdr:col>
          <xdr:colOff>0</xdr:colOff>
          <xdr:row>15</xdr:row>
          <xdr:rowOff>172016</xdr:rowOff>
        </xdr:to>
        <xdr:sp macro="" textlink="">
          <xdr:nvSpPr>
            <xdr:cNvPr id="3532" name="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3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15</xdr:row>
          <xdr:rowOff>9053</xdr:rowOff>
        </xdr:from>
        <xdr:to>
          <xdr:col>17</xdr:col>
          <xdr:colOff>0</xdr:colOff>
          <xdr:row>15</xdr:row>
          <xdr:rowOff>172016</xdr:rowOff>
        </xdr:to>
        <xdr:sp macro="" textlink="">
          <xdr:nvSpPr>
            <xdr:cNvPr id="3533" name="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3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15</xdr:row>
          <xdr:rowOff>9053</xdr:rowOff>
        </xdr:from>
        <xdr:to>
          <xdr:col>18</xdr:col>
          <xdr:colOff>0</xdr:colOff>
          <xdr:row>15</xdr:row>
          <xdr:rowOff>172016</xdr:rowOff>
        </xdr:to>
        <xdr:sp macro="" textlink="">
          <xdr:nvSpPr>
            <xdr:cNvPr id="3534" name="Button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3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16</xdr:row>
          <xdr:rowOff>9053</xdr:rowOff>
        </xdr:from>
        <xdr:to>
          <xdr:col>16</xdr:col>
          <xdr:colOff>0</xdr:colOff>
          <xdr:row>16</xdr:row>
          <xdr:rowOff>172016</xdr:rowOff>
        </xdr:to>
        <xdr:sp macro="" textlink="">
          <xdr:nvSpPr>
            <xdr:cNvPr id="3535" name="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3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16</xdr:row>
          <xdr:rowOff>9053</xdr:rowOff>
        </xdr:from>
        <xdr:to>
          <xdr:col>17</xdr:col>
          <xdr:colOff>0</xdr:colOff>
          <xdr:row>16</xdr:row>
          <xdr:rowOff>172016</xdr:rowOff>
        </xdr:to>
        <xdr:sp macro="" textlink="">
          <xdr:nvSpPr>
            <xdr:cNvPr id="3536" name="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3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16</xdr:row>
          <xdr:rowOff>9053</xdr:rowOff>
        </xdr:from>
        <xdr:to>
          <xdr:col>18</xdr:col>
          <xdr:colOff>0</xdr:colOff>
          <xdr:row>16</xdr:row>
          <xdr:rowOff>172016</xdr:rowOff>
        </xdr:to>
        <xdr:sp macro="" textlink="">
          <xdr:nvSpPr>
            <xdr:cNvPr id="3537" name="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3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17</xdr:row>
          <xdr:rowOff>9053</xdr:rowOff>
        </xdr:from>
        <xdr:to>
          <xdr:col>16</xdr:col>
          <xdr:colOff>0</xdr:colOff>
          <xdr:row>17</xdr:row>
          <xdr:rowOff>172016</xdr:rowOff>
        </xdr:to>
        <xdr:sp macro="" textlink="">
          <xdr:nvSpPr>
            <xdr:cNvPr id="3538" name="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3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17</xdr:row>
          <xdr:rowOff>9053</xdr:rowOff>
        </xdr:from>
        <xdr:to>
          <xdr:col>17</xdr:col>
          <xdr:colOff>0</xdr:colOff>
          <xdr:row>17</xdr:row>
          <xdr:rowOff>172016</xdr:rowOff>
        </xdr:to>
        <xdr:sp macro="" textlink="">
          <xdr:nvSpPr>
            <xdr:cNvPr id="3539" name="Button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3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17</xdr:row>
          <xdr:rowOff>9053</xdr:rowOff>
        </xdr:from>
        <xdr:to>
          <xdr:col>18</xdr:col>
          <xdr:colOff>0</xdr:colOff>
          <xdr:row>17</xdr:row>
          <xdr:rowOff>172016</xdr:rowOff>
        </xdr:to>
        <xdr:sp macro="" textlink="">
          <xdr:nvSpPr>
            <xdr:cNvPr id="3540" name="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3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18</xdr:row>
          <xdr:rowOff>9053</xdr:rowOff>
        </xdr:from>
        <xdr:to>
          <xdr:col>16</xdr:col>
          <xdr:colOff>0</xdr:colOff>
          <xdr:row>18</xdr:row>
          <xdr:rowOff>172016</xdr:rowOff>
        </xdr:to>
        <xdr:sp macro="" textlink="">
          <xdr:nvSpPr>
            <xdr:cNvPr id="3541" name="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3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18</xdr:row>
          <xdr:rowOff>9053</xdr:rowOff>
        </xdr:from>
        <xdr:to>
          <xdr:col>17</xdr:col>
          <xdr:colOff>0</xdr:colOff>
          <xdr:row>18</xdr:row>
          <xdr:rowOff>172016</xdr:rowOff>
        </xdr:to>
        <xdr:sp macro="" textlink="">
          <xdr:nvSpPr>
            <xdr:cNvPr id="3542" name="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3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18</xdr:row>
          <xdr:rowOff>9053</xdr:rowOff>
        </xdr:from>
        <xdr:to>
          <xdr:col>18</xdr:col>
          <xdr:colOff>0</xdr:colOff>
          <xdr:row>18</xdr:row>
          <xdr:rowOff>172016</xdr:rowOff>
        </xdr:to>
        <xdr:sp macro="" textlink="">
          <xdr:nvSpPr>
            <xdr:cNvPr id="3543" name="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3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19</xdr:row>
          <xdr:rowOff>9053</xdr:rowOff>
        </xdr:from>
        <xdr:to>
          <xdr:col>16</xdr:col>
          <xdr:colOff>0</xdr:colOff>
          <xdr:row>19</xdr:row>
          <xdr:rowOff>172016</xdr:rowOff>
        </xdr:to>
        <xdr:sp macro="" textlink="">
          <xdr:nvSpPr>
            <xdr:cNvPr id="3544" name="Button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3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19</xdr:row>
          <xdr:rowOff>9053</xdr:rowOff>
        </xdr:from>
        <xdr:to>
          <xdr:col>17</xdr:col>
          <xdr:colOff>0</xdr:colOff>
          <xdr:row>19</xdr:row>
          <xdr:rowOff>172016</xdr:rowOff>
        </xdr:to>
        <xdr:sp macro="" textlink="">
          <xdr:nvSpPr>
            <xdr:cNvPr id="3545" name="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3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19</xdr:row>
          <xdr:rowOff>9053</xdr:rowOff>
        </xdr:from>
        <xdr:to>
          <xdr:col>18</xdr:col>
          <xdr:colOff>0</xdr:colOff>
          <xdr:row>19</xdr:row>
          <xdr:rowOff>172016</xdr:rowOff>
        </xdr:to>
        <xdr:sp macro="" textlink="">
          <xdr:nvSpPr>
            <xdr:cNvPr id="3546" name="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3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20</xdr:row>
          <xdr:rowOff>9053</xdr:rowOff>
        </xdr:from>
        <xdr:to>
          <xdr:col>16</xdr:col>
          <xdr:colOff>0</xdr:colOff>
          <xdr:row>20</xdr:row>
          <xdr:rowOff>172016</xdr:rowOff>
        </xdr:to>
        <xdr:sp macro="" textlink="">
          <xdr:nvSpPr>
            <xdr:cNvPr id="3547" name="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3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20</xdr:row>
          <xdr:rowOff>9053</xdr:rowOff>
        </xdr:from>
        <xdr:to>
          <xdr:col>17</xdr:col>
          <xdr:colOff>0</xdr:colOff>
          <xdr:row>20</xdr:row>
          <xdr:rowOff>172016</xdr:rowOff>
        </xdr:to>
        <xdr:sp macro="" textlink="">
          <xdr:nvSpPr>
            <xdr:cNvPr id="3548" name="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3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20</xdr:row>
          <xdr:rowOff>9053</xdr:rowOff>
        </xdr:from>
        <xdr:to>
          <xdr:col>18</xdr:col>
          <xdr:colOff>0</xdr:colOff>
          <xdr:row>20</xdr:row>
          <xdr:rowOff>172016</xdr:rowOff>
        </xdr:to>
        <xdr:sp macro="" textlink="">
          <xdr:nvSpPr>
            <xdr:cNvPr id="3549" name="Button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3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21</xdr:row>
          <xdr:rowOff>9053</xdr:rowOff>
        </xdr:from>
        <xdr:to>
          <xdr:col>16</xdr:col>
          <xdr:colOff>0</xdr:colOff>
          <xdr:row>21</xdr:row>
          <xdr:rowOff>172016</xdr:rowOff>
        </xdr:to>
        <xdr:sp macro="" textlink="">
          <xdr:nvSpPr>
            <xdr:cNvPr id="3550" name="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3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21</xdr:row>
          <xdr:rowOff>9053</xdr:rowOff>
        </xdr:from>
        <xdr:to>
          <xdr:col>17</xdr:col>
          <xdr:colOff>0</xdr:colOff>
          <xdr:row>21</xdr:row>
          <xdr:rowOff>172016</xdr:rowOff>
        </xdr:to>
        <xdr:sp macro="" textlink="">
          <xdr:nvSpPr>
            <xdr:cNvPr id="3551" name="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3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21</xdr:row>
          <xdr:rowOff>9053</xdr:rowOff>
        </xdr:from>
        <xdr:to>
          <xdr:col>18</xdr:col>
          <xdr:colOff>0</xdr:colOff>
          <xdr:row>21</xdr:row>
          <xdr:rowOff>172016</xdr:rowOff>
        </xdr:to>
        <xdr:sp macro="" textlink="">
          <xdr:nvSpPr>
            <xdr:cNvPr id="3552" name="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3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22</xdr:row>
          <xdr:rowOff>9053</xdr:rowOff>
        </xdr:from>
        <xdr:to>
          <xdr:col>16</xdr:col>
          <xdr:colOff>0</xdr:colOff>
          <xdr:row>22</xdr:row>
          <xdr:rowOff>172016</xdr:rowOff>
        </xdr:to>
        <xdr:sp macro="" textlink="">
          <xdr:nvSpPr>
            <xdr:cNvPr id="3553" name="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3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22</xdr:row>
          <xdr:rowOff>9053</xdr:rowOff>
        </xdr:from>
        <xdr:to>
          <xdr:col>17</xdr:col>
          <xdr:colOff>0</xdr:colOff>
          <xdr:row>22</xdr:row>
          <xdr:rowOff>172016</xdr:rowOff>
        </xdr:to>
        <xdr:sp macro="" textlink="">
          <xdr:nvSpPr>
            <xdr:cNvPr id="3554" name="Button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3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22</xdr:row>
          <xdr:rowOff>9053</xdr:rowOff>
        </xdr:from>
        <xdr:to>
          <xdr:col>18</xdr:col>
          <xdr:colOff>0</xdr:colOff>
          <xdr:row>22</xdr:row>
          <xdr:rowOff>172016</xdr:rowOff>
        </xdr:to>
        <xdr:sp macro="" textlink="">
          <xdr:nvSpPr>
            <xdr:cNvPr id="3555" name="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3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23</xdr:row>
          <xdr:rowOff>9053</xdr:rowOff>
        </xdr:from>
        <xdr:to>
          <xdr:col>16</xdr:col>
          <xdr:colOff>0</xdr:colOff>
          <xdr:row>23</xdr:row>
          <xdr:rowOff>172016</xdr:rowOff>
        </xdr:to>
        <xdr:sp macro="" textlink="">
          <xdr:nvSpPr>
            <xdr:cNvPr id="3556" name="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3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23</xdr:row>
          <xdr:rowOff>9053</xdr:rowOff>
        </xdr:from>
        <xdr:to>
          <xdr:col>17</xdr:col>
          <xdr:colOff>0</xdr:colOff>
          <xdr:row>23</xdr:row>
          <xdr:rowOff>172016</xdr:rowOff>
        </xdr:to>
        <xdr:sp macro="" textlink="">
          <xdr:nvSpPr>
            <xdr:cNvPr id="3557" name="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3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23</xdr:row>
          <xdr:rowOff>9053</xdr:rowOff>
        </xdr:from>
        <xdr:to>
          <xdr:col>18</xdr:col>
          <xdr:colOff>0</xdr:colOff>
          <xdr:row>23</xdr:row>
          <xdr:rowOff>172016</xdr:rowOff>
        </xdr:to>
        <xdr:sp macro="" textlink="">
          <xdr:nvSpPr>
            <xdr:cNvPr id="3558" name="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3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24</xdr:row>
          <xdr:rowOff>9053</xdr:rowOff>
        </xdr:from>
        <xdr:to>
          <xdr:col>16</xdr:col>
          <xdr:colOff>0</xdr:colOff>
          <xdr:row>24</xdr:row>
          <xdr:rowOff>172016</xdr:rowOff>
        </xdr:to>
        <xdr:sp macro="" textlink="">
          <xdr:nvSpPr>
            <xdr:cNvPr id="3559" name="Button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3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24</xdr:row>
          <xdr:rowOff>9053</xdr:rowOff>
        </xdr:from>
        <xdr:to>
          <xdr:col>17</xdr:col>
          <xdr:colOff>0</xdr:colOff>
          <xdr:row>24</xdr:row>
          <xdr:rowOff>172016</xdr:rowOff>
        </xdr:to>
        <xdr:sp macro="" textlink="">
          <xdr:nvSpPr>
            <xdr:cNvPr id="3560" name="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3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24</xdr:row>
          <xdr:rowOff>9053</xdr:rowOff>
        </xdr:from>
        <xdr:to>
          <xdr:col>18</xdr:col>
          <xdr:colOff>0</xdr:colOff>
          <xdr:row>24</xdr:row>
          <xdr:rowOff>172016</xdr:rowOff>
        </xdr:to>
        <xdr:sp macro="" textlink="">
          <xdr:nvSpPr>
            <xdr:cNvPr id="3561" name="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3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25</xdr:row>
          <xdr:rowOff>9053</xdr:rowOff>
        </xdr:from>
        <xdr:to>
          <xdr:col>16</xdr:col>
          <xdr:colOff>0</xdr:colOff>
          <xdr:row>25</xdr:row>
          <xdr:rowOff>172016</xdr:rowOff>
        </xdr:to>
        <xdr:sp macro="" textlink="">
          <xdr:nvSpPr>
            <xdr:cNvPr id="3562" name="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3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25</xdr:row>
          <xdr:rowOff>9053</xdr:rowOff>
        </xdr:from>
        <xdr:to>
          <xdr:col>17</xdr:col>
          <xdr:colOff>0</xdr:colOff>
          <xdr:row>25</xdr:row>
          <xdr:rowOff>172016</xdr:rowOff>
        </xdr:to>
        <xdr:sp macro="" textlink="">
          <xdr:nvSpPr>
            <xdr:cNvPr id="3563" name="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3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25</xdr:row>
          <xdr:rowOff>9053</xdr:rowOff>
        </xdr:from>
        <xdr:to>
          <xdr:col>18</xdr:col>
          <xdr:colOff>0</xdr:colOff>
          <xdr:row>25</xdr:row>
          <xdr:rowOff>172016</xdr:rowOff>
        </xdr:to>
        <xdr:sp macro="" textlink="">
          <xdr:nvSpPr>
            <xdr:cNvPr id="3564" name="Button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3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26</xdr:row>
          <xdr:rowOff>9053</xdr:rowOff>
        </xdr:from>
        <xdr:to>
          <xdr:col>16</xdr:col>
          <xdr:colOff>0</xdr:colOff>
          <xdr:row>26</xdr:row>
          <xdr:rowOff>172016</xdr:rowOff>
        </xdr:to>
        <xdr:sp macro="" textlink="">
          <xdr:nvSpPr>
            <xdr:cNvPr id="3565" name="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3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26</xdr:row>
          <xdr:rowOff>9053</xdr:rowOff>
        </xdr:from>
        <xdr:to>
          <xdr:col>17</xdr:col>
          <xdr:colOff>0</xdr:colOff>
          <xdr:row>26</xdr:row>
          <xdr:rowOff>172016</xdr:rowOff>
        </xdr:to>
        <xdr:sp macro="" textlink="">
          <xdr:nvSpPr>
            <xdr:cNvPr id="3566" name="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3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26</xdr:row>
          <xdr:rowOff>9053</xdr:rowOff>
        </xdr:from>
        <xdr:to>
          <xdr:col>18</xdr:col>
          <xdr:colOff>0</xdr:colOff>
          <xdr:row>26</xdr:row>
          <xdr:rowOff>172016</xdr:rowOff>
        </xdr:to>
        <xdr:sp macro="" textlink="">
          <xdr:nvSpPr>
            <xdr:cNvPr id="3567" name="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3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27</xdr:row>
          <xdr:rowOff>9053</xdr:rowOff>
        </xdr:from>
        <xdr:to>
          <xdr:col>16</xdr:col>
          <xdr:colOff>0</xdr:colOff>
          <xdr:row>27</xdr:row>
          <xdr:rowOff>172016</xdr:rowOff>
        </xdr:to>
        <xdr:sp macro="" textlink="">
          <xdr:nvSpPr>
            <xdr:cNvPr id="3568" name="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3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27</xdr:row>
          <xdr:rowOff>9053</xdr:rowOff>
        </xdr:from>
        <xdr:to>
          <xdr:col>17</xdr:col>
          <xdr:colOff>0</xdr:colOff>
          <xdr:row>27</xdr:row>
          <xdr:rowOff>172016</xdr:rowOff>
        </xdr:to>
        <xdr:sp macro="" textlink="">
          <xdr:nvSpPr>
            <xdr:cNvPr id="3569" name="Button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3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27</xdr:row>
          <xdr:rowOff>9053</xdr:rowOff>
        </xdr:from>
        <xdr:to>
          <xdr:col>18</xdr:col>
          <xdr:colOff>0</xdr:colOff>
          <xdr:row>27</xdr:row>
          <xdr:rowOff>172016</xdr:rowOff>
        </xdr:to>
        <xdr:sp macro="" textlink="">
          <xdr:nvSpPr>
            <xdr:cNvPr id="3570" name="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3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28</xdr:row>
          <xdr:rowOff>9053</xdr:rowOff>
        </xdr:from>
        <xdr:to>
          <xdr:col>16</xdr:col>
          <xdr:colOff>0</xdr:colOff>
          <xdr:row>28</xdr:row>
          <xdr:rowOff>172016</xdr:rowOff>
        </xdr:to>
        <xdr:sp macro="" textlink="">
          <xdr:nvSpPr>
            <xdr:cNvPr id="3571" name="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3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28</xdr:row>
          <xdr:rowOff>9053</xdr:rowOff>
        </xdr:from>
        <xdr:to>
          <xdr:col>17</xdr:col>
          <xdr:colOff>0</xdr:colOff>
          <xdr:row>28</xdr:row>
          <xdr:rowOff>172016</xdr:rowOff>
        </xdr:to>
        <xdr:sp macro="" textlink="">
          <xdr:nvSpPr>
            <xdr:cNvPr id="3572" name="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3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28</xdr:row>
          <xdr:rowOff>9053</xdr:rowOff>
        </xdr:from>
        <xdr:to>
          <xdr:col>18</xdr:col>
          <xdr:colOff>0</xdr:colOff>
          <xdr:row>28</xdr:row>
          <xdr:rowOff>172016</xdr:rowOff>
        </xdr:to>
        <xdr:sp macro="" textlink="">
          <xdr:nvSpPr>
            <xdr:cNvPr id="3573" name="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3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29</xdr:row>
          <xdr:rowOff>9053</xdr:rowOff>
        </xdr:from>
        <xdr:to>
          <xdr:col>16</xdr:col>
          <xdr:colOff>0</xdr:colOff>
          <xdr:row>29</xdr:row>
          <xdr:rowOff>172016</xdr:rowOff>
        </xdr:to>
        <xdr:sp macro="" textlink="">
          <xdr:nvSpPr>
            <xdr:cNvPr id="3574" name="Button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3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29</xdr:row>
          <xdr:rowOff>9053</xdr:rowOff>
        </xdr:from>
        <xdr:to>
          <xdr:col>17</xdr:col>
          <xdr:colOff>0</xdr:colOff>
          <xdr:row>29</xdr:row>
          <xdr:rowOff>172016</xdr:rowOff>
        </xdr:to>
        <xdr:sp macro="" textlink="">
          <xdr:nvSpPr>
            <xdr:cNvPr id="3575" name="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3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29</xdr:row>
          <xdr:rowOff>9053</xdr:rowOff>
        </xdr:from>
        <xdr:to>
          <xdr:col>18</xdr:col>
          <xdr:colOff>0</xdr:colOff>
          <xdr:row>29</xdr:row>
          <xdr:rowOff>172016</xdr:rowOff>
        </xdr:to>
        <xdr:sp macro="" textlink="">
          <xdr:nvSpPr>
            <xdr:cNvPr id="3576" name="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3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30</xdr:row>
          <xdr:rowOff>9053</xdr:rowOff>
        </xdr:from>
        <xdr:to>
          <xdr:col>16</xdr:col>
          <xdr:colOff>0</xdr:colOff>
          <xdr:row>30</xdr:row>
          <xdr:rowOff>172016</xdr:rowOff>
        </xdr:to>
        <xdr:sp macro="" textlink="">
          <xdr:nvSpPr>
            <xdr:cNvPr id="3577" name="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3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30</xdr:row>
          <xdr:rowOff>9053</xdr:rowOff>
        </xdr:from>
        <xdr:to>
          <xdr:col>17</xdr:col>
          <xdr:colOff>0</xdr:colOff>
          <xdr:row>30</xdr:row>
          <xdr:rowOff>172016</xdr:rowOff>
        </xdr:to>
        <xdr:sp macro="" textlink="">
          <xdr:nvSpPr>
            <xdr:cNvPr id="3578" name="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3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30</xdr:row>
          <xdr:rowOff>9053</xdr:rowOff>
        </xdr:from>
        <xdr:to>
          <xdr:col>18</xdr:col>
          <xdr:colOff>0</xdr:colOff>
          <xdr:row>30</xdr:row>
          <xdr:rowOff>172016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3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31</xdr:row>
          <xdr:rowOff>9053</xdr:rowOff>
        </xdr:from>
        <xdr:to>
          <xdr:col>16</xdr:col>
          <xdr:colOff>0</xdr:colOff>
          <xdr:row>31</xdr:row>
          <xdr:rowOff>172016</xdr:rowOff>
        </xdr:to>
        <xdr:sp macro="" textlink="">
          <xdr:nvSpPr>
            <xdr:cNvPr id="3580" name="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3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31</xdr:row>
          <xdr:rowOff>9053</xdr:rowOff>
        </xdr:from>
        <xdr:to>
          <xdr:col>17</xdr:col>
          <xdr:colOff>0</xdr:colOff>
          <xdr:row>31</xdr:row>
          <xdr:rowOff>172016</xdr:rowOff>
        </xdr:to>
        <xdr:sp macro="" textlink="">
          <xdr:nvSpPr>
            <xdr:cNvPr id="3581" name="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3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31</xdr:row>
          <xdr:rowOff>9053</xdr:rowOff>
        </xdr:from>
        <xdr:to>
          <xdr:col>18</xdr:col>
          <xdr:colOff>0</xdr:colOff>
          <xdr:row>31</xdr:row>
          <xdr:rowOff>172016</xdr:rowOff>
        </xdr:to>
        <xdr:sp macro="" textlink="">
          <xdr:nvSpPr>
            <xdr:cNvPr id="3582" name="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3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32</xdr:row>
          <xdr:rowOff>9053</xdr:rowOff>
        </xdr:from>
        <xdr:to>
          <xdr:col>16</xdr:col>
          <xdr:colOff>0</xdr:colOff>
          <xdr:row>32</xdr:row>
          <xdr:rowOff>172016</xdr:rowOff>
        </xdr:to>
        <xdr:sp macro="" textlink="">
          <xdr:nvSpPr>
            <xdr:cNvPr id="3583" name="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3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32</xdr:row>
          <xdr:rowOff>9053</xdr:rowOff>
        </xdr:from>
        <xdr:to>
          <xdr:col>17</xdr:col>
          <xdr:colOff>0</xdr:colOff>
          <xdr:row>32</xdr:row>
          <xdr:rowOff>172016</xdr:rowOff>
        </xdr:to>
        <xdr:sp macro="" textlink="">
          <xdr:nvSpPr>
            <xdr:cNvPr id="3584" name="Button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3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32</xdr:row>
          <xdr:rowOff>9053</xdr:rowOff>
        </xdr:from>
        <xdr:to>
          <xdr:col>18</xdr:col>
          <xdr:colOff>0</xdr:colOff>
          <xdr:row>32</xdr:row>
          <xdr:rowOff>172016</xdr:rowOff>
        </xdr:to>
        <xdr:sp macro="" textlink="">
          <xdr:nvSpPr>
            <xdr:cNvPr id="3585" name="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3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33</xdr:row>
          <xdr:rowOff>9053</xdr:rowOff>
        </xdr:from>
        <xdr:to>
          <xdr:col>16</xdr:col>
          <xdr:colOff>0</xdr:colOff>
          <xdr:row>33</xdr:row>
          <xdr:rowOff>172016</xdr:rowOff>
        </xdr:to>
        <xdr:sp macro="" textlink="">
          <xdr:nvSpPr>
            <xdr:cNvPr id="3586" name="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3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33</xdr:row>
          <xdr:rowOff>9053</xdr:rowOff>
        </xdr:from>
        <xdr:to>
          <xdr:col>17</xdr:col>
          <xdr:colOff>0</xdr:colOff>
          <xdr:row>33</xdr:row>
          <xdr:rowOff>172016</xdr:rowOff>
        </xdr:to>
        <xdr:sp macro="" textlink="">
          <xdr:nvSpPr>
            <xdr:cNvPr id="3587" name="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3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33</xdr:row>
          <xdr:rowOff>9053</xdr:rowOff>
        </xdr:from>
        <xdr:to>
          <xdr:col>18</xdr:col>
          <xdr:colOff>0</xdr:colOff>
          <xdr:row>33</xdr:row>
          <xdr:rowOff>172016</xdr:rowOff>
        </xdr:to>
        <xdr:sp macro="" textlink="">
          <xdr:nvSpPr>
            <xdr:cNvPr id="3588" name="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34</xdr:row>
          <xdr:rowOff>9053</xdr:rowOff>
        </xdr:from>
        <xdr:to>
          <xdr:col>16</xdr:col>
          <xdr:colOff>0</xdr:colOff>
          <xdr:row>34</xdr:row>
          <xdr:rowOff>172016</xdr:rowOff>
        </xdr:to>
        <xdr:sp macro="" textlink="">
          <xdr:nvSpPr>
            <xdr:cNvPr id="3589" name="Button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3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34</xdr:row>
          <xdr:rowOff>9053</xdr:rowOff>
        </xdr:from>
        <xdr:to>
          <xdr:col>17</xdr:col>
          <xdr:colOff>0</xdr:colOff>
          <xdr:row>34</xdr:row>
          <xdr:rowOff>172016</xdr:rowOff>
        </xdr:to>
        <xdr:sp macro="" textlink="">
          <xdr:nvSpPr>
            <xdr:cNvPr id="3590" name="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34</xdr:row>
          <xdr:rowOff>9053</xdr:rowOff>
        </xdr:from>
        <xdr:to>
          <xdr:col>18</xdr:col>
          <xdr:colOff>0</xdr:colOff>
          <xdr:row>34</xdr:row>
          <xdr:rowOff>172016</xdr:rowOff>
        </xdr:to>
        <xdr:sp macro="" textlink="">
          <xdr:nvSpPr>
            <xdr:cNvPr id="3591" name="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35</xdr:row>
          <xdr:rowOff>9053</xdr:rowOff>
        </xdr:from>
        <xdr:to>
          <xdr:col>16</xdr:col>
          <xdr:colOff>0</xdr:colOff>
          <xdr:row>35</xdr:row>
          <xdr:rowOff>172016</xdr:rowOff>
        </xdr:to>
        <xdr:sp macro="" textlink="">
          <xdr:nvSpPr>
            <xdr:cNvPr id="3592" name="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35</xdr:row>
          <xdr:rowOff>9053</xdr:rowOff>
        </xdr:from>
        <xdr:to>
          <xdr:col>17</xdr:col>
          <xdr:colOff>0</xdr:colOff>
          <xdr:row>35</xdr:row>
          <xdr:rowOff>172016</xdr:rowOff>
        </xdr:to>
        <xdr:sp macro="" textlink="">
          <xdr:nvSpPr>
            <xdr:cNvPr id="3593" name="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35</xdr:row>
          <xdr:rowOff>9053</xdr:rowOff>
        </xdr:from>
        <xdr:to>
          <xdr:col>18</xdr:col>
          <xdr:colOff>0</xdr:colOff>
          <xdr:row>35</xdr:row>
          <xdr:rowOff>172016</xdr:rowOff>
        </xdr:to>
        <xdr:sp macro="" textlink="">
          <xdr:nvSpPr>
            <xdr:cNvPr id="3594" name="Button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36</xdr:row>
          <xdr:rowOff>9053</xdr:rowOff>
        </xdr:from>
        <xdr:to>
          <xdr:col>16</xdr:col>
          <xdr:colOff>0</xdr:colOff>
          <xdr:row>36</xdr:row>
          <xdr:rowOff>172016</xdr:rowOff>
        </xdr:to>
        <xdr:sp macro="" textlink="">
          <xdr:nvSpPr>
            <xdr:cNvPr id="3595" name="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36</xdr:row>
          <xdr:rowOff>9053</xdr:rowOff>
        </xdr:from>
        <xdr:to>
          <xdr:col>17</xdr:col>
          <xdr:colOff>0</xdr:colOff>
          <xdr:row>36</xdr:row>
          <xdr:rowOff>172016</xdr:rowOff>
        </xdr:to>
        <xdr:sp macro="" textlink="">
          <xdr:nvSpPr>
            <xdr:cNvPr id="3596" name="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36</xdr:row>
          <xdr:rowOff>9053</xdr:rowOff>
        </xdr:from>
        <xdr:to>
          <xdr:col>18</xdr:col>
          <xdr:colOff>0</xdr:colOff>
          <xdr:row>36</xdr:row>
          <xdr:rowOff>172016</xdr:rowOff>
        </xdr:to>
        <xdr:sp macro="" textlink="">
          <xdr:nvSpPr>
            <xdr:cNvPr id="3597" name="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3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307818</xdr:colOff>
          <xdr:row>1</xdr:row>
          <xdr:rowOff>181069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299" Type="http://schemas.openxmlformats.org/officeDocument/2006/relationships/ctrlProp" Target="../ctrlProps/ctrlProp299.xml"/><Relationship Id="rId21" Type="http://schemas.openxmlformats.org/officeDocument/2006/relationships/ctrlProp" Target="../ctrlProps/ctrlProp21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24" Type="http://schemas.openxmlformats.org/officeDocument/2006/relationships/ctrlProp" Target="../ctrlProps/ctrlProp324.xml"/><Relationship Id="rId366" Type="http://schemas.openxmlformats.org/officeDocument/2006/relationships/ctrlProp" Target="../ctrlProps/ctrlProp366.xml"/><Relationship Id="rId170" Type="http://schemas.openxmlformats.org/officeDocument/2006/relationships/ctrlProp" Target="../ctrlProps/ctrlProp170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268" Type="http://schemas.openxmlformats.org/officeDocument/2006/relationships/ctrlProp" Target="../ctrlProps/ctrlProp268.xml"/><Relationship Id="rId32" Type="http://schemas.openxmlformats.org/officeDocument/2006/relationships/ctrlProp" Target="../ctrlProps/ctrlProp32.xml"/><Relationship Id="rId74" Type="http://schemas.openxmlformats.org/officeDocument/2006/relationships/ctrlProp" Target="../ctrlProps/ctrlProp74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377" Type="http://schemas.openxmlformats.org/officeDocument/2006/relationships/ctrlProp" Target="../ctrlProps/ctrlProp377.xml"/><Relationship Id="rId5" Type="http://schemas.openxmlformats.org/officeDocument/2006/relationships/ctrlProp" Target="../ctrlProps/ctrlProp5.xml"/><Relationship Id="rId181" Type="http://schemas.openxmlformats.org/officeDocument/2006/relationships/ctrlProp" Target="../ctrlProps/ctrlProp181.xml"/><Relationship Id="rId237" Type="http://schemas.openxmlformats.org/officeDocument/2006/relationships/ctrlProp" Target="../ctrlProps/ctrlProp237.xml"/><Relationship Id="rId402" Type="http://schemas.openxmlformats.org/officeDocument/2006/relationships/ctrlProp" Target="../ctrlProps/ctrlProp402.xml"/><Relationship Id="rId279" Type="http://schemas.openxmlformats.org/officeDocument/2006/relationships/ctrlProp" Target="../ctrlProps/ctrlProp279.xml"/><Relationship Id="rId444" Type="http://schemas.openxmlformats.org/officeDocument/2006/relationships/ctrlProp" Target="../ctrlProps/ctrlProp44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46" Type="http://schemas.openxmlformats.org/officeDocument/2006/relationships/ctrlProp" Target="../ctrlProps/ctrlProp346.xml"/><Relationship Id="rId388" Type="http://schemas.openxmlformats.org/officeDocument/2006/relationships/ctrlProp" Target="../ctrlProps/ctrlProp388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248" Type="http://schemas.openxmlformats.org/officeDocument/2006/relationships/ctrlProp" Target="../ctrlProps/ctrlProp248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357" Type="http://schemas.openxmlformats.org/officeDocument/2006/relationships/ctrlProp" Target="../ctrlProps/ctrlProp357.xml"/><Relationship Id="rId54" Type="http://schemas.openxmlformats.org/officeDocument/2006/relationships/ctrlProp" Target="../ctrlProps/ctrlProp54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217" Type="http://schemas.openxmlformats.org/officeDocument/2006/relationships/ctrlProp" Target="../ctrlProps/ctrlProp217.xml"/><Relationship Id="rId399" Type="http://schemas.openxmlformats.org/officeDocument/2006/relationships/ctrlProp" Target="../ctrlProps/ctrlProp399.xml"/><Relationship Id="rId259" Type="http://schemas.openxmlformats.org/officeDocument/2006/relationships/ctrlProp" Target="../ctrlProps/ctrlProp259.xml"/><Relationship Id="rId424" Type="http://schemas.openxmlformats.org/officeDocument/2006/relationships/ctrlProp" Target="../ctrlProps/ctrlProp424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270" Type="http://schemas.openxmlformats.org/officeDocument/2006/relationships/ctrlProp" Target="../ctrlProps/ctrlProp270.xml"/><Relationship Id="rId326" Type="http://schemas.openxmlformats.org/officeDocument/2006/relationships/ctrlProp" Target="../ctrlProps/ctrlProp326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172" Type="http://schemas.openxmlformats.org/officeDocument/2006/relationships/ctrlProp" Target="../ctrlProps/ctrlProp17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281" Type="http://schemas.openxmlformats.org/officeDocument/2006/relationships/ctrlProp" Target="../ctrlProps/ctrlProp281.xml"/><Relationship Id="rId337" Type="http://schemas.openxmlformats.org/officeDocument/2006/relationships/ctrlProp" Target="../ctrlProps/ctrlProp337.xml"/><Relationship Id="rId34" Type="http://schemas.openxmlformats.org/officeDocument/2006/relationships/ctrlProp" Target="../ctrlProps/ctrlProp34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7" Type="http://schemas.openxmlformats.org/officeDocument/2006/relationships/ctrlProp" Target="../ctrlProps/ctrlProp7.xml"/><Relationship Id="rId183" Type="http://schemas.openxmlformats.org/officeDocument/2006/relationships/ctrlProp" Target="../ctrlProps/ctrlProp183.xml"/><Relationship Id="rId239" Type="http://schemas.openxmlformats.org/officeDocument/2006/relationships/ctrlProp" Target="../ctrlProps/ctrlProp239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250" Type="http://schemas.openxmlformats.org/officeDocument/2006/relationships/ctrlProp" Target="../ctrlProps/ctrlProp250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45" Type="http://schemas.openxmlformats.org/officeDocument/2006/relationships/ctrlProp" Target="../ctrlProps/ctrlProp45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152" Type="http://schemas.openxmlformats.org/officeDocument/2006/relationships/ctrlProp" Target="../ctrlProps/ctrlProp152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261" Type="http://schemas.openxmlformats.org/officeDocument/2006/relationships/ctrlProp" Target="../ctrlProps/ctrlProp261.xml"/><Relationship Id="rId14" Type="http://schemas.openxmlformats.org/officeDocument/2006/relationships/ctrlProp" Target="../ctrlProps/ctrlProp14.xml"/><Relationship Id="rId56" Type="http://schemas.openxmlformats.org/officeDocument/2006/relationships/ctrlProp" Target="../ctrlProps/ctrlProp56.xml"/><Relationship Id="rId317" Type="http://schemas.openxmlformats.org/officeDocument/2006/relationships/ctrlProp" Target="../ctrlProps/ctrlProp317.xml"/><Relationship Id="rId359" Type="http://schemas.openxmlformats.org/officeDocument/2006/relationships/ctrlProp" Target="../ctrlProps/ctrlProp359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63" Type="http://schemas.openxmlformats.org/officeDocument/2006/relationships/ctrlProp" Target="../ctrlProps/ctrlProp163.xml"/><Relationship Id="rId219" Type="http://schemas.openxmlformats.org/officeDocument/2006/relationships/ctrlProp" Target="../ctrlProps/ctrlProp219.xml"/><Relationship Id="rId370" Type="http://schemas.openxmlformats.org/officeDocument/2006/relationships/ctrlProp" Target="../ctrlProps/ctrlProp370.xml"/><Relationship Id="rId426" Type="http://schemas.openxmlformats.org/officeDocument/2006/relationships/ctrlProp" Target="../ctrlProps/ctrlProp426.xml"/><Relationship Id="rId230" Type="http://schemas.openxmlformats.org/officeDocument/2006/relationships/ctrlProp" Target="../ctrlProps/ctrlProp230.xml"/><Relationship Id="rId25" Type="http://schemas.openxmlformats.org/officeDocument/2006/relationships/ctrlProp" Target="../ctrlProps/ctrlProp25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328" Type="http://schemas.openxmlformats.org/officeDocument/2006/relationships/ctrlProp" Target="../ctrlProps/ctrlProp328.xml"/><Relationship Id="rId132" Type="http://schemas.openxmlformats.org/officeDocument/2006/relationships/ctrlProp" Target="../ctrlProps/ctrlProp132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41" Type="http://schemas.openxmlformats.org/officeDocument/2006/relationships/ctrlProp" Target="../ctrlProps/ctrlProp241.xml"/><Relationship Id="rId437" Type="http://schemas.openxmlformats.org/officeDocument/2006/relationships/ctrlProp" Target="../ctrlProps/ctrlProp437.xml"/><Relationship Id="rId36" Type="http://schemas.openxmlformats.org/officeDocument/2006/relationships/ctrlProp" Target="../ctrlProps/ctrlProp36.xml"/><Relationship Id="rId283" Type="http://schemas.openxmlformats.org/officeDocument/2006/relationships/ctrlProp" Target="../ctrlProps/ctrlProp283.xml"/><Relationship Id="rId339" Type="http://schemas.openxmlformats.org/officeDocument/2006/relationships/ctrlProp" Target="../ctrlProps/ctrlProp339.xml"/><Relationship Id="rId78" Type="http://schemas.openxmlformats.org/officeDocument/2006/relationships/ctrlProp" Target="../ctrlProps/ctrlProp78.xml"/><Relationship Id="rId101" Type="http://schemas.openxmlformats.org/officeDocument/2006/relationships/ctrlProp" Target="../ctrlProps/ctrlProp101.xml"/><Relationship Id="rId143" Type="http://schemas.openxmlformats.org/officeDocument/2006/relationships/ctrlProp" Target="../ctrlProps/ctrlProp143.xml"/><Relationship Id="rId185" Type="http://schemas.openxmlformats.org/officeDocument/2006/relationships/ctrlProp" Target="../ctrlProps/ctrlProp185.xml"/><Relationship Id="rId350" Type="http://schemas.openxmlformats.org/officeDocument/2006/relationships/ctrlProp" Target="../ctrlProps/ctrlProp350.xml"/><Relationship Id="rId406" Type="http://schemas.openxmlformats.org/officeDocument/2006/relationships/ctrlProp" Target="../ctrlProps/ctrlProp40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392" Type="http://schemas.openxmlformats.org/officeDocument/2006/relationships/ctrlProp" Target="../ctrlProps/ctrlProp392.xml"/><Relationship Id="rId252" Type="http://schemas.openxmlformats.org/officeDocument/2006/relationships/ctrlProp" Target="../ctrlProps/ctrlProp252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47" Type="http://schemas.openxmlformats.org/officeDocument/2006/relationships/ctrlProp" Target="../ctrlProps/ctrlProp47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263" Type="http://schemas.openxmlformats.org/officeDocument/2006/relationships/ctrlProp" Target="../ctrlProps/ctrlProp263.xml"/><Relationship Id="rId319" Type="http://schemas.openxmlformats.org/officeDocument/2006/relationships/ctrlProp" Target="../ctrlProps/ctrlProp319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428" Type="http://schemas.openxmlformats.org/officeDocument/2006/relationships/ctrlProp" Target="../ctrlProps/ctrlProp428.xml"/><Relationship Id="rId232" Type="http://schemas.openxmlformats.org/officeDocument/2006/relationships/ctrlProp" Target="../ctrlProps/ctrlProp232.xml"/><Relationship Id="rId274" Type="http://schemas.openxmlformats.org/officeDocument/2006/relationships/ctrlProp" Target="../ctrlProps/ctrlProp274.xml"/><Relationship Id="rId27" Type="http://schemas.openxmlformats.org/officeDocument/2006/relationships/ctrlProp" Target="../ctrlProps/ctrlProp27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41" Type="http://schemas.openxmlformats.org/officeDocument/2006/relationships/ctrlProp" Target="../ctrlProps/ctrlProp341.xml"/><Relationship Id="rId383" Type="http://schemas.openxmlformats.org/officeDocument/2006/relationships/ctrlProp" Target="../ctrlProps/ctrlProp383.xml"/><Relationship Id="rId439" Type="http://schemas.openxmlformats.org/officeDocument/2006/relationships/ctrlProp" Target="../ctrlProps/ctrlProp439.xml"/><Relationship Id="rId201" Type="http://schemas.openxmlformats.org/officeDocument/2006/relationships/ctrlProp" Target="../ctrlProps/ctrlProp201.xml"/><Relationship Id="rId243" Type="http://schemas.openxmlformats.org/officeDocument/2006/relationships/ctrlProp" Target="../ctrlProps/ctrlProp243.xml"/><Relationship Id="rId285" Type="http://schemas.openxmlformats.org/officeDocument/2006/relationships/ctrlProp" Target="../ctrlProps/ctrlProp285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91" Type="http://schemas.openxmlformats.org/officeDocument/2006/relationships/ctrlProp" Target="../ctrlProps/ctrlProp91.xml"/><Relationship Id="rId145" Type="http://schemas.openxmlformats.org/officeDocument/2006/relationships/ctrlProp" Target="../ctrlProps/ctrlProp145.xml"/><Relationship Id="rId187" Type="http://schemas.openxmlformats.org/officeDocument/2006/relationships/ctrlProp" Target="../ctrlProps/ctrlProp187.xml"/><Relationship Id="rId352" Type="http://schemas.openxmlformats.org/officeDocument/2006/relationships/ctrlProp" Target="../ctrlProps/ctrlProp352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212" Type="http://schemas.openxmlformats.org/officeDocument/2006/relationships/ctrlProp" Target="../ctrlProps/ctrlProp212.xml"/><Relationship Id="rId254" Type="http://schemas.openxmlformats.org/officeDocument/2006/relationships/ctrlProp" Target="../ctrlProps/ctrlProp254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296" Type="http://schemas.openxmlformats.org/officeDocument/2006/relationships/ctrlProp" Target="../ctrlProps/ctrlProp296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363" Type="http://schemas.openxmlformats.org/officeDocument/2006/relationships/ctrlProp" Target="../ctrlProps/ctrlProp363.xml"/><Relationship Id="rId419" Type="http://schemas.openxmlformats.org/officeDocument/2006/relationships/ctrlProp" Target="../ctrlProps/ctrlProp419.xml"/><Relationship Id="rId202" Type="http://schemas.openxmlformats.org/officeDocument/2006/relationships/ctrlProp" Target="../ctrlProps/ctrlProp202.xml"/><Relationship Id="rId223" Type="http://schemas.openxmlformats.org/officeDocument/2006/relationships/ctrlProp" Target="../ctrlProps/ctrlProp223.xml"/><Relationship Id="rId244" Type="http://schemas.openxmlformats.org/officeDocument/2006/relationships/ctrlProp" Target="../ctrlProps/ctrlProp244.xml"/><Relationship Id="rId430" Type="http://schemas.openxmlformats.org/officeDocument/2006/relationships/ctrlProp" Target="../ctrlProps/ctrlProp430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265" Type="http://schemas.openxmlformats.org/officeDocument/2006/relationships/ctrlProp" Target="../ctrlProps/ctrlProp265.xml"/><Relationship Id="rId286" Type="http://schemas.openxmlformats.org/officeDocument/2006/relationships/ctrlProp" Target="../ctrlProps/ctrlProp286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25" Type="http://schemas.openxmlformats.org/officeDocument/2006/relationships/ctrlProp" Target="../ctrlProps/ctrlProp125.xml"/><Relationship Id="rId146" Type="http://schemas.openxmlformats.org/officeDocument/2006/relationships/ctrlProp" Target="../ctrlProps/ctrlProp146.xml"/><Relationship Id="rId167" Type="http://schemas.openxmlformats.org/officeDocument/2006/relationships/ctrlProp" Target="../ctrlProps/ctrlProp167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32" Type="http://schemas.openxmlformats.org/officeDocument/2006/relationships/ctrlProp" Target="../ctrlProps/ctrlProp332.xml"/><Relationship Id="rId353" Type="http://schemas.openxmlformats.org/officeDocument/2006/relationships/ctrlProp" Target="../ctrlProps/ctrlProp353.xml"/><Relationship Id="rId374" Type="http://schemas.openxmlformats.org/officeDocument/2006/relationships/ctrlProp" Target="../ctrlProps/ctrlProp374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234" Type="http://schemas.openxmlformats.org/officeDocument/2006/relationships/ctrlProp" Target="../ctrlProps/ctrlProp234.xml"/><Relationship Id="rId420" Type="http://schemas.openxmlformats.org/officeDocument/2006/relationships/ctrlProp" Target="../ctrlProps/ctrlProp4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.xml"/><Relationship Id="rId255" Type="http://schemas.openxmlformats.org/officeDocument/2006/relationships/ctrlProp" Target="../ctrlProps/ctrlProp255.xml"/><Relationship Id="rId276" Type="http://schemas.openxmlformats.org/officeDocument/2006/relationships/ctrlProp" Target="../ctrlProps/ctrlProp276.xml"/><Relationship Id="rId297" Type="http://schemas.openxmlformats.org/officeDocument/2006/relationships/ctrlProp" Target="../ctrlProps/ctrlProp297.xml"/><Relationship Id="rId441" Type="http://schemas.openxmlformats.org/officeDocument/2006/relationships/ctrlProp" Target="../ctrlProps/ctrlProp441.xml"/><Relationship Id="rId40" Type="http://schemas.openxmlformats.org/officeDocument/2006/relationships/ctrlProp" Target="../ctrlProps/ctrlProp40.xml"/><Relationship Id="rId115" Type="http://schemas.openxmlformats.org/officeDocument/2006/relationships/ctrlProp" Target="../ctrlProps/ctrlProp115.xml"/><Relationship Id="rId136" Type="http://schemas.openxmlformats.org/officeDocument/2006/relationships/ctrlProp" Target="../ctrlProps/ctrlProp136.xml"/><Relationship Id="rId157" Type="http://schemas.openxmlformats.org/officeDocument/2006/relationships/ctrlProp" Target="../ctrlProps/ctrlProp157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322" Type="http://schemas.openxmlformats.org/officeDocument/2006/relationships/ctrlProp" Target="../ctrlProps/ctrlProp322.xml"/><Relationship Id="rId343" Type="http://schemas.openxmlformats.org/officeDocument/2006/relationships/ctrlProp" Target="../ctrlProps/ctrlProp343.xml"/><Relationship Id="rId364" Type="http://schemas.openxmlformats.org/officeDocument/2006/relationships/ctrlProp" Target="../ctrlProps/ctrlProp364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9" Type="http://schemas.openxmlformats.org/officeDocument/2006/relationships/ctrlProp" Target="../ctrlProps/ctrlProp199.xml"/><Relationship Id="rId203" Type="http://schemas.openxmlformats.org/officeDocument/2006/relationships/ctrlProp" Target="../ctrlProps/ctrlProp203.xml"/><Relationship Id="rId385" Type="http://schemas.openxmlformats.org/officeDocument/2006/relationships/ctrlProp" Target="../ctrlProps/ctrlProp385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45" Type="http://schemas.openxmlformats.org/officeDocument/2006/relationships/ctrlProp" Target="../ctrlProps/ctrlProp245.xml"/><Relationship Id="rId266" Type="http://schemas.openxmlformats.org/officeDocument/2006/relationships/ctrlProp" Target="../ctrlProps/ctrlProp266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31" Type="http://schemas.openxmlformats.org/officeDocument/2006/relationships/ctrlProp" Target="../ctrlProps/ctrlProp431.xml"/><Relationship Id="rId30" Type="http://schemas.openxmlformats.org/officeDocument/2006/relationships/ctrlProp" Target="../ctrlProps/ctrlProp3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168" Type="http://schemas.openxmlformats.org/officeDocument/2006/relationships/ctrlProp" Target="../ctrlProps/ctrlProp168.xml"/><Relationship Id="rId312" Type="http://schemas.openxmlformats.org/officeDocument/2006/relationships/ctrlProp" Target="../ctrlProps/ctrlProp312.xml"/><Relationship Id="rId333" Type="http://schemas.openxmlformats.org/officeDocument/2006/relationships/ctrlProp" Target="../ctrlProps/ctrlProp333.xml"/><Relationship Id="rId354" Type="http://schemas.openxmlformats.org/officeDocument/2006/relationships/ctrlProp" Target="../ctrlProps/ctrlProp354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75" Type="http://schemas.openxmlformats.org/officeDocument/2006/relationships/ctrlProp" Target="../ctrlProps/ctrlProp375.xml"/><Relationship Id="rId396" Type="http://schemas.openxmlformats.org/officeDocument/2006/relationships/ctrlProp" Target="../ctrlProps/ctrlProp39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4.xml"/><Relationship Id="rId235" Type="http://schemas.openxmlformats.org/officeDocument/2006/relationships/ctrlProp" Target="../ctrlProps/ctrlProp235.xml"/><Relationship Id="rId256" Type="http://schemas.openxmlformats.org/officeDocument/2006/relationships/ctrlProp" Target="../ctrlProps/ctrlProp256.xml"/><Relationship Id="rId277" Type="http://schemas.openxmlformats.org/officeDocument/2006/relationships/ctrlProp" Target="../ctrlProps/ctrlProp277.xml"/><Relationship Id="rId298" Type="http://schemas.openxmlformats.org/officeDocument/2006/relationships/ctrlProp" Target="../ctrlProps/ctrlProp298.xml"/><Relationship Id="rId400" Type="http://schemas.openxmlformats.org/officeDocument/2006/relationships/ctrlProp" Target="../ctrlProps/ctrlProp400.xml"/><Relationship Id="rId421" Type="http://schemas.openxmlformats.org/officeDocument/2006/relationships/ctrlProp" Target="../ctrlProps/ctrlProp421.xml"/><Relationship Id="rId442" Type="http://schemas.openxmlformats.org/officeDocument/2006/relationships/ctrlProp" Target="../ctrlProps/ctrlProp442.xml"/><Relationship Id="rId116" Type="http://schemas.openxmlformats.org/officeDocument/2006/relationships/ctrlProp" Target="../ctrlProps/ctrlProp116.xml"/><Relationship Id="rId137" Type="http://schemas.openxmlformats.org/officeDocument/2006/relationships/ctrlProp" Target="../ctrlProps/ctrlProp137.xml"/><Relationship Id="rId158" Type="http://schemas.openxmlformats.org/officeDocument/2006/relationships/ctrlProp" Target="../ctrlProps/ctrlProp158.xml"/><Relationship Id="rId302" Type="http://schemas.openxmlformats.org/officeDocument/2006/relationships/ctrlProp" Target="../ctrlProps/ctrlProp302.xml"/><Relationship Id="rId323" Type="http://schemas.openxmlformats.org/officeDocument/2006/relationships/ctrlProp" Target="../ctrlProps/ctrlProp323.xml"/><Relationship Id="rId344" Type="http://schemas.openxmlformats.org/officeDocument/2006/relationships/ctrlProp" Target="../ctrlProps/ctrlProp344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62" Type="http://schemas.openxmlformats.org/officeDocument/2006/relationships/ctrlProp" Target="../ctrlProps/ctrlProp62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65" Type="http://schemas.openxmlformats.org/officeDocument/2006/relationships/ctrlProp" Target="../ctrlProps/ctrlProp365.xml"/><Relationship Id="rId386" Type="http://schemas.openxmlformats.org/officeDocument/2006/relationships/ctrlProp" Target="../ctrlProps/ctrlProp386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25" Type="http://schemas.openxmlformats.org/officeDocument/2006/relationships/ctrlProp" Target="../ctrlProps/ctrlProp225.xml"/><Relationship Id="rId246" Type="http://schemas.openxmlformats.org/officeDocument/2006/relationships/ctrlProp" Target="../ctrlProps/ctrlProp246.xml"/><Relationship Id="rId267" Type="http://schemas.openxmlformats.org/officeDocument/2006/relationships/ctrlProp" Target="../ctrlProps/ctrlProp267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32" Type="http://schemas.openxmlformats.org/officeDocument/2006/relationships/ctrlProp" Target="../ctrlProps/ctrlProp432.xml"/><Relationship Id="rId106" Type="http://schemas.openxmlformats.org/officeDocument/2006/relationships/ctrlProp" Target="../ctrlProps/ctrlProp106.xml"/><Relationship Id="rId127" Type="http://schemas.openxmlformats.org/officeDocument/2006/relationships/ctrlProp" Target="../ctrlProps/ctrlProp127.xml"/><Relationship Id="rId313" Type="http://schemas.openxmlformats.org/officeDocument/2006/relationships/ctrlProp" Target="../ctrlProps/ctrlProp313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52" Type="http://schemas.openxmlformats.org/officeDocument/2006/relationships/ctrlProp" Target="../ctrlProps/ctrlProp52.xml"/><Relationship Id="rId73" Type="http://schemas.openxmlformats.org/officeDocument/2006/relationships/ctrlProp" Target="../ctrlProps/ctrlProp73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169" Type="http://schemas.openxmlformats.org/officeDocument/2006/relationships/ctrlProp" Target="../ctrlProps/ctrlProp169.xml"/><Relationship Id="rId334" Type="http://schemas.openxmlformats.org/officeDocument/2006/relationships/ctrlProp" Target="../ctrlProps/ctrlProp334.xml"/><Relationship Id="rId355" Type="http://schemas.openxmlformats.org/officeDocument/2006/relationships/ctrlProp" Target="../ctrlProps/ctrlProp355.xml"/><Relationship Id="rId376" Type="http://schemas.openxmlformats.org/officeDocument/2006/relationships/ctrlProp" Target="../ctrlProps/ctrlProp376.xml"/><Relationship Id="rId397" Type="http://schemas.openxmlformats.org/officeDocument/2006/relationships/ctrlProp" Target="../ctrlProps/ctrlProp397.xml"/><Relationship Id="rId4" Type="http://schemas.openxmlformats.org/officeDocument/2006/relationships/ctrlProp" Target="../ctrlProps/ctrlProp4.xml"/><Relationship Id="rId180" Type="http://schemas.openxmlformats.org/officeDocument/2006/relationships/ctrlProp" Target="../ctrlProps/ctrlProp180.xml"/><Relationship Id="rId215" Type="http://schemas.openxmlformats.org/officeDocument/2006/relationships/ctrlProp" Target="../ctrlProps/ctrlProp215.xml"/><Relationship Id="rId236" Type="http://schemas.openxmlformats.org/officeDocument/2006/relationships/ctrlProp" Target="../ctrlProps/ctrlProp236.xml"/><Relationship Id="rId257" Type="http://schemas.openxmlformats.org/officeDocument/2006/relationships/ctrlProp" Target="../ctrlProps/ctrlProp257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422" Type="http://schemas.openxmlformats.org/officeDocument/2006/relationships/ctrlProp" Target="../ctrlProps/ctrlProp422.xml"/><Relationship Id="rId443" Type="http://schemas.openxmlformats.org/officeDocument/2006/relationships/ctrlProp" Target="../ctrlProps/ctrlProp443.xml"/><Relationship Id="rId303" Type="http://schemas.openxmlformats.org/officeDocument/2006/relationships/ctrlProp" Target="../ctrlProps/ctrlProp303.xml"/><Relationship Id="rId42" Type="http://schemas.openxmlformats.org/officeDocument/2006/relationships/ctrlProp" Target="../ctrlProps/ctrlProp42.xml"/><Relationship Id="rId84" Type="http://schemas.openxmlformats.org/officeDocument/2006/relationships/ctrlProp" Target="../ctrlProps/ctrlProp84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387" Type="http://schemas.openxmlformats.org/officeDocument/2006/relationships/ctrlProp" Target="../ctrlProps/ctrlProp387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247" Type="http://schemas.openxmlformats.org/officeDocument/2006/relationships/ctrlProp" Target="../ctrlProps/ctrlProp247.xml"/><Relationship Id="rId412" Type="http://schemas.openxmlformats.org/officeDocument/2006/relationships/ctrlProp" Target="../ctrlProps/ctrlProp412.xml"/><Relationship Id="rId107" Type="http://schemas.openxmlformats.org/officeDocument/2006/relationships/ctrlProp" Target="../ctrlProps/ctrlProp107.xml"/><Relationship Id="rId289" Type="http://schemas.openxmlformats.org/officeDocument/2006/relationships/ctrlProp" Target="../ctrlProps/ctrlProp289.xml"/><Relationship Id="rId11" Type="http://schemas.openxmlformats.org/officeDocument/2006/relationships/ctrlProp" Target="../ctrlProps/ctrlProp11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14" Type="http://schemas.openxmlformats.org/officeDocument/2006/relationships/ctrlProp" Target="../ctrlProps/ctrlProp314.xml"/><Relationship Id="rId356" Type="http://schemas.openxmlformats.org/officeDocument/2006/relationships/ctrlProp" Target="../ctrlProps/ctrlProp356.xml"/><Relationship Id="rId398" Type="http://schemas.openxmlformats.org/officeDocument/2006/relationships/ctrlProp" Target="../ctrlProps/ctrlProp398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258" Type="http://schemas.openxmlformats.org/officeDocument/2006/relationships/ctrlProp" Target="../ctrlProps/ctrlProp258.xml"/><Relationship Id="rId22" Type="http://schemas.openxmlformats.org/officeDocument/2006/relationships/ctrlProp" Target="../ctrlProps/ctrlProp22.xml"/><Relationship Id="rId64" Type="http://schemas.openxmlformats.org/officeDocument/2006/relationships/ctrlProp" Target="../ctrlProps/ctrlProp64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367" Type="http://schemas.openxmlformats.org/officeDocument/2006/relationships/ctrlProp" Target="../ctrlProps/ctrlProp367.xml"/><Relationship Id="rId171" Type="http://schemas.openxmlformats.org/officeDocument/2006/relationships/ctrlProp" Target="../ctrlProps/ctrlProp171.xml"/><Relationship Id="rId227" Type="http://schemas.openxmlformats.org/officeDocument/2006/relationships/ctrlProp" Target="../ctrlProps/ctrlProp227.xml"/><Relationship Id="rId269" Type="http://schemas.openxmlformats.org/officeDocument/2006/relationships/ctrlProp" Target="../ctrlProps/ctrlProp269.xml"/><Relationship Id="rId434" Type="http://schemas.openxmlformats.org/officeDocument/2006/relationships/ctrlProp" Target="../ctrlProps/ctrlProp43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280" Type="http://schemas.openxmlformats.org/officeDocument/2006/relationships/ctrlProp" Target="../ctrlProps/ctrlProp280.xml"/><Relationship Id="rId336" Type="http://schemas.openxmlformats.org/officeDocument/2006/relationships/ctrlProp" Target="../ctrlProps/ctrlProp336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182" Type="http://schemas.openxmlformats.org/officeDocument/2006/relationships/ctrlProp" Target="../ctrlProps/ctrlProp182.xml"/><Relationship Id="rId378" Type="http://schemas.openxmlformats.org/officeDocument/2006/relationships/ctrlProp" Target="../ctrlProps/ctrlProp378.xml"/><Relationship Id="rId403" Type="http://schemas.openxmlformats.org/officeDocument/2006/relationships/ctrlProp" Target="../ctrlProps/ctrlProp40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347" Type="http://schemas.openxmlformats.org/officeDocument/2006/relationships/ctrlProp" Target="../ctrlProps/ctrlProp347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271" Type="http://schemas.openxmlformats.org/officeDocument/2006/relationships/ctrlProp" Target="../ctrlProps/ctrlProp271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240" Type="http://schemas.openxmlformats.org/officeDocument/2006/relationships/ctrlProp" Target="../ctrlProps/ctrlProp240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251" Type="http://schemas.openxmlformats.org/officeDocument/2006/relationships/ctrlProp" Target="../ctrlProps/ctrlProp251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220" Type="http://schemas.openxmlformats.org/officeDocument/2006/relationships/ctrlProp" Target="../ctrlProps/ctrlProp220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427" Type="http://schemas.openxmlformats.org/officeDocument/2006/relationships/ctrlProp" Target="../ctrlProps/ctrlProp427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7.xml"/><Relationship Id="rId4" Type="http://schemas.openxmlformats.org/officeDocument/2006/relationships/ctrlProp" Target="../ctrlProps/ctrlProp44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"/>
  <sheetViews>
    <sheetView zoomScale="140" zoomScaleNormal="140" workbookViewId="0">
      <selection activeCell="L19" sqref="L19"/>
    </sheetView>
  </sheetViews>
  <sheetFormatPr defaultColWidth="15.375" defaultRowHeight="15.7"/>
  <cols>
    <col min="1" max="1" width="9.875" style="15" customWidth="1"/>
    <col min="2" max="2" width="7.5" style="15" customWidth="1"/>
    <col min="3" max="3" width="8" style="15" customWidth="1"/>
    <col min="4" max="4" width="8.875" style="15" customWidth="1"/>
    <col min="5" max="11" width="10" style="15" customWidth="1"/>
    <col min="12" max="12" width="13" style="15" customWidth="1"/>
    <col min="13" max="13" width="45.125" style="15" customWidth="1"/>
    <col min="14" max="14" width="24.125" style="15" customWidth="1"/>
    <col min="15" max="16384" width="15.375" style="15"/>
  </cols>
  <sheetData>
    <row r="1" spans="1:14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38"/>
      <c r="L1" s="138"/>
    </row>
    <row r="2" spans="1:14">
      <c r="A2" s="14" t="s">
        <v>1</v>
      </c>
      <c r="B2" s="134" t="s">
        <v>2</v>
      </c>
      <c r="C2" s="134"/>
      <c r="D2" s="135"/>
      <c r="E2" s="135"/>
      <c r="F2" s="135"/>
      <c r="G2" s="135"/>
      <c r="H2" s="135"/>
      <c r="I2" s="135"/>
      <c r="J2" s="135"/>
      <c r="K2" s="135"/>
      <c r="L2" s="135"/>
    </row>
    <row r="3" spans="1:14">
      <c r="A3" s="14" t="s">
        <v>3</v>
      </c>
      <c r="B3" s="134">
        <v>161</v>
      </c>
      <c r="C3" s="134"/>
      <c r="D3" s="135"/>
      <c r="E3" s="135"/>
      <c r="F3" s="135"/>
      <c r="G3" s="135"/>
      <c r="H3" s="135"/>
      <c r="I3" s="135"/>
      <c r="J3" s="135"/>
      <c r="K3" s="135"/>
      <c r="L3" s="135"/>
    </row>
    <row r="4" spans="1:14">
      <c r="A4" s="97" t="s">
        <v>1841</v>
      </c>
      <c r="B4" s="134">
        <v>62.7</v>
      </c>
      <c r="C4" s="134"/>
      <c r="D4" s="135"/>
      <c r="E4" s="135"/>
      <c r="F4" s="135"/>
      <c r="G4" s="135"/>
      <c r="H4" s="135"/>
      <c r="I4" s="135"/>
      <c r="J4" s="135"/>
      <c r="K4" s="135"/>
      <c r="L4" s="135"/>
    </row>
    <row r="5" spans="1:14">
      <c r="A5" s="14" t="s">
        <v>4</v>
      </c>
      <c r="B5" s="135">
        <f>(B4/B3/B3)*1000</f>
        <v>2.4188881601790055</v>
      </c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4" t="s">
        <v>4</v>
      </c>
      <c r="N5" s="15" t="s">
        <v>1855</v>
      </c>
    </row>
    <row r="6" spans="1:14">
      <c r="A6" s="14" t="s">
        <v>5</v>
      </c>
      <c r="B6" s="134"/>
      <c r="C6" s="134"/>
      <c r="D6" s="135"/>
      <c r="E6" s="135"/>
      <c r="F6" s="135"/>
      <c r="G6" s="135"/>
      <c r="H6" s="135"/>
      <c r="I6" s="135"/>
      <c r="J6" s="135"/>
      <c r="K6" s="135"/>
      <c r="L6" s="135"/>
    </row>
    <row r="7" spans="1:14">
      <c r="A7" s="14" t="s">
        <v>6</v>
      </c>
      <c r="B7" s="134"/>
      <c r="C7" s="134"/>
      <c r="D7" s="135"/>
      <c r="E7" s="135"/>
      <c r="F7" s="135"/>
      <c r="G7" s="135"/>
      <c r="H7" s="135"/>
      <c r="I7" s="135"/>
      <c r="J7" s="135"/>
      <c r="K7" s="135"/>
      <c r="L7" s="135"/>
    </row>
    <row r="8" spans="1:14">
      <c r="A8" s="14" t="s">
        <v>7</v>
      </c>
      <c r="B8" s="134"/>
      <c r="C8" s="134"/>
      <c r="D8" s="135"/>
      <c r="E8" s="135"/>
      <c r="F8" s="135"/>
      <c r="G8" s="135"/>
      <c r="H8" s="135"/>
      <c r="I8" s="135"/>
      <c r="J8" s="135"/>
      <c r="K8" s="135"/>
      <c r="L8" s="135"/>
    </row>
    <row r="9" spans="1:14">
      <c r="A9" s="14" t="s">
        <v>8</v>
      </c>
      <c r="B9" s="134"/>
      <c r="C9" s="134"/>
      <c r="D9" s="135"/>
      <c r="E9" s="135"/>
      <c r="F9" s="135"/>
      <c r="G9" s="135"/>
      <c r="H9" s="135"/>
      <c r="I9" s="135"/>
      <c r="J9" s="135"/>
      <c r="K9" s="135"/>
      <c r="L9" s="135"/>
    </row>
    <row r="10" spans="1:14">
      <c r="A10" s="125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</row>
    <row r="11" spans="1:14">
      <c r="A11" s="125" t="s">
        <v>269</v>
      </c>
      <c r="B11" s="130"/>
      <c r="C11" s="130"/>
      <c r="D11" s="131"/>
      <c r="E11" s="143" t="s">
        <v>261</v>
      </c>
      <c r="F11" s="138"/>
      <c r="G11" s="143" t="s">
        <v>1842</v>
      </c>
      <c r="H11" s="138"/>
      <c r="I11" s="130" t="s">
        <v>14</v>
      </c>
      <c r="J11" s="132"/>
      <c r="K11" s="16"/>
      <c r="L11" s="16"/>
    </row>
    <row r="12" spans="1:14">
      <c r="A12" s="125"/>
      <c r="B12" s="136" t="s">
        <v>11</v>
      </c>
      <c r="C12" s="136"/>
      <c r="D12" s="136"/>
      <c r="E12" s="118">
        <v>2.7</v>
      </c>
      <c r="F12" s="142"/>
      <c r="G12" s="118">
        <v>1.7</v>
      </c>
      <c r="H12" s="142"/>
      <c r="I12" s="136"/>
      <c r="J12" s="122"/>
      <c r="K12" s="98"/>
      <c r="L12" s="98"/>
    </row>
    <row r="13" spans="1:14">
      <c r="A13" s="125"/>
      <c r="B13" s="137" t="s">
        <v>12</v>
      </c>
      <c r="C13" s="137"/>
      <c r="D13" s="137"/>
      <c r="E13" s="120">
        <v>2.2000000000000002</v>
      </c>
      <c r="F13" s="140"/>
      <c r="G13" s="120">
        <v>1.7</v>
      </c>
      <c r="H13" s="140"/>
      <c r="I13" s="137"/>
      <c r="J13" s="123"/>
      <c r="K13" s="20"/>
      <c r="L13" s="20"/>
    </row>
    <row r="14" spans="1:14">
      <c r="A14" s="125"/>
      <c r="B14" s="144" t="s">
        <v>1843</v>
      </c>
      <c r="C14" s="130"/>
      <c r="D14" s="130"/>
      <c r="E14" s="130">
        <v>0</v>
      </c>
      <c r="F14" s="131"/>
      <c r="G14" s="130">
        <v>0</v>
      </c>
      <c r="H14" s="131"/>
      <c r="I14" s="130"/>
      <c r="J14" s="132"/>
      <c r="K14" s="16"/>
      <c r="L14" s="16"/>
    </row>
    <row r="15" spans="1:14">
      <c r="A15" s="125"/>
      <c r="B15" s="144" t="s">
        <v>1844</v>
      </c>
      <c r="C15" s="130"/>
      <c r="D15" s="130"/>
      <c r="E15" s="130">
        <v>0.2</v>
      </c>
      <c r="F15" s="131"/>
      <c r="G15" s="130" t="s">
        <v>13</v>
      </c>
      <c r="H15" s="131"/>
      <c r="I15" s="130"/>
      <c r="J15" s="132"/>
      <c r="K15" s="16"/>
      <c r="L15" s="16"/>
    </row>
    <row r="16" spans="1:14">
      <c r="A16" s="130"/>
      <c r="B16" s="131"/>
      <c r="C16" s="131"/>
      <c r="D16" s="131"/>
      <c r="E16" s="131"/>
      <c r="F16" s="131"/>
      <c r="G16" s="131"/>
      <c r="H16" s="131"/>
      <c r="I16" s="131"/>
      <c r="J16" s="131"/>
      <c r="K16" s="132"/>
      <c r="L16" s="133"/>
    </row>
    <row r="17" spans="1:14" ht="33.5" customHeight="1">
      <c r="A17" s="125" t="s">
        <v>262</v>
      </c>
      <c r="B17" s="125"/>
      <c r="C17" s="132"/>
      <c r="D17" s="132"/>
      <c r="E17" s="14" t="s">
        <v>257</v>
      </c>
      <c r="F17" s="14" t="s">
        <v>258</v>
      </c>
      <c r="G17" s="14" t="s">
        <v>259</v>
      </c>
      <c r="H17" s="14" t="s">
        <v>260</v>
      </c>
      <c r="I17" s="14" t="s">
        <v>255</v>
      </c>
      <c r="J17" s="65" t="s">
        <v>1774</v>
      </c>
      <c r="K17" s="16"/>
      <c r="L17" s="16"/>
    </row>
    <row r="18" spans="1:14" ht="17.3" customHeight="1">
      <c r="A18" s="128"/>
      <c r="B18" s="118" t="s">
        <v>264</v>
      </c>
      <c r="C18" s="118" t="s">
        <v>271</v>
      </c>
      <c r="D18" s="119"/>
      <c r="E18" s="89">
        <v>20</v>
      </c>
      <c r="F18" s="89">
        <v>20</v>
      </c>
      <c r="G18" s="89">
        <v>10</v>
      </c>
      <c r="H18" s="89">
        <v>40</v>
      </c>
      <c r="I18" s="89">
        <v>10</v>
      </c>
      <c r="J18" s="90">
        <f>E18+F18+G18+H18+I18</f>
        <v>100</v>
      </c>
      <c r="K18" s="91"/>
      <c r="L18" s="91"/>
    </row>
    <row r="19" spans="1:14" ht="17.3" customHeight="1">
      <c r="A19" s="128"/>
      <c r="B19" s="119"/>
      <c r="C19" s="118" t="s">
        <v>272</v>
      </c>
      <c r="D19" s="119"/>
      <c r="E19" s="89">
        <v>20</v>
      </c>
      <c r="F19" s="89">
        <v>20</v>
      </c>
      <c r="G19" s="89">
        <v>0</v>
      </c>
      <c r="H19" s="89">
        <v>40</v>
      </c>
      <c r="I19" s="89">
        <v>20</v>
      </c>
      <c r="J19" s="90">
        <f>E19+F19+G19+H19+I19</f>
        <v>100</v>
      </c>
      <c r="K19" s="91"/>
      <c r="L19" s="91"/>
    </row>
    <row r="20" spans="1:14" ht="17.3" customHeight="1">
      <c r="A20" s="128"/>
      <c r="B20" s="119"/>
      <c r="C20" s="118" t="s">
        <v>276</v>
      </c>
      <c r="D20" s="122"/>
      <c r="E20" s="124" t="s">
        <v>263</v>
      </c>
      <c r="F20" s="122"/>
      <c r="G20" s="122"/>
      <c r="H20" s="122"/>
      <c r="I20" s="122"/>
      <c r="J20" s="122"/>
      <c r="K20" s="122"/>
      <c r="L20" s="122"/>
    </row>
    <row r="21" spans="1:14" ht="17.3" customHeight="1">
      <c r="A21" s="128"/>
      <c r="B21" s="140" t="s">
        <v>266</v>
      </c>
      <c r="C21" s="120" t="s">
        <v>271</v>
      </c>
      <c r="D21" s="121"/>
      <c r="E21" s="19">
        <v>20</v>
      </c>
      <c r="F21" s="19">
        <v>35</v>
      </c>
      <c r="G21" s="20"/>
      <c r="H21" s="19">
        <v>35</v>
      </c>
      <c r="I21" s="19">
        <v>10</v>
      </c>
      <c r="J21" s="18">
        <f>E21+F21+H21+I21</f>
        <v>100</v>
      </c>
      <c r="K21" s="21"/>
      <c r="L21" s="21"/>
    </row>
    <row r="22" spans="1:14" ht="17.3" customHeight="1">
      <c r="A22" s="128"/>
      <c r="B22" s="121"/>
      <c r="C22" s="120" t="s">
        <v>272</v>
      </c>
      <c r="D22" s="121"/>
      <c r="E22" s="19">
        <v>20</v>
      </c>
      <c r="F22" s="19">
        <v>35</v>
      </c>
      <c r="G22" s="20"/>
      <c r="H22" s="19">
        <v>35</v>
      </c>
      <c r="I22" s="19">
        <v>10</v>
      </c>
      <c r="J22" s="18">
        <f>E22+F22+H22+I22</f>
        <v>100</v>
      </c>
      <c r="K22" s="21"/>
      <c r="L22" s="21"/>
    </row>
    <row r="23" spans="1:14" ht="17.3" customHeight="1">
      <c r="A23" s="128"/>
      <c r="B23" s="121"/>
      <c r="C23" s="120" t="s">
        <v>276</v>
      </c>
      <c r="D23" s="123"/>
      <c r="E23" s="139" t="s">
        <v>263</v>
      </c>
      <c r="F23" s="123"/>
      <c r="G23" s="123"/>
      <c r="H23" s="123"/>
      <c r="I23" s="123"/>
      <c r="J23" s="123"/>
      <c r="K23" s="123"/>
      <c r="L23" s="123"/>
    </row>
    <row r="24" spans="1:14" ht="17.3" customHeight="1">
      <c r="A24" s="138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3"/>
    </row>
    <row r="25" spans="1:14" ht="33.5" customHeight="1">
      <c r="A25" s="125" t="s">
        <v>265</v>
      </c>
      <c r="B25" s="118" t="s">
        <v>264</v>
      </c>
      <c r="C25" s="122"/>
      <c r="D25" s="122"/>
      <c r="E25" s="89" t="s">
        <v>257</v>
      </c>
      <c r="F25" s="92" t="s">
        <v>1758</v>
      </c>
      <c r="G25" s="92" t="s">
        <v>259</v>
      </c>
      <c r="H25" s="92" t="s">
        <v>260</v>
      </c>
      <c r="I25" s="89" t="s">
        <v>255</v>
      </c>
      <c r="J25" s="93" t="s">
        <v>1774</v>
      </c>
      <c r="K25" s="95" t="s">
        <v>267</v>
      </c>
      <c r="L25" s="95" t="s">
        <v>1840</v>
      </c>
      <c r="M25" s="96" t="s">
        <v>1856</v>
      </c>
      <c r="N25" s="96" t="s">
        <v>1845</v>
      </c>
    </row>
    <row r="26" spans="1:14" ht="20.7" customHeight="1">
      <c r="A26" s="125"/>
      <c r="B26" s="119"/>
      <c r="C26" s="118" t="s">
        <v>273</v>
      </c>
      <c r="D26" s="119"/>
      <c r="E26" s="90">
        <f>L26*E18/100</f>
        <v>40.629600000000003</v>
      </c>
      <c r="F26" s="90">
        <f>L26*F18/100</f>
        <v>40.629600000000003</v>
      </c>
      <c r="G26" s="90">
        <f>L26*G18/100</f>
        <v>20.314800000000002</v>
      </c>
      <c r="H26" s="90">
        <f>L26*H18/100</f>
        <v>81.259200000000007</v>
      </c>
      <c r="I26" s="90">
        <f>L26*I18/100</f>
        <v>20.314800000000002</v>
      </c>
      <c r="J26" s="90">
        <f>E26+F26+G26+H26+I26</f>
        <v>203.14800000000002</v>
      </c>
      <c r="K26" s="90">
        <f>E12+E12*E14+E12*E15</f>
        <v>3.24</v>
      </c>
      <c r="L26" s="90">
        <f>B4*K26</f>
        <v>203.14800000000002</v>
      </c>
      <c r="M26" s="96" t="s">
        <v>1857</v>
      </c>
      <c r="N26" s="15" t="s">
        <v>1846</v>
      </c>
    </row>
    <row r="27" spans="1:14" ht="20.7" customHeight="1">
      <c r="A27" s="125"/>
      <c r="B27" s="119"/>
      <c r="C27" s="118" t="s">
        <v>274</v>
      </c>
      <c r="D27" s="119"/>
      <c r="E27" s="90">
        <f>L27*E19/100</f>
        <v>21.318000000000001</v>
      </c>
      <c r="F27" s="90">
        <f>L27*F19/100</f>
        <v>21.318000000000001</v>
      </c>
      <c r="G27" s="90">
        <f>L27*G19/100</f>
        <v>0</v>
      </c>
      <c r="H27" s="90">
        <f>L27*H19/100</f>
        <v>42.636000000000003</v>
      </c>
      <c r="I27" s="90">
        <f>L27*I19/100</f>
        <v>21.318000000000001</v>
      </c>
      <c r="J27" s="90">
        <f>E27+F27+G27+H27+I27</f>
        <v>106.59</v>
      </c>
      <c r="K27" s="90">
        <f>G12+G12*G14</f>
        <v>1.7</v>
      </c>
      <c r="L27" s="90">
        <f>B4*K27</f>
        <v>106.59</v>
      </c>
      <c r="M27" s="96" t="s">
        <v>1849</v>
      </c>
      <c r="N27" s="15" t="s">
        <v>1847</v>
      </c>
    </row>
    <row r="28" spans="1:14" ht="20.7" customHeight="1">
      <c r="A28" s="125"/>
      <c r="B28" s="119"/>
      <c r="C28" s="118" t="s">
        <v>275</v>
      </c>
      <c r="D28" s="122"/>
      <c r="E28" s="124" t="s">
        <v>263</v>
      </c>
      <c r="F28" s="124"/>
      <c r="G28" s="124"/>
      <c r="H28" s="124"/>
      <c r="I28" s="124"/>
      <c r="J28" s="124"/>
      <c r="K28" s="124"/>
      <c r="L28" s="124"/>
      <c r="M28" s="96" t="s">
        <v>1850</v>
      </c>
      <c r="N28" s="15" t="s">
        <v>1848</v>
      </c>
    </row>
    <row r="29" spans="1:14" ht="20.7" customHeight="1">
      <c r="A29" s="125"/>
      <c r="B29" s="120" t="s">
        <v>266</v>
      </c>
      <c r="C29" s="120"/>
      <c r="D29" s="123"/>
      <c r="E29" s="19" t="s">
        <v>257</v>
      </c>
      <c r="F29" s="86" t="s">
        <v>1756</v>
      </c>
      <c r="G29" s="86" t="s">
        <v>1757</v>
      </c>
      <c r="H29" s="19" t="s">
        <v>255</v>
      </c>
      <c r="I29" s="87"/>
      <c r="J29" s="88" t="s">
        <v>1774</v>
      </c>
      <c r="K29" s="19" t="s">
        <v>267</v>
      </c>
      <c r="L29" s="19" t="s">
        <v>277</v>
      </c>
      <c r="M29" s="96" t="s">
        <v>1858</v>
      </c>
      <c r="N29" s="15" t="s">
        <v>1854</v>
      </c>
    </row>
    <row r="30" spans="1:14" ht="20.7" customHeight="1">
      <c r="A30" s="125"/>
      <c r="B30" s="121"/>
      <c r="C30" s="120" t="s">
        <v>273</v>
      </c>
      <c r="D30" s="121"/>
      <c r="E30" s="18">
        <f>L30*E21/100</f>
        <v>33.105600000000003</v>
      </c>
      <c r="F30" s="18">
        <f>L30*F21/100</f>
        <v>57.934800000000003</v>
      </c>
      <c r="G30" s="18">
        <f>L30*H21/100</f>
        <v>57.934800000000003</v>
      </c>
      <c r="H30" s="18">
        <f>L30*I21/100</f>
        <v>16.552800000000001</v>
      </c>
      <c r="I30" s="20"/>
      <c r="J30" s="18">
        <f>E30+F30+G30+H30</f>
        <v>165.52799999999999</v>
      </c>
      <c r="K30" s="18">
        <f>E13+E13*E15</f>
        <v>2.64</v>
      </c>
      <c r="L30" s="18">
        <f>B4*K30</f>
        <v>165.52800000000002</v>
      </c>
      <c r="M30" s="96" t="s">
        <v>1857</v>
      </c>
      <c r="N30" s="15" t="s">
        <v>1851</v>
      </c>
    </row>
    <row r="31" spans="1:14" ht="20.7" customHeight="1">
      <c r="A31" s="125"/>
      <c r="B31" s="121"/>
      <c r="C31" s="120" t="s">
        <v>274</v>
      </c>
      <c r="D31" s="121"/>
      <c r="E31" s="18">
        <f>L31*E22/100</f>
        <v>21.318000000000001</v>
      </c>
      <c r="F31" s="18">
        <f>L31*F22/100</f>
        <v>37.3065</v>
      </c>
      <c r="G31" s="18">
        <f>L31*H22/100</f>
        <v>37.3065</v>
      </c>
      <c r="H31" s="18">
        <f>L31*I22/100</f>
        <v>10.659000000000001</v>
      </c>
      <c r="I31" s="20"/>
      <c r="J31" s="18">
        <f>E31+F31+G31+H31</f>
        <v>106.59</v>
      </c>
      <c r="K31" s="18">
        <f>G13+G13*G14</f>
        <v>1.7</v>
      </c>
      <c r="L31" s="18">
        <f>B4*K31</f>
        <v>106.59</v>
      </c>
      <c r="M31" s="96" t="s">
        <v>1849</v>
      </c>
      <c r="N31" s="15" t="s">
        <v>1852</v>
      </c>
    </row>
    <row r="32" spans="1:14" ht="20.7" customHeight="1">
      <c r="A32" s="125"/>
      <c r="B32" s="121"/>
      <c r="C32" s="120" t="s">
        <v>275</v>
      </c>
      <c r="D32" s="123"/>
      <c r="E32" s="120" t="s">
        <v>263</v>
      </c>
      <c r="F32" s="120"/>
      <c r="G32" s="120"/>
      <c r="H32" s="120"/>
      <c r="I32" s="120"/>
      <c r="J32" s="120"/>
      <c r="K32" s="120"/>
      <c r="L32" s="120"/>
      <c r="M32" s="96" t="s">
        <v>1850</v>
      </c>
      <c r="N32" s="15" t="s">
        <v>1853</v>
      </c>
    </row>
    <row r="33" spans="1:12" ht="17.3" customHeight="1">
      <c r="A33" s="131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41"/>
    </row>
    <row r="34" spans="1:12" ht="32.1" customHeight="1">
      <c r="A34" s="125" t="s">
        <v>17</v>
      </c>
      <c r="B34" s="125" t="s">
        <v>156</v>
      </c>
      <c r="C34" s="3" t="s">
        <v>157</v>
      </c>
      <c r="D34" s="116" t="s">
        <v>158</v>
      </c>
      <c r="E34" s="117"/>
      <c r="F34" s="117"/>
      <c r="G34" s="117"/>
      <c r="H34" s="117"/>
      <c r="I34" s="117"/>
      <c r="J34" s="117"/>
      <c r="K34" s="117"/>
      <c r="L34" s="117"/>
    </row>
    <row r="35" spans="1:12" ht="15.7" customHeight="1">
      <c r="A35" s="128"/>
      <c r="B35" s="125"/>
      <c r="C35" s="3" t="s">
        <v>159</v>
      </c>
      <c r="D35" s="116" t="s">
        <v>160</v>
      </c>
      <c r="E35" s="117"/>
      <c r="F35" s="117"/>
      <c r="G35" s="117"/>
      <c r="H35" s="117"/>
      <c r="I35" s="117"/>
      <c r="J35" s="117"/>
      <c r="K35" s="117"/>
      <c r="L35" s="117"/>
    </row>
    <row r="36" spans="1:12" ht="31.4" customHeight="1">
      <c r="A36" s="128"/>
      <c r="B36" s="125"/>
      <c r="C36" s="3" t="s">
        <v>161</v>
      </c>
      <c r="D36" s="116" t="s">
        <v>162</v>
      </c>
      <c r="E36" s="117"/>
      <c r="F36" s="117"/>
      <c r="G36" s="117"/>
      <c r="H36" s="117"/>
      <c r="I36" s="117"/>
      <c r="J36" s="117"/>
      <c r="K36" s="117"/>
      <c r="L36" s="117"/>
    </row>
    <row r="37" spans="1:12" ht="32.1" customHeight="1">
      <c r="A37" s="128"/>
      <c r="B37" s="125"/>
      <c r="C37" s="3" t="s">
        <v>163</v>
      </c>
      <c r="D37" s="116" t="s">
        <v>164</v>
      </c>
      <c r="E37" s="117"/>
      <c r="F37" s="117"/>
      <c r="G37" s="117"/>
      <c r="H37" s="117"/>
      <c r="I37" s="117"/>
      <c r="J37" s="117"/>
      <c r="K37" s="117"/>
      <c r="L37" s="117"/>
    </row>
    <row r="38" spans="1:12" ht="32.1" customHeight="1">
      <c r="A38" s="128"/>
      <c r="B38" s="127" t="s">
        <v>284</v>
      </c>
      <c r="C38" s="3" t="s">
        <v>157</v>
      </c>
      <c r="D38" s="116" t="s">
        <v>165</v>
      </c>
      <c r="E38" s="117"/>
      <c r="F38" s="117"/>
      <c r="G38" s="117"/>
      <c r="H38" s="117"/>
      <c r="I38" s="117"/>
      <c r="J38" s="117"/>
      <c r="K38" s="117"/>
      <c r="L38" s="117"/>
    </row>
    <row r="39" spans="1:12" ht="15.7" customHeight="1">
      <c r="A39" s="128"/>
      <c r="B39" s="127"/>
      <c r="C39" s="3" t="s">
        <v>166</v>
      </c>
      <c r="D39" s="116" t="s">
        <v>167</v>
      </c>
      <c r="E39" s="117"/>
      <c r="F39" s="117"/>
      <c r="G39" s="117"/>
      <c r="H39" s="117"/>
      <c r="I39" s="117"/>
      <c r="J39" s="117"/>
      <c r="K39" s="117"/>
      <c r="L39" s="117"/>
    </row>
    <row r="40" spans="1:12" ht="15.7" customHeight="1">
      <c r="A40" s="128"/>
      <c r="B40" s="127"/>
      <c r="C40" s="3" t="s">
        <v>168</v>
      </c>
      <c r="D40" s="116" t="s">
        <v>169</v>
      </c>
      <c r="E40" s="117"/>
      <c r="F40" s="117"/>
      <c r="G40" s="117"/>
      <c r="H40" s="117"/>
      <c r="I40" s="117"/>
      <c r="J40" s="117"/>
      <c r="K40" s="117"/>
      <c r="L40" s="117"/>
    </row>
    <row r="41" spans="1:12" ht="15.7" customHeight="1">
      <c r="A41" s="128"/>
      <c r="B41" s="127"/>
      <c r="C41" s="3" t="s">
        <v>170</v>
      </c>
      <c r="D41" s="116" t="s">
        <v>171</v>
      </c>
      <c r="E41" s="117"/>
      <c r="F41" s="117"/>
      <c r="G41" s="117"/>
      <c r="H41" s="117"/>
      <c r="I41" s="117"/>
      <c r="J41" s="117"/>
      <c r="K41" s="117"/>
      <c r="L41" s="117"/>
    </row>
    <row r="42" spans="1:12">
      <c r="A42" s="125"/>
      <c r="B42" s="125"/>
      <c r="C42" s="125"/>
      <c r="D42" s="125"/>
      <c r="E42" s="125"/>
      <c r="F42" s="125"/>
      <c r="G42" s="125"/>
      <c r="H42" s="125"/>
      <c r="I42" s="125"/>
      <c r="J42" s="125"/>
      <c r="K42" s="125"/>
      <c r="L42" s="126"/>
    </row>
    <row r="43" spans="1:12" ht="32.1" customHeight="1">
      <c r="A43" s="125" t="s">
        <v>172</v>
      </c>
      <c r="B43" s="3" t="s">
        <v>173</v>
      </c>
      <c r="C43" s="129" t="s">
        <v>174</v>
      </c>
      <c r="D43" s="117"/>
      <c r="E43" s="117"/>
      <c r="F43" s="117"/>
      <c r="G43" s="117"/>
      <c r="H43" s="117"/>
      <c r="I43" s="117"/>
      <c r="J43" s="117"/>
      <c r="K43" s="117"/>
      <c r="L43" s="117"/>
    </row>
    <row r="44" spans="1:12" ht="31.4" customHeight="1">
      <c r="A44" s="125"/>
      <c r="B44" s="3" t="s">
        <v>175</v>
      </c>
      <c r="C44" s="129" t="s">
        <v>176</v>
      </c>
      <c r="D44" s="117"/>
      <c r="E44" s="117"/>
      <c r="F44" s="117"/>
      <c r="G44" s="117"/>
      <c r="H44" s="117"/>
      <c r="I44" s="117"/>
      <c r="J44" s="117"/>
      <c r="K44" s="117"/>
      <c r="L44" s="117"/>
    </row>
    <row r="45" spans="1:12" ht="31.4" customHeight="1">
      <c r="A45" s="125"/>
      <c r="B45" s="3" t="s">
        <v>177</v>
      </c>
      <c r="C45" s="129" t="s">
        <v>178</v>
      </c>
      <c r="D45" s="117"/>
      <c r="E45" s="117"/>
      <c r="F45" s="117"/>
      <c r="G45" s="117"/>
      <c r="H45" s="117"/>
      <c r="I45" s="117"/>
      <c r="J45" s="117"/>
      <c r="K45" s="117"/>
      <c r="L45" s="117"/>
    </row>
    <row r="46" spans="1:12" ht="31.4" customHeight="1">
      <c r="A46" s="125"/>
      <c r="B46" s="3" t="s">
        <v>179</v>
      </c>
      <c r="C46" s="129" t="s">
        <v>180</v>
      </c>
      <c r="D46" s="117"/>
      <c r="E46" s="117"/>
      <c r="F46" s="117"/>
      <c r="G46" s="117"/>
      <c r="H46" s="117"/>
      <c r="I46" s="117"/>
      <c r="J46" s="117"/>
      <c r="K46" s="117"/>
      <c r="L46" s="117"/>
    </row>
    <row r="47" spans="1:12" ht="31.4" customHeight="1">
      <c r="A47" s="125"/>
      <c r="B47" s="3" t="s">
        <v>181</v>
      </c>
      <c r="C47" s="129" t="s">
        <v>182</v>
      </c>
      <c r="D47" s="117"/>
      <c r="E47" s="117"/>
      <c r="F47" s="117"/>
      <c r="G47" s="117"/>
      <c r="H47" s="117"/>
      <c r="I47" s="117"/>
      <c r="J47" s="117"/>
      <c r="K47" s="117"/>
      <c r="L47" s="117"/>
    </row>
    <row r="48" spans="1:12" ht="47.05" customHeight="1">
      <c r="A48" s="125"/>
      <c r="B48" s="3" t="s">
        <v>183</v>
      </c>
      <c r="C48" s="129" t="s">
        <v>184</v>
      </c>
      <c r="D48" s="117"/>
      <c r="E48" s="117"/>
      <c r="F48" s="117"/>
      <c r="G48" s="117"/>
      <c r="H48" s="117"/>
      <c r="I48" s="117"/>
      <c r="J48" s="117"/>
      <c r="K48" s="117"/>
      <c r="L48" s="117"/>
    </row>
  </sheetData>
  <mergeCells count="78">
    <mergeCell ref="A1:L1"/>
    <mergeCell ref="A11:A15"/>
    <mergeCell ref="B11:D11"/>
    <mergeCell ref="E13:F13"/>
    <mergeCell ref="E12:F12"/>
    <mergeCell ref="G12:H12"/>
    <mergeCell ref="G13:H13"/>
    <mergeCell ref="G11:H11"/>
    <mergeCell ref="E11:F11"/>
    <mergeCell ref="B12:D12"/>
    <mergeCell ref="B13:D13"/>
    <mergeCell ref="A10:L10"/>
    <mergeCell ref="G15:H15"/>
    <mergeCell ref="B14:D14"/>
    <mergeCell ref="B15:D15"/>
    <mergeCell ref="E14:F14"/>
    <mergeCell ref="A25:A32"/>
    <mergeCell ref="A33:L33"/>
    <mergeCell ref="C26:D26"/>
    <mergeCell ref="C27:D27"/>
    <mergeCell ref="C28:D28"/>
    <mergeCell ref="C30:D30"/>
    <mergeCell ref="C31:D31"/>
    <mergeCell ref="C32:D32"/>
    <mergeCell ref="A24:L24"/>
    <mergeCell ref="B18:B20"/>
    <mergeCell ref="C22:D22"/>
    <mergeCell ref="C23:D23"/>
    <mergeCell ref="B17:D17"/>
    <mergeCell ref="C20:D20"/>
    <mergeCell ref="C21:D21"/>
    <mergeCell ref="A17:A23"/>
    <mergeCell ref="E23:L23"/>
    <mergeCell ref="E20:L20"/>
    <mergeCell ref="B21:B23"/>
    <mergeCell ref="C18:D18"/>
    <mergeCell ref="C19:D19"/>
    <mergeCell ref="A16:L16"/>
    <mergeCell ref="B2:L2"/>
    <mergeCell ref="B3:L3"/>
    <mergeCell ref="B4:L4"/>
    <mergeCell ref="B5:L5"/>
    <mergeCell ref="B6:L6"/>
    <mergeCell ref="B7:L7"/>
    <mergeCell ref="B8:L8"/>
    <mergeCell ref="B9:L9"/>
    <mergeCell ref="I11:J11"/>
    <mergeCell ref="I12:J12"/>
    <mergeCell ref="I13:J13"/>
    <mergeCell ref="I14:J14"/>
    <mergeCell ref="I15:J15"/>
    <mergeCell ref="G14:H14"/>
    <mergeCell ref="E15:F15"/>
    <mergeCell ref="A42:L42"/>
    <mergeCell ref="B34:B37"/>
    <mergeCell ref="A43:A48"/>
    <mergeCell ref="B38:B41"/>
    <mergeCell ref="A34:A41"/>
    <mergeCell ref="D37:L37"/>
    <mergeCell ref="D38:L38"/>
    <mergeCell ref="D39:L39"/>
    <mergeCell ref="D40:L40"/>
    <mergeCell ref="D41:L41"/>
    <mergeCell ref="C43:L43"/>
    <mergeCell ref="C44:L44"/>
    <mergeCell ref="C45:L45"/>
    <mergeCell ref="C46:L46"/>
    <mergeCell ref="C47:L47"/>
    <mergeCell ref="C48:L48"/>
    <mergeCell ref="D34:L34"/>
    <mergeCell ref="D35:L35"/>
    <mergeCell ref="D36:L36"/>
    <mergeCell ref="B25:B28"/>
    <mergeCell ref="B29:B32"/>
    <mergeCell ref="C25:D25"/>
    <mergeCell ref="C29:D29"/>
    <mergeCell ref="E28:L28"/>
    <mergeCell ref="E32:L32"/>
  </mergeCells>
  <phoneticPr fontId="15" type="noConversion"/>
  <dataValidations count="3">
    <dataValidation type="list" allowBlank="1" showInputMessage="1" showErrorMessage="1" promptTitle="肌肉量" prompt="一般选“0”_x000a_不错选“0.05”" sqref="E14" xr:uid="{00000000-0002-0000-0000-000000000000}">
      <formula1>"0,0.05"</formula1>
    </dataValidation>
    <dataValidation type="list" allowBlank="1" showInputMessage="1" showErrorMessage="1" promptTitle="肌肉量" prompt="一般选“0”_x000a_不错选“0.20”" sqref="G14" xr:uid="{00000000-0002-0000-0000-000001000000}">
      <formula1>"0,0.20"</formula1>
    </dataValidation>
    <dataValidation type="list" allowBlank="1" showInputMessage="1" showErrorMessage="1" promptTitle="有氧运动" prompt="&lt;1小时选“0”_x000a_&gt;3小时选“0.20”" sqref="E15" xr:uid="{00000000-0002-0000-0000-000002000000}">
      <formula1>"0,0.2"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52"/>
  <sheetViews>
    <sheetView zoomScale="120" zoomScaleNormal="120" workbookViewId="0">
      <selection activeCell="E46" sqref="E46"/>
    </sheetView>
  </sheetViews>
  <sheetFormatPr defaultColWidth="10.25" defaultRowHeight="15.7"/>
  <cols>
    <col min="1" max="1" width="4.375" style="5" customWidth="1"/>
    <col min="2" max="16384" width="10.25" style="5"/>
  </cols>
  <sheetData>
    <row r="1" spans="1:17">
      <c r="A1" s="150" t="s">
        <v>268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</row>
    <row r="2" spans="1:17">
      <c r="A2" s="146" t="s">
        <v>18</v>
      </c>
      <c r="B2" s="152" t="s">
        <v>19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</row>
    <row r="3" spans="1:17">
      <c r="A3" s="147"/>
      <c r="B3" s="2" t="s">
        <v>15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16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Q3" s="2" t="s">
        <v>26</v>
      </c>
    </row>
    <row r="4" spans="1:17">
      <c r="A4" s="147"/>
      <c r="B4" s="2" t="s">
        <v>27</v>
      </c>
      <c r="C4" s="2" t="s">
        <v>28</v>
      </c>
      <c r="D4" s="2" t="s">
        <v>29</v>
      </c>
      <c r="E4" s="2"/>
      <c r="F4" s="2"/>
      <c r="G4" s="2"/>
      <c r="H4" s="2"/>
      <c r="I4" s="2"/>
      <c r="J4" s="2" t="s">
        <v>27</v>
      </c>
      <c r="K4" s="2" t="s">
        <v>30</v>
      </c>
      <c r="L4" s="2" t="s">
        <v>31</v>
      </c>
      <c r="M4" s="2"/>
      <c r="N4" s="2"/>
      <c r="O4" s="2"/>
      <c r="P4" s="2"/>
      <c r="Q4" s="2"/>
    </row>
    <row r="5" spans="1:17">
      <c r="A5" s="147"/>
      <c r="B5" s="2" t="s">
        <v>32</v>
      </c>
      <c r="C5" s="2" t="s">
        <v>33</v>
      </c>
      <c r="D5" s="2" t="s">
        <v>34</v>
      </c>
      <c r="E5" s="2" t="s">
        <v>35</v>
      </c>
      <c r="F5" s="2"/>
      <c r="G5" s="2"/>
      <c r="H5" s="2"/>
      <c r="I5" s="2"/>
      <c r="J5" s="2" t="s">
        <v>32</v>
      </c>
      <c r="K5" s="2" t="s">
        <v>36</v>
      </c>
      <c r="L5" s="2" t="s">
        <v>37</v>
      </c>
      <c r="M5" s="2" t="s">
        <v>31</v>
      </c>
      <c r="N5" s="2"/>
      <c r="O5" s="2"/>
      <c r="P5" s="2"/>
      <c r="Q5" s="2"/>
    </row>
    <row r="6" spans="1:17">
      <c r="A6" s="147"/>
      <c r="B6" s="2" t="s">
        <v>38</v>
      </c>
      <c r="C6" s="2" t="s">
        <v>39</v>
      </c>
      <c r="D6" s="2" t="s">
        <v>40</v>
      </c>
      <c r="E6" s="2" t="s">
        <v>34</v>
      </c>
      <c r="F6" s="2" t="s">
        <v>41</v>
      </c>
      <c r="G6" s="2"/>
      <c r="H6" s="2"/>
      <c r="I6" s="2"/>
      <c r="J6" s="2" t="s">
        <v>38</v>
      </c>
      <c r="K6" s="2" t="s">
        <v>42</v>
      </c>
      <c r="L6" s="2" t="s">
        <v>43</v>
      </c>
      <c r="M6" s="2" t="s">
        <v>37</v>
      </c>
      <c r="N6" s="2" t="s">
        <v>44</v>
      </c>
      <c r="O6" s="2"/>
      <c r="P6" s="2"/>
      <c r="Q6" s="2"/>
    </row>
    <row r="7" spans="1:17">
      <c r="A7" s="147"/>
      <c r="B7" s="2" t="s">
        <v>45</v>
      </c>
      <c r="C7" s="2" t="s">
        <v>46</v>
      </c>
      <c r="D7" s="2" t="s">
        <v>47</v>
      </c>
      <c r="E7" s="2" t="s">
        <v>40</v>
      </c>
      <c r="F7" s="2" t="s">
        <v>48</v>
      </c>
      <c r="G7" s="2" t="s">
        <v>41</v>
      </c>
      <c r="H7" s="2"/>
      <c r="I7" s="2"/>
      <c r="J7" s="2" t="s">
        <v>45</v>
      </c>
      <c r="K7" s="2" t="s">
        <v>49</v>
      </c>
      <c r="L7" s="2" t="s">
        <v>50</v>
      </c>
      <c r="M7" s="2" t="s">
        <v>43</v>
      </c>
      <c r="N7" s="2" t="s">
        <v>51</v>
      </c>
      <c r="O7" s="2" t="s">
        <v>44</v>
      </c>
      <c r="P7" s="2"/>
      <c r="Q7" s="2"/>
    </row>
    <row r="8" spans="1:17">
      <c r="A8" s="147"/>
      <c r="B8" s="2" t="s">
        <v>52</v>
      </c>
      <c r="C8" s="2" t="s">
        <v>53</v>
      </c>
      <c r="D8" s="2" t="s">
        <v>46</v>
      </c>
      <c r="E8" s="2" t="s">
        <v>47</v>
      </c>
      <c r="F8" s="2" t="s">
        <v>40</v>
      </c>
      <c r="G8" s="2" t="s">
        <v>48</v>
      </c>
      <c r="H8" s="2" t="s">
        <v>54</v>
      </c>
      <c r="I8" s="2"/>
      <c r="J8" s="2" t="s">
        <v>52</v>
      </c>
      <c r="K8" s="2" t="s">
        <v>55</v>
      </c>
      <c r="L8" s="2" t="s">
        <v>49</v>
      </c>
      <c r="M8" s="2" t="s">
        <v>50</v>
      </c>
      <c r="N8" s="2" t="s">
        <v>43</v>
      </c>
      <c r="O8" s="2" t="s">
        <v>51</v>
      </c>
      <c r="P8" s="2" t="s">
        <v>56</v>
      </c>
      <c r="Q8" s="2"/>
    </row>
    <row r="9" spans="1:17">
      <c r="A9" s="147"/>
      <c r="B9" s="2" t="s">
        <v>57</v>
      </c>
      <c r="C9" s="2" t="s">
        <v>58</v>
      </c>
      <c r="D9" s="2" t="s">
        <v>53</v>
      </c>
      <c r="E9" s="2" t="s">
        <v>46</v>
      </c>
      <c r="F9" s="2" t="s">
        <v>47</v>
      </c>
      <c r="G9" s="2" t="s">
        <v>59</v>
      </c>
      <c r="H9" s="2" t="s">
        <v>48</v>
      </c>
      <c r="I9" s="2" t="s">
        <v>54</v>
      </c>
      <c r="J9" s="2" t="s">
        <v>57</v>
      </c>
      <c r="K9" s="2" t="s">
        <v>55</v>
      </c>
      <c r="L9" s="2" t="s">
        <v>60</v>
      </c>
      <c r="M9" s="2" t="s">
        <v>49</v>
      </c>
      <c r="N9" s="2" t="s">
        <v>50</v>
      </c>
      <c r="O9" s="2" t="s">
        <v>61</v>
      </c>
      <c r="P9" s="2" t="s">
        <v>51</v>
      </c>
      <c r="Q9" s="2" t="s">
        <v>56</v>
      </c>
    </row>
    <row r="10" spans="1:17">
      <c r="A10" s="147"/>
      <c r="B10" s="2" t="s">
        <v>62</v>
      </c>
      <c r="C10" s="2" t="s">
        <v>63</v>
      </c>
      <c r="D10" s="2" t="s">
        <v>58</v>
      </c>
      <c r="E10" s="2" t="s">
        <v>53</v>
      </c>
      <c r="F10" s="2" t="s">
        <v>64</v>
      </c>
      <c r="G10" s="2" t="s">
        <v>47</v>
      </c>
      <c r="H10" s="2" t="s">
        <v>59</v>
      </c>
      <c r="I10" s="2" t="s">
        <v>65</v>
      </c>
      <c r="J10" s="2" t="s">
        <v>62</v>
      </c>
      <c r="K10" s="2" t="s">
        <v>66</v>
      </c>
      <c r="L10" s="2" t="s">
        <v>55</v>
      </c>
      <c r="M10" s="2" t="s">
        <v>60</v>
      </c>
      <c r="N10" s="2" t="s">
        <v>67</v>
      </c>
      <c r="O10" s="2" t="s">
        <v>50</v>
      </c>
      <c r="P10" s="2" t="s">
        <v>61</v>
      </c>
      <c r="Q10" s="2" t="s">
        <v>68</v>
      </c>
    </row>
    <row r="11" spans="1:17">
      <c r="A11" s="147"/>
      <c r="B11" s="2" t="s">
        <v>69</v>
      </c>
      <c r="C11" s="2" t="s">
        <v>70</v>
      </c>
      <c r="D11" s="2" t="s">
        <v>63</v>
      </c>
      <c r="E11" s="2" t="s">
        <v>71</v>
      </c>
      <c r="F11" s="2" t="s">
        <v>64</v>
      </c>
      <c r="G11" s="2" t="s">
        <v>72</v>
      </c>
      <c r="H11" s="2" t="s">
        <v>47</v>
      </c>
      <c r="I11" s="2" t="s">
        <v>59</v>
      </c>
      <c r="J11" s="2" t="s">
        <v>69</v>
      </c>
      <c r="K11" s="2" t="s">
        <v>66</v>
      </c>
      <c r="L11" s="2" t="s">
        <v>66</v>
      </c>
      <c r="M11" s="2" t="s">
        <v>73</v>
      </c>
      <c r="N11" s="2" t="s">
        <v>60</v>
      </c>
      <c r="O11" s="2" t="s">
        <v>67</v>
      </c>
      <c r="P11" s="2" t="s">
        <v>50</v>
      </c>
      <c r="Q11" s="2" t="s">
        <v>61</v>
      </c>
    </row>
    <row r="12" spans="1:17">
      <c r="A12" s="147"/>
      <c r="B12" s="2" t="s">
        <v>74</v>
      </c>
      <c r="C12" s="2" t="s">
        <v>75</v>
      </c>
      <c r="D12" s="2" t="s">
        <v>70</v>
      </c>
      <c r="E12" s="2" t="s">
        <v>63</v>
      </c>
      <c r="F12" s="2" t="s">
        <v>71</v>
      </c>
      <c r="G12" s="2" t="s">
        <v>64</v>
      </c>
      <c r="H12" s="2" t="s">
        <v>72</v>
      </c>
      <c r="I12" s="2" t="s">
        <v>76</v>
      </c>
      <c r="J12" s="2" t="s">
        <v>74</v>
      </c>
      <c r="K12" s="2" t="s">
        <v>77</v>
      </c>
      <c r="L12" s="2" t="s">
        <v>66</v>
      </c>
      <c r="M12" s="2" t="s">
        <v>73</v>
      </c>
      <c r="N12" s="2" t="s">
        <v>73</v>
      </c>
      <c r="O12" s="2" t="s">
        <v>60</v>
      </c>
      <c r="P12" s="2" t="s">
        <v>67</v>
      </c>
      <c r="Q12" s="2" t="s">
        <v>78</v>
      </c>
    </row>
    <row r="13" spans="1:17">
      <c r="A13" s="147"/>
      <c r="B13" s="2" t="s">
        <v>79</v>
      </c>
      <c r="C13" s="2" t="s">
        <v>75</v>
      </c>
      <c r="D13" s="2" t="s">
        <v>80</v>
      </c>
      <c r="E13" s="2" t="s">
        <v>70</v>
      </c>
      <c r="F13" s="2" t="s">
        <v>63</v>
      </c>
      <c r="G13" s="2" t="s">
        <v>71</v>
      </c>
      <c r="H13" s="2" t="s">
        <v>64</v>
      </c>
      <c r="I13" s="2" t="s">
        <v>72</v>
      </c>
      <c r="J13" s="2" t="s">
        <v>79</v>
      </c>
      <c r="K13" s="2" t="s">
        <v>77</v>
      </c>
      <c r="L13" s="2" t="s">
        <v>81</v>
      </c>
      <c r="M13" s="2" t="s">
        <v>66</v>
      </c>
      <c r="N13" s="2" t="s">
        <v>73</v>
      </c>
      <c r="O13" s="2" t="s">
        <v>82</v>
      </c>
      <c r="P13" s="2" t="s">
        <v>60</v>
      </c>
      <c r="Q13" s="2" t="s">
        <v>67</v>
      </c>
    </row>
    <row r="14" spans="1:17">
      <c r="A14" s="147"/>
      <c r="B14" s="2" t="s">
        <v>83</v>
      </c>
      <c r="C14" s="2" t="s">
        <v>84</v>
      </c>
      <c r="D14" s="2" t="s">
        <v>75</v>
      </c>
      <c r="E14" s="2" t="s">
        <v>80</v>
      </c>
      <c r="F14" s="2" t="s">
        <v>63</v>
      </c>
      <c r="G14" s="2" t="s">
        <v>71</v>
      </c>
      <c r="H14" s="2" t="s">
        <v>71</v>
      </c>
      <c r="I14" s="2" t="s">
        <v>85</v>
      </c>
      <c r="J14" s="2" t="s">
        <v>83</v>
      </c>
      <c r="K14" s="2" t="s">
        <v>77</v>
      </c>
      <c r="L14" s="2" t="s">
        <v>77</v>
      </c>
      <c r="M14" s="2" t="s">
        <v>81</v>
      </c>
      <c r="N14" s="2" t="s">
        <v>66</v>
      </c>
      <c r="O14" s="2" t="s">
        <v>73</v>
      </c>
      <c r="P14" s="2" t="s">
        <v>82</v>
      </c>
      <c r="Q14" s="2" t="s">
        <v>82</v>
      </c>
    </row>
    <row r="15" spans="1:17">
      <c r="A15" s="147"/>
      <c r="B15" s="2" t="s">
        <v>86</v>
      </c>
      <c r="C15" s="2" t="s">
        <v>87</v>
      </c>
      <c r="D15" s="2" t="s">
        <v>75</v>
      </c>
      <c r="E15" s="2" t="s">
        <v>75</v>
      </c>
      <c r="F15" s="2" t="s">
        <v>80</v>
      </c>
      <c r="G15" s="2" t="s">
        <v>88</v>
      </c>
      <c r="H15" s="2" t="s">
        <v>71</v>
      </c>
      <c r="I15" s="2" t="s">
        <v>85</v>
      </c>
      <c r="J15" s="2" t="s">
        <v>86</v>
      </c>
      <c r="K15" s="2" t="s">
        <v>89</v>
      </c>
      <c r="L15" s="2" t="s">
        <v>77</v>
      </c>
      <c r="M15" s="2" t="s">
        <v>77</v>
      </c>
      <c r="N15" s="2" t="s">
        <v>81</v>
      </c>
      <c r="O15" s="2" t="s">
        <v>90</v>
      </c>
      <c r="P15" s="2" t="s">
        <v>73</v>
      </c>
      <c r="Q15" s="2" t="s">
        <v>82</v>
      </c>
    </row>
    <row r="16" spans="1:17">
      <c r="A16" s="147"/>
      <c r="B16" s="2" t="s">
        <v>91</v>
      </c>
      <c r="C16" s="2"/>
      <c r="D16" s="2" t="s">
        <v>87</v>
      </c>
      <c r="E16" s="2" t="s">
        <v>75</v>
      </c>
      <c r="F16" s="2" t="s">
        <v>80</v>
      </c>
      <c r="G16" s="2" t="s">
        <v>88</v>
      </c>
      <c r="H16" s="2" t="s">
        <v>88</v>
      </c>
      <c r="I16" s="2" t="s">
        <v>71</v>
      </c>
      <c r="J16" s="2" t="s">
        <v>91</v>
      </c>
      <c r="K16" s="2"/>
      <c r="L16" s="2" t="s">
        <v>92</v>
      </c>
      <c r="M16" s="2" t="s">
        <v>77</v>
      </c>
      <c r="N16" s="2" t="s">
        <v>81</v>
      </c>
      <c r="O16" s="2" t="s">
        <v>81</v>
      </c>
      <c r="P16" s="2" t="s">
        <v>90</v>
      </c>
      <c r="Q16" s="2" t="s">
        <v>73</v>
      </c>
    </row>
    <row r="17" spans="1:17">
      <c r="A17" s="147"/>
      <c r="B17" s="2" t="s">
        <v>93</v>
      </c>
      <c r="C17" s="2"/>
      <c r="D17" s="2"/>
      <c r="E17" s="2" t="s">
        <v>94</v>
      </c>
      <c r="F17" s="2" t="s">
        <v>75</v>
      </c>
      <c r="G17" s="2" t="s">
        <v>80</v>
      </c>
      <c r="H17" s="2" t="s">
        <v>88</v>
      </c>
      <c r="I17" s="2" t="s">
        <v>88</v>
      </c>
      <c r="J17" s="2" t="s">
        <v>93</v>
      </c>
      <c r="K17" s="2"/>
      <c r="L17" s="2"/>
      <c r="M17" s="2" t="s">
        <v>92</v>
      </c>
      <c r="N17" s="2" t="s">
        <v>77</v>
      </c>
      <c r="O17" s="2" t="s">
        <v>81</v>
      </c>
      <c r="P17" s="2" t="s">
        <v>81</v>
      </c>
      <c r="Q17" s="2" t="s">
        <v>90</v>
      </c>
    </row>
    <row r="18" spans="1:17">
      <c r="A18" s="147"/>
      <c r="B18" s="2" t="s">
        <v>95</v>
      </c>
      <c r="C18" s="2"/>
      <c r="D18" s="2"/>
      <c r="E18" s="2"/>
      <c r="F18" s="2" t="s">
        <v>96</v>
      </c>
      <c r="G18" s="2" t="s">
        <v>80</v>
      </c>
      <c r="H18" s="2" t="s">
        <v>80</v>
      </c>
      <c r="I18" s="2" t="s">
        <v>88</v>
      </c>
      <c r="J18" s="2" t="s">
        <v>95</v>
      </c>
      <c r="K18" s="2"/>
      <c r="L18" s="2"/>
      <c r="M18" s="2"/>
      <c r="N18" s="2" t="s">
        <v>92</v>
      </c>
      <c r="O18" s="2" t="s">
        <v>81</v>
      </c>
      <c r="P18" s="2" t="s">
        <v>81</v>
      </c>
      <c r="Q18" s="2" t="s">
        <v>90</v>
      </c>
    </row>
    <row r="19" spans="1:17">
      <c r="A19" s="147"/>
      <c r="B19" s="2" t="s">
        <v>97</v>
      </c>
      <c r="C19" s="2"/>
      <c r="D19" s="2"/>
      <c r="E19" s="2"/>
      <c r="F19" s="2"/>
      <c r="G19" s="2" t="s">
        <v>96</v>
      </c>
      <c r="H19" s="2" t="s">
        <v>98</v>
      </c>
      <c r="I19" s="2" t="s">
        <v>88</v>
      </c>
      <c r="J19" s="2" t="s">
        <v>97</v>
      </c>
      <c r="K19" s="2"/>
      <c r="L19" s="2"/>
      <c r="M19" s="2"/>
      <c r="N19" s="2"/>
      <c r="O19" s="2" t="s">
        <v>92</v>
      </c>
      <c r="P19" s="2" t="s">
        <v>99</v>
      </c>
      <c r="Q19" s="2" t="s">
        <v>81</v>
      </c>
    </row>
    <row r="20" spans="1:17">
      <c r="A20" s="147"/>
      <c r="B20" s="2" t="s">
        <v>100</v>
      </c>
      <c r="C20" s="2"/>
      <c r="D20" s="2"/>
      <c r="E20" s="2"/>
      <c r="F20" s="2"/>
      <c r="G20" s="2"/>
      <c r="H20" s="2" t="s">
        <v>98</v>
      </c>
      <c r="I20" s="2" t="s">
        <v>98</v>
      </c>
      <c r="J20" s="2" t="s">
        <v>100</v>
      </c>
      <c r="K20" s="2"/>
      <c r="L20" s="2"/>
      <c r="M20" s="2"/>
      <c r="N20" s="2"/>
      <c r="O20" s="2"/>
      <c r="P20" s="2" t="s">
        <v>92</v>
      </c>
      <c r="Q20" s="2" t="s">
        <v>99</v>
      </c>
    </row>
    <row r="21" spans="1:17">
      <c r="A21" s="148"/>
      <c r="B21" s="149" t="s">
        <v>101</v>
      </c>
      <c r="C21" s="149"/>
      <c r="D21" s="149"/>
      <c r="E21" s="149"/>
      <c r="F21" s="149"/>
      <c r="G21" s="149"/>
      <c r="H21" s="149"/>
      <c r="I21" s="149"/>
      <c r="J21" s="149" t="s">
        <v>102</v>
      </c>
      <c r="K21" s="149"/>
      <c r="L21" s="149"/>
      <c r="M21" s="149"/>
      <c r="N21" s="149"/>
      <c r="O21" s="149"/>
      <c r="P21" s="149"/>
      <c r="Q21" s="149"/>
    </row>
    <row r="23" spans="1:17">
      <c r="A23" s="146" t="s">
        <v>103</v>
      </c>
      <c r="B23" s="152" t="s">
        <v>19</v>
      </c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4"/>
    </row>
    <row r="24" spans="1:17">
      <c r="A24" s="147"/>
      <c r="B24" s="2" t="s">
        <v>15</v>
      </c>
      <c r="C24" s="2" t="s">
        <v>104</v>
      </c>
      <c r="D24" s="2" t="s">
        <v>105</v>
      </c>
      <c r="E24" s="2" t="s">
        <v>106</v>
      </c>
      <c r="F24" s="2" t="s">
        <v>20</v>
      </c>
      <c r="G24" s="2" t="s">
        <v>21</v>
      </c>
      <c r="H24" s="2" t="s">
        <v>22</v>
      </c>
      <c r="I24" s="2" t="s">
        <v>23</v>
      </c>
      <c r="J24" s="2" t="s">
        <v>16</v>
      </c>
      <c r="K24" s="2" t="s">
        <v>104</v>
      </c>
      <c r="L24" s="2" t="s">
        <v>105</v>
      </c>
      <c r="M24" s="2" t="s">
        <v>106</v>
      </c>
      <c r="N24" s="2" t="s">
        <v>20</v>
      </c>
      <c r="O24" s="2" t="s">
        <v>21</v>
      </c>
      <c r="P24" s="2" t="s">
        <v>22</v>
      </c>
      <c r="Q24" s="2" t="s">
        <v>23</v>
      </c>
    </row>
    <row r="25" spans="1:17">
      <c r="A25" s="147"/>
      <c r="B25" s="2" t="s">
        <v>107</v>
      </c>
      <c r="C25" s="2" t="s">
        <v>30</v>
      </c>
      <c r="D25" s="2" t="s">
        <v>108</v>
      </c>
      <c r="E25" s="2"/>
      <c r="F25" s="2"/>
      <c r="G25" s="2"/>
      <c r="H25" s="2"/>
      <c r="I25" s="2"/>
      <c r="J25" s="2" t="s">
        <v>107</v>
      </c>
      <c r="K25" s="2" t="s">
        <v>109</v>
      </c>
      <c r="L25" s="2" t="s">
        <v>30</v>
      </c>
      <c r="M25" s="2"/>
      <c r="N25" s="2"/>
      <c r="O25" s="2"/>
      <c r="P25" s="2"/>
      <c r="Q25" s="2"/>
    </row>
    <row r="26" spans="1:17">
      <c r="A26" s="147"/>
      <c r="B26" s="2" t="s">
        <v>110</v>
      </c>
      <c r="C26" s="2" t="s">
        <v>43</v>
      </c>
      <c r="D26" s="2" t="s">
        <v>44</v>
      </c>
      <c r="E26" s="2" t="s">
        <v>108</v>
      </c>
      <c r="F26" s="2"/>
      <c r="G26" s="2"/>
      <c r="H26" s="2"/>
      <c r="I26" s="2"/>
      <c r="J26" s="2" t="s">
        <v>110</v>
      </c>
      <c r="K26" s="2" t="s">
        <v>111</v>
      </c>
      <c r="L26" s="2" t="s">
        <v>112</v>
      </c>
      <c r="M26" s="2" t="s">
        <v>30</v>
      </c>
      <c r="N26" s="2"/>
      <c r="O26" s="2"/>
      <c r="P26" s="2"/>
      <c r="Q26" s="2"/>
    </row>
    <row r="27" spans="1:17">
      <c r="A27" s="147"/>
      <c r="B27" s="2" t="s">
        <v>27</v>
      </c>
      <c r="C27" s="2" t="s">
        <v>50</v>
      </c>
      <c r="D27" s="2" t="s">
        <v>51</v>
      </c>
      <c r="E27" s="2" t="s">
        <v>44</v>
      </c>
      <c r="F27" s="2" t="s">
        <v>113</v>
      </c>
      <c r="G27" s="2"/>
      <c r="H27" s="2"/>
      <c r="I27" s="2"/>
      <c r="J27" s="2" t="s">
        <v>27</v>
      </c>
      <c r="K27" s="2" t="s">
        <v>114</v>
      </c>
      <c r="L27" s="2" t="s">
        <v>115</v>
      </c>
      <c r="M27" s="2" t="s">
        <v>36</v>
      </c>
      <c r="N27" s="2" t="s">
        <v>37</v>
      </c>
      <c r="O27" s="2"/>
      <c r="P27" s="2"/>
      <c r="Q27" s="2"/>
    </row>
    <row r="28" spans="1:17">
      <c r="A28" s="147"/>
      <c r="B28" s="2" t="s">
        <v>32</v>
      </c>
      <c r="C28" s="2" t="s">
        <v>50</v>
      </c>
      <c r="D28" s="2" t="s">
        <v>61</v>
      </c>
      <c r="E28" s="2" t="s">
        <v>51</v>
      </c>
      <c r="F28" s="2" t="s">
        <v>56</v>
      </c>
      <c r="G28" s="2" t="s">
        <v>113</v>
      </c>
      <c r="H28" s="2"/>
      <c r="I28" s="2"/>
      <c r="J28" s="2" t="s">
        <v>32</v>
      </c>
      <c r="K28" s="2" t="s">
        <v>114</v>
      </c>
      <c r="L28" s="2" t="s">
        <v>49</v>
      </c>
      <c r="M28" s="2" t="s">
        <v>115</v>
      </c>
      <c r="N28" s="2" t="s">
        <v>43</v>
      </c>
      <c r="O28" s="2" t="s">
        <v>37</v>
      </c>
      <c r="P28" s="2"/>
      <c r="Q28" s="2"/>
    </row>
    <row r="29" spans="1:17">
      <c r="A29" s="147"/>
      <c r="B29" s="2" t="s">
        <v>38</v>
      </c>
      <c r="C29" s="2" t="s">
        <v>60</v>
      </c>
      <c r="D29" s="2" t="s">
        <v>78</v>
      </c>
      <c r="E29" s="2" t="s">
        <v>61</v>
      </c>
      <c r="F29" s="2" t="s">
        <v>116</v>
      </c>
      <c r="G29" s="2" t="s">
        <v>117</v>
      </c>
      <c r="H29" s="2" t="s">
        <v>39</v>
      </c>
      <c r="I29" s="2"/>
      <c r="J29" s="2" t="s">
        <v>38</v>
      </c>
      <c r="K29" s="2" t="s">
        <v>118</v>
      </c>
      <c r="L29" s="2" t="s">
        <v>55</v>
      </c>
      <c r="M29" s="2" t="s">
        <v>49</v>
      </c>
      <c r="N29" s="2" t="s">
        <v>50</v>
      </c>
      <c r="O29" s="2" t="s">
        <v>43</v>
      </c>
      <c r="P29" s="2" t="s">
        <v>51</v>
      </c>
      <c r="Q29" s="2"/>
    </row>
    <row r="30" spans="1:17">
      <c r="A30" s="147"/>
      <c r="B30" s="2" t="s">
        <v>45</v>
      </c>
      <c r="C30" s="2" t="s">
        <v>73</v>
      </c>
      <c r="D30" s="2" t="s">
        <v>60</v>
      </c>
      <c r="E30" s="2" t="s">
        <v>119</v>
      </c>
      <c r="F30" s="2" t="s">
        <v>68</v>
      </c>
      <c r="G30" s="2" t="s">
        <v>116</v>
      </c>
      <c r="H30" s="2" t="s">
        <v>46</v>
      </c>
      <c r="I30" s="2" t="s">
        <v>39</v>
      </c>
      <c r="J30" s="2" t="s">
        <v>45</v>
      </c>
      <c r="K30" s="2" t="s">
        <v>120</v>
      </c>
      <c r="L30" s="2" t="s">
        <v>118</v>
      </c>
      <c r="M30" s="2" t="s">
        <v>60</v>
      </c>
      <c r="N30" s="2" t="s">
        <v>50</v>
      </c>
      <c r="O30" s="2" t="s">
        <v>61</v>
      </c>
      <c r="P30" s="2" t="s">
        <v>68</v>
      </c>
      <c r="Q30" s="2" t="s">
        <v>56</v>
      </c>
    </row>
    <row r="31" spans="1:17">
      <c r="A31" s="147"/>
      <c r="B31" s="2" t="s">
        <v>52</v>
      </c>
      <c r="C31" s="2" t="s">
        <v>73</v>
      </c>
      <c r="D31" s="2" t="s">
        <v>82</v>
      </c>
      <c r="E31" s="2" t="s">
        <v>78</v>
      </c>
      <c r="F31" s="2" t="s">
        <v>119</v>
      </c>
      <c r="G31" s="2" t="s">
        <v>58</v>
      </c>
      <c r="H31" s="2" t="s">
        <v>116</v>
      </c>
      <c r="I31" s="2" t="s">
        <v>46</v>
      </c>
      <c r="J31" s="2" t="s">
        <v>52</v>
      </c>
      <c r="K31" s="2" t="s">
        <v>120</v>
      </c>
      <c r="L31" s="2" t="s">
        <v>66</v>
      </c>
      <c r="M31" s="2" t="s">
        <v>55</v>
      </c>
      <c r="N31" s="2" t="s">
        <v>60</v>
      </c>
      <c r="O31" s="2" t="s">
        <v>78</v>
      </c>
      <c r="P31" s="2" t="s">
        <v>61</v>
      </c>
      <c r="Q31" s="2" t="s">
        <v>68</v>
      </c>
    </row>
    <row r="32" spans="1:17">
      <c r="A32" s="147"/>
      <c r="B32" s="2" t="s">
        <v>57</v>
      </c>
      <c r="C32" s="2" t="s">
        <v>81</v>
      </c>
      <c r="D32" s="2" t="s">
        <v>73</v>
      </c>
      <c r="E32" s="2" t="s">
        <v>82</v>
      </c>
      <c r="F32" s="2" t="s">
        <v>121</v>
      </c>
      <c r="G32" s="2" t="s">
        <v>119</v>
      </c>
      <c r="H32" s="2" t="s">
        <v>58</v>
      </c>
      <c r="I32" s="2" t="s">
        <v>116</v>
      </c>
      <c r="J32" s="2" t="s">
        <v>57</v>
      </c>
      <c r="K32" s="2" t="s">
        <v>77</v>
      </c>
      <c r="L32" s="2" t="s">
        <v>66</v>
      </c>
      <c r="M32" s="2" t="s">
        <v>66</v>
      </c>
      <c r="N32" s="2" t="s">
        <v>73</v>
      </c>
      <c r="O32" s="2" t="s">
        <v>60</v>
      </c>
      <c r="P32" s="2" t="s">
        <v>78</v>
      </c>
      <c r="Q32" s="2" t="s">
        <v>61</v>
      </c>
    </row>
    <row r="33" spans="1:17">
      <c r="A33" s="147"/>
      <c r="B33" s="2" t="s">
        <v>62</v>
      </c>
      <c r="C33" s="2" t="s">
        <v>81</v>
      </c>
      <c r="D33" s="2" t="s">
        <v>90</v>
      </c>
      <c r="E33" s="2" t="s">
        <v>84</v>
      </c>
      <c r="F33" s="2" t="s">
        <v>122</v>
      </c>
      <c r="G33" s="2" t="s">
        <v>70</v>
      </c>
      <c r="H33" s="2" t="s">
        <v>58</v>
      </c>
      <c r="I33" s="2" t="s">
        <v>53</v>
      </c>
      <c r="J33" s="2" t="s">
        <v>62</v>
      </c>
      <c r="K33" s="2" t="s">
        <v>123</v>
      </c>
      <c r="L33" s="2" t="s">
        <v>77</v>
      </c>
      <c r="M33" s="2" t="s">
        <v>81</v>
      </c>
      <c r="N33" s="2" t="s">
        <v>73</v>
      </c>
      <c r="O33" s="2" t="s">
        <v>82</v>
      </c>
      <c r="P33" s="2" t="s">
        <v>78</v>
      </c>
      <c r="Q33" s="2" t="s">
        <v>78</v>
      </c>
    </row>
    <row r="34" spans="1:17">
      <c r="A34" s="147"/>
      <c r="B34" s="2" t="s">
        <v>69</v>
      </c>
      <c r="C34" s="2" t="s">
        <v>99</v>
      </c>
      <c r="D34" s="2" t="s">
        <v>90</v>
      </c>
      <c r="E34" s="2" t="s">
        <v>90</v>
      </c>
      <c r="F34" s="2" t="s">
        <v>84</v>
      </c>
      <c r="G34" s="2" t="s">
        <v>121</v>
      </c>
      <c r="H34" s="2" t="s">
        <v>70</v>
      </c>
      <c r="I34" s="2" t="s">
        <v>63</v>
      </c>
      <c r="J34" s="2" t="s">
        <v>69</v>
      </c>
      <c r="K34" s="2" t="s">
        <v>89</v>
      </c>
      <c r="L34" s="2" t="s">
        <v>77</v>
      </c>
      <c r="M34" s="2" t="s">
        <v>81</v>
      </c>
      <c r="N34" s="2" t="s">
        <v>81</v>
      </c>
      <c r="O34" s="2" t="s">
        <v>73</v>
      </c>
      <c r="P34" s="2" t="s">
        <v>82</v>
      </c>
      <c r="Q34" s="2" t="s">
        <v>121</v>
      </c>
    </row>
    <row r="35" spans="1:17">
      <c r="A35" s="147"/>
      <c r="B35" s="2" t="s">
        <v>74</v>
      </c>
      <c r="C35" s="2" t="s">
        <v>92</v>
      </c>
      <c r="D35" s="2" t="s">
        <v>99</v>
      </c>
      <c r="E35" s="2" t="s">
        <v>90</v>
      </c>
      <c r="F35" s="2" t="s">
        <v>84</v>
      </c>
      <c r="G35" s="2" t="s">
        <v>75</v>
      </c>
      <c r="H35" s="2" t="s">
        <v>70</v>
      </c>
      <c r="I35" s="2" t="s">
        <v>70</v>
      </c>
      <c r="J35" s="2" t="s">
        <v>74</v>
      </c>
      <c r="K35" s="2" t="s">
        <v>89</v>
      </c>
      <c r="L35" s="2" t="s">
        <v>89</v>
      </c>
      <c r="M35" s="2" t="s">
        <v>77</v>
      </c>
      <c r="N35" s="2" t="s">
        <v>81</v>
      </c>
      <c r="O35" s="2" t="s">
        <v>90</v>
      </c>
      <c r="P35" s="2" t="s">
        <v>82</v>
      </c>
      <c r="Q35" s="2" t="s">
        <v>82</v>
      </c>
    </row>
    <row r="36" spans="1:17">
      <c r="A36" s="147"/>
      <c r="B36" s="2" t="s">
        <v>79</v>
      </c>
      <c r="C36" s="2" t="s">
        <v>92</v>
      </c>
      <c r="D36" s="2" t="s">
        <v>99</v>
      </c>
      <c r="E36" s="2" t="s">
        <v>124</v>
      </c>
      <c r="F36" s="2" t="s">
        <v>90</v>
      </c>
      <c r="G36" s="2" t="s">
        <v>84</v>
      </c>
      <c r="H36" s="2" t="s">
        <v>75</v>
      </c>
      <c r="I36" s="2" t="s">
        <v>70</v>
      </c>
      <c r="J36" s="2" t="s">
        <v>79</v>
      </c>
      <c r="K36" s="2" t="s">
        <v>125</v>
      </c>
      <c r="L36" s="2" t="s">
        <v>89</v>
      </c>
      <c r="M36" s="2" t="s">
        <v>92</v>
      </c>
      <c r="N36" s="2" t="s">
        <v>81</v>
      </c>
      <c r="O36" s="2" t="s">
        <v>81</v>
      </c>
      <c r="P36" s="2" t="s">
        <v>90</v>
      </c>
      <c r="Q36" s="2" t="s">
        <v>82</v>
      </c>
    </row>
    <row r="37" spans="1:17">
      <c r="A37" s="147"/>
      <c r="B37" s="2" t="s">
        <v>83</v>
      </c>
      <c r="C37" s="2"/>
      <c r="D37" s="2" t="s">
        <v>99</v>
      </c>
      <c r="E37" s="2" t="s">
        <v>99</v>
      </c>
      <c r="F37" s="2" t="s">
        <v>124</v>
      </c>
      <c r="G37" s="2" t="s">
        <v>84</v>
      </c>
      <c r="H37" s="2" t="s">
        <v>75</v>
      </c>
      <c r="I37" s="2" t="s">
        <v>75</v>
      </c>
      <c r="J37" s="2" t="s">
        <v>83</v>
      </c>
      <c r="K37" s="2"/>
      <c r="L37" s="2" t="s">
        <v>89</v>
      </c>
      <c r="M37" s="2" t="s">
        <v>92</v>
      </c>
      <c r="N37" s="2" t="s">
        <v>92</v>
      </c>
      <c r="O37" s="2" t="s">
        <v>81</v>
      </c>
      <c r="P37" s="2" t="s">
        <v>90</v>
      </c>
      <c r="Q37" s="2" t="s">
        <v>90</v>
      </c>
    </row>
    <row r="38" spans="1:17">
      <c r="A38" s="147"/>
      <c r="B38" s="2" t="s">
        <v>86</v>
      </c>
      <c r="C38" s="2"/>
      <c r="D38" s="2"/>
      <c r="E38" s="2" t="s">
        <v>99</v>
      </c>
      <c r="F38" s="2" t="s">
        <v>124</v>
      </c>
      <c r="G38" s="2" t="s">
        <v>124</v>
      </c>
      <c r="H38" s="2" t="s">
        <v>84</v>
      </c>
      <c r="I38" s="2" t="s">
        <v>75</v>
      </c>
      <c r="J38" s="2" t="s">
        <v>86</v>
      </c>
      <c r="K38" s="2"/>
      <c r="L38" s="2"/>
      <c r="M38" s="2" t="s">
        <v>89</v>
      </c>
      <c r="N38" s="2" t="s">
        <v>92</v>
      </c>
      <c r="O38" s="2" t="s">
        <v>99</v>
      </c>
      <c r="P38" s="2" t="s">
        <v>81</v>
      </c>
      <c r="Q38" s="2" t="s">
        <v>90</v>
      </c>
    </row>
    <row r="39" spans="1:17">
      <c r="A39" s="147"/>
      <c r="B39" s="2" t="s">
        <v>91</v>
      </c>
      <c r="C39" s="2"/>
      <c r="D39" s="2"/>
      <c r="E39" s="2"/>
      <c r="F39" s="2" t="s">
        <v>99</v>
      </c>
      <c r="G39" s="2" t="s">
        <v>124</v>
      </c>
      <c r="H39" s="2" t="s">
        <v>87</v>
      </c>
      <c r="I39" s="2" t="s">
        <v>75</v>
      </c>
      <c r="J39" s="2" t="s">
        <v>91</v>
      </c>
      <c r="K39" s="2"/>
      <c r="L39" s="2"/>
      <c r="M39" s="2"/>
      <c r="N39" s="2" t="s">
        <v>92</v>
      </c>
      <c r="O39" s="2" t="s">
        <v>92</v>
      </c>
      <c r="P39" s="2" t="s">
        <v>99</v>
      </c>
      <c r="Q39" s="2" t="s">
        <v>90</v>
      </c>
    </row>
    <row r="40" spans="1:17">
      <c r="A40" s="147"/>
      <c r="B40" s="2" t="s">
        <v>93</v>
      </c>
      <c r="C40" s="2"/>
      <c r="D40" s="2"/>
      <c r="E40" s="2"/>
      <c r="F40" s="2"/>
      <c r="G40" s="2" t="s">
        <v>124</v>
      </c>
      <c r="H40" s="2" t="s">
        <v>87</v>
      </c>
      <c r="I40" s="2" t="s">
        <v>87</v>
      </c>
      <c r="J40" s="2" t="s">
        <v>93</v>
      </c>
      <c r="K40" s="2"/>
      <c r="L40" s="2"/>
      <c r="M40" s="2"/>
      <c r="N40" s="2"/>
      <c r="O40" s="2" t="s">
        <v>92</v>
      </c>
      <c r="P40" s="2" t="s">
        <v>99</v>
      </c>
      <c r="Q40" s="2" t="s">
        <v>99</v>
      </c>
    </row>
    <row r="41" spans="1:17">
      <c r="A41" s="147"/>
      <c r="B41" s="2" t="s">
        <v>95</v>
      </c>
      <c r="C41" s="2"/>
      <c r="D41" s="2"/>
      <c r="E41" s="2"/>
      <c r="F41" s="2"/>
      <c r="G41" s="2"/>
      <c r="H41" s="2" t="s">
        <v>124</v>
      </c>
      <c r="I41" s="2" t="s">
        <v>87</v>
      </c>
      <c r="J41" s="2" t="s">
        <v>95</v>
      </c>
      <c r="K41" s="2"/>
      <c r="L41" s="2"/>
      <c r="M41" s="2"/>
      <c r="N41" s="2"/>
      <c r="O41" s="2"/>
      <c r="P41" s="2" t="s">
        <v>92</v>
      </c>
      <c r="Q41" s="2" t="s">
        <v>99</v>
      </c>
    </row>
    <row r="42" spans="1:17">
      <c r="A42" s="148"/>
      <c r="B42" s="149" t="s">
        <v>101</v>
      </c>
      <c r="C42" s="149"/>
      <c r="D42" s="149"/>
      <c r="E42" s="149"/>
      <c r="F42" s="149"/>
      <c r="G42" s="149"/>
      <c r="H42" s="149"/>
      <c r="I42" s="149"/>
      <c r="J42" s="149" t="s">
        <v>102</v>
      </c>
      <c r="K42" s="149"/>
      <c r="L42" s="149"/>
      <c r="M42" s="149"/>
      <c r="N42" s="149"/>
      <c r="O42" s="149"/>
      <c r="P42" s="149"/>
      <c r="Q42" s="149"/>
    </row>
    <row r="45" spans="1:17">
      <c r="B45" s="150" t="s">
        <v>262</v>
      </c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</row>
    <row r="46" spans="1:17">
      <c r="B46" s="2" t="s">
        <v>15</v>
      </c>
      <c r="C46" s="2" t="s">
        <v>9</v>
      </c>
      <c r="D46" s="2" t="s">
        <v>10</v>
      </c>
      <c r="E46" s="17" t="s">
        <v>278</v>
      </c>
      <c r="J46" s="2" t="s">
        <v>16</v>
      </c>
      <c r="K46" s="2" t="s">
        <v>9</v>
      </c>
      <c r="L46" s="2" t="s">
        <v>10</v>
      </c>
      <c r="M46" s="2" t="s">
        <v>14</v>
      </c>
    </row>
    <row r="47" spans="1:17">
      <c r="B47" s="2" t="s">
        <v>126</v>
      </c>
      <c r="C47" s="13">
        <v>0.2</v>
      </c>
      <c r="D47" s="2" t="s">
        <v>127</v>
      </c>
      <c r="E47" s="2" t="s">
        <v>127</v>
      </c>
      <c r="J47" s="2" t="s">
        <v>126</v>
      </c>
      <c r="K47" s="13">
        <v>0.2</v>
      </c>
      <c r="L47" s="13">
        <v>0.2</v>
      </c>
      <c r="M47" s="2" t="s">
        <v>127</v>
      </c>
    </row>
    <row r="48" spans="1:17">
      <c r="B48" s="2" t="s">
        <v>128</v>
      </c>
      <c r="C48" s="13">
        <v>0.2</v>
      </c>
      <c r="D48" s="2" t="s">
        <v>129</v>
      </c>
      <c r="E48" s="2" t="s">
        <v>129</v>
      </c>
      <c r="J48" s="2" t="s">
        <v>130</v>
      </c>
      <c r="K48" s="13">
        <v>0.3</v>
      </c>
      <c r="L48" s="13">
        <v>0.3</v>
      </c>
      <c r="M48" s="2" t="s">
        <v>129</v>
      </c>
    </row>
    <row r="49" spans="2:17">
      <c r="B49" s="2" t="s">
        <v>131</v>
      </c>
      <c r="C49" s="13">
        <v>0.4</v>
      </c>
      <c r="D49" s="2" t="s">
        <v>132</v>
      </c>
      <c r="E49" s="2" t="s">
        <v>132</v>
      </c>
      <c r="J49" s="2" t="s">
        <v>133</v>
      </c>
      <c r="K49" s="13">
        <v>0.3</v>
      </c>
      <c r="L49" s="13">
        <v>0.3</v>
      </c>
      <c r="M49" s="2" t="s">
        <v>132</v>
      </c>
    </row>
    <row r="50" spans="2:17">
      <c r="B50" s="2" t="s">
        <v>134</v>
      </c>
      <c r="C50" s="13">
        <v>0.2</v>
      </c>
      <c r="D50" s="2" t="s">
        <v>135</v>
      </c>
      <c r="E50" s="2" t="s">
        <v>135</v>
      </c>
      <c r="J50" s="2" t="s">
        <v>136</v>
      </c>
      <c r="K50" s="13">
        <v>0.2</v>
      </c>
      <c r="L50" s="13">
        <v>0.2</v>
      </c>
      <c r="M50" s="2" t="s">
        <v>135</v>
      </c>
    </row>
    <row r="51" spans="2:17">
      <c r="B51" s="145" t="s">
        <v>137</v>
      </c>
      <c r="C51" s="145"/>
      <c r="D51" s="145"/>
      <c r="E51" s="145"/>
      <c r="F51" s="145"/>
      <c r="G51" s="145"/>
      <c r="H51" s="145"/>
      <c r="I51" s="145"/>
      <c r="J51" s="145" t="s">
        <v>138</v>
      </c>
      <c r="K51" s="145"/>
      <c r="L51" s="145"/>
      <c r="M51" s="145"/>
      <c r="N51" s="145"/>
      <c r="O51" s="145"/>
      <c r="P51" s="145"/>
      <c r="Q51" s="145"/>
    </row>
    <row r="52" spans="2:17">
      <c r="B52" s="145" t="s">
        <v>139</v>
      </c>
      <c r="C52" s="145"/>
      <c r="D52" s="145"/>
      <c r="E52" s="145"/>
      <c r="F52" s="145"/>
      <c r="G52" s="145"/>
      <c r="H52" s="145"/>
      <c r="I52" s="145"/>
      <c r="J52" s="145" t="s">
        <v>140</v>
      </c>
      <c r="K52" s="145"/>
      <c r="L52" s="145"/>
      <c r="M52" s="145"/>
      <c r="N52" s="145"/>
      <c r="O52" s="145"/>
      <c r="P52" s="145"/>
      <c r="Q52" s="145"/>
    </row>
  </sheetData>
  <mergeCells count="14">
    <mergeCell ref="A1:Q1"/>
    <mergeCell ref="B2:Q2"/>
    <mergeCell ref="B21:I21"/>
    <mergeCell ref="J21:Q21"/>
    <mergeCell ref="B23:Q23"/>
    <mergeCell ref="B52:I52"/>
    <mergeCell ref="J52:Q52"/>
    <mergeCell ref="A2:A21"/>
    <mergeCell ref="A23:A42"/>
    <mergeCell ref="B42:I42"/>
    <mergeCell ref="J42:Q42"/>
    <mergeCell ref="B45:M45"/>
    <mergeCell ref="B51:I51"/>
    <mergeCell ref="J51:Q51"/>
  </mergeCells>
  <phoneticPr fontId="15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N98"/>
  <sheetViews>
    <sheetView tabSelected="1" zoomScale="130" zoomScaleNormal="130" workbookViewId="0">
      <pane xSplit="3" ySplit="3" topLeftCell="D64" activePane="bottomRight" state="frozen"/>
      <selection activeCell="E46" sqref="E46"/>
      <selection pane="topRight" activeCell="E46" sqref="E46"/>
      <selection pane="bottomLeft" activeCell="E46" sqref="E46"/>
      <selection pane="bottomRight" activeCell="F100" sqref="F100"/>
    </sheetView>
  </sheetViews>
  <sheetFormatPr defaultColWidth="9" defaultRowHeight="15" customHeight="1"/>
  <cols>
    <col min="1" max="1" width="5.75" style="67" customWidth="1"/>
    <col min="2" max="2" width="7.25" style="67" customWidth="1"/>
    <col min="3" max="3" width="4.75" style="67" customWidth="1"/>
    <col min="4" max="4" width="7.125" style="77" customWidth="1"/>
    <col min="5" max="5" width="7.25" style="77" customWidth="1"/>
    <col min="6" max="6" width="9" style="67" customWidth="1"/>
    <col min="7" max="7" width="5.125" style="67" customWidth="1"/>
    <col min="8" max="8" width="5.75" style="67" customWidth="1"/>
    <col min="9" max="9" width="3.375" style="67" customWidth="1"/>
    <col min="10" max="10" width="5.75" style="67" customWidth="1"/>
    <col min="11" max="11" width="9" style="67" customWidth="1"/>
    <col min="12" max="12" width="5.125" style="67" customWidth="1"/>
    <col min="13" max="13" width="5.75" style="67" customWidth="1"/>
    <col min="14" max="14" width="3.375" style="67" customWidth="1"/>
    <col min="15" max="15" width="5.75" style="67" customWidth="1"/>
    <col min="16" max="16" width="9" style="67" customWidth="1"/>
    <col min="17" max="17" width="5.125" style="67" customWidth="1"/>
    <col min="18" max="18" width="5.75" style="67" customWidth="1"/>
    <col min="19" max="19" width="3.375" style="67" customWidth="1"/>
    <col min="20" max="20" width="5.75" style="67" customWidth="1"/>
    <col min="21" max="21" width="9" style="67" customWidth="1"/>
    <col min="22" max="22" width="5.125" style="67" customWidth="1"/>
    <col min="23" max="23" width="5.75" style="67" customWidth="1"/>
    <col min="24" max="24" width="3.375" style="67" customWidth="1"/>
    <col min="25" max="25" width="5.75" style="67" customWidth="1"/>
    <col min="26" max="26" width="9" style="67"/>
    <col min="27" max="27" width="5.125" style="67" customWidth="1"/>
    <col min="28" max="28" width="5.75" style="67" customWidth="1"/>
    <col min="29" max="29" width="3.375" style="67" customWidth="1"/>
    <col min="30" max="30" width="5.75" style="67" customWidth="1"/>
    <col min="31" max="31" width="9" style="67"/>
    <col min="32" max="32" width="5.125" style="67" customWidth="1"/>
    <col min="33" max="33" width="5.75" style="67" customWidth="1"/>
    <col min="34" max="34" width="3.375" style="67" customWidth="1"/>
    <col min="35" max="35" width="5.75" style="67" customWidth="1"/>
    <col min="36" max="36" width="9" style="67"/>
    <col min="37" max="37" width="5.125" style="67" customWidth="1"/>
    <col min="38" max="38" width="5.75" style="67" customWidth="1"/>
    <col min="39" max="39" width="3.375" style="67" customWidth="1"/>
    <col min="40" max="40" width="5.75" style="67" customWidth="1"/>
    <col min="41" max="16384" width="9" style="67"/>
  </cols>
  <sheetData>
    <row r="1" spans="1:40" ht="25.7" customHeight="1">
      <c r="A1" s="155" t="s">
        <v>254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</row>
    <row r="2" spans="1:40" ht="20" customHeight="1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</row>
    <row r="3" spans="1:40" ht="32.1" customHeight="1">
      <c r="A3" s="66" t="s">
        <v>142</v>
      </c>
      <c r="B3" s="66" t="s">
        <v>143</v>
      </c>
      <c r="C3" s="66" t="s">
        <v>1754</v>
      </c>
      <c r="D3" s="68" t="s">
        <v>1750</v>
      </c>
      <c r="E3" s="68" t="s">
        <v>1749</v>
      </c>
      <c r="F3" s="69" t="s">
        <v>285</v>
      </c>
      <c r="G3" s="66" t="s">
        <v>1779</v>
      </c>
      <c r="H3" s="66" t="s">
        <v>1781</v>
      </c>
      <c r="I3" s="66" t="s">
        <v>1778</v>
      </c>
      <c r="J3" s="66" t="s">
        <v>1748</v>
      </c>
      <c r="K3" s="69" t="s">
        <v>285</v>
      </c>
      <c r="L3" s="66" t="s">
        <v>1779</v>
      </c>
      <c r="M3" s="66" t="s">
        <v>1781</v>
      </c>
      <c r="N3" s="66" t="s">
        <v>1778</v>
      </c>
      <c r="O3" s="66" t="s">
        <v>1748</v>
      </c>
      <c r="P3" s="69" t="s">
        <v>285</v>
      </c>
      <c r="Q3" s="66" t="s">
        <v>1779</v>
      </c>
      <c r="R3" s="66" t="s">
        <v>1781</v>
      </c>
      <c r="S3" s="66" t="s">
        <v>1778</v>
      </c>
      <c r="T3" s="66" t="s">
        <v>1748</v>
      </c>
      <c r="U3" s="69" t="s">
        <v>285</v>
      </c>
      <c r="V3" s="66" t="s">
        <v>1779</v>
      </c>
      <c r="W3" s="66" t="s">
        <v>1781</v>
      </c>
      <c r="X3" s="66" t="s">
        <v>1778</v>
      </c>
      <c r="Y3" s="66" t="s">
        <v>1748</v>
      </c>
      <c r="Z3" s="69" t="s">
        <v>285</v>
      </c>
      <c r="AA3" s="66" t="s">
        <v>1779</v>
      </c>
      <c r="AB3" s="66" t="s">
        <v>1781</v>
      </c>
      <c r="AC3" s="66" t="s">
        <v>1778</v>
      </c>
      <c r="AD3" s="66" t="s">
        <v>1748</v>
      </c>
      <c r="AE3" s="69" t="s">
        <v>285</v>
      </c>
      <c r="AF3" s="66" t="s">
        <v>1779</v>
      </c>
      <c r="AG3" s="66" t="s">
        <v>1781</v>
      </c>
      <c r="AH3" s="66" t="s">
        <v>1778</v>
      </c>
      <c r="AI3" s="66" t="s">
        <v>1748</v>
      </c>
      <c r="AJ3" s="69" t="s">
        <v>285</v>
      </c>
      <c r="AK3" s="66" t="s">
        <v>1779</v>
      </c>
      <c r="AL3" s="66" t="s">
        <v>1781</v>
      </c>
      <c r="AM3" s="66" t="s">
        <v>1778</v>
      </c>
      <c r="AN3" s="66" t="s">
        <v>1748</v>
      </c>
    </row>
    <row r="4" spans="1:40" ht="15" customHeight="1">
      <c r="A4" s="158" t="s">
        <v>257</v>
      </c>
      <c r="B4" s="155" t="s">
        <v>1755</v>
      </c>
      <c r="C4" s="158" t="s">
        <v>1792</v>
      </c>
      <c r="D4" s="68">
        <f>H4+M4+R4+W4+AB4+AG4+AL4</f>
        <v>35.74</v>
      </c>
      <c r="E4" s="68">
        <f>人员信息!E30</f>
        <v>33.105600000000003</v>
      </c>
      <c r="F4" s="156" t="s">
        <v>1771</v>
      </c>
      <c r="G4" s="156">
        <v>250</v>
      </c>
      <c r="H4" s="70">
        <f>G4*(J4/100)</f>
        <v>12.5</v>
      </c>
      <c r="I4" s="71" t="s">
        <v>1752</v>
      </c>
      <c r="J4" s="72">
        <v>5</v>
      </c>
      <c r="K4" s="157" t="s">
        <v>1772</v>
      </c>
      <c r="L4" s="157">
        <v>50</v>
      </c>
      <c r="M4" s="73">
        <f>L4*(O4/100)</f>
        <v>1.2</v>
      </c>
      <c r="N4" s="74" t="s">
        <v>1744</v>
      </c>
      <c r="O4" s="75">
        <v>2.4</v>
      </c>
      <c r="P4" s="156" t="s">
        <v>1769</v>
      </c>
      <c r="Q4" s="156">
        <v>40</v>
      </c>
      <c r="R4" s="70">
        <f>Q4*(T4/100)</f>
        <v>22.040000000000003</v>
      </c>
      <c r="S4" s="71" t="s">
        <v>1744</v>
      </c>
      <c r="T4" s="72">
        <v>55.1</v>
      </c>
      <c r="U4" s="157"/>
      <c r="V4" s="157"/>
      <c r="W4" s="73">
        <f>V4*(Y4/100)</f>
        <v>0</v>
      </c>
      <c r="X4" s="74" t="s">
        <v>1744</v>
      </c>
      <c r="Y4" s="75"/>
      <c r="Z4" s="156"/>
      <c r="AA4" s="156"/>
      <c r="AB4" s="70">
        <f>AA4*(AD4/100)</f>
        <v>0</v>
      </c>
      <c r="AC4" s="71" t="s">
        <v>1752</v>
      </c>
      <c r="AD4" s="72"/>
      <c r="AE4" s="157"/>
      <c r="AF4" s="157"/>
      <c r="AG4" s="73">
        <f>AF4*(AI4/100)</f>
        <v>0</v>
      </c>
      <c r="AH4" s="74" t="s">
        <v>1744</v>
      </c>
      <c r="AI4" s="75"/>
      <c r="AJ4" s="156"/>
      <c r="AK4" s="156"/>
      <c r="AL4" s="70">
        <f>AK4*(AN4/100)</f>
        <v>0</v>
      </c>
      <c r="AM4" s="71" t="s">
        <v>1744</v>
      </c>
      <c r="AN4" s="72"/>
    </row>
    <row r="5" spans="1:40" ht="15" customHeight="1">
      <c r="A5" s="155"/>
      <c r="B5" s="155"/>
      <c r="C5" s="155"/>
      <c r="D5" s="68">
        <f t="shared" ref="D5:D68" si="0">H5+M5+R5+W5+AB5+AG5+AL5</f>
        <v>21.150000000000002</v>
      </c>
      <c r="E5" s="68">
        <f>人员信息!E31</f>
        <v>21.318000000000001</v>
      </c>
      <c r="F5" s="156"/>
      <c r="G5" s="156"/>
      <c r="H5" s="70">
        <f>G4*(J5/100)</f>
        <v>9.0000000000000018</v>
      </c>
      <c r="I5" s="70" t="s">
        <v>1745</v>
      </c>
      <c r="J5" s="72">
        <v>3.6</v>
      </c>
      <c r="K5" s="157"/>
      <c r="L5" s="157"/>
      <c r="M5" s="73">
        <f>L4*(O5/100)</f>
        <v>6.5500000000000007</v>
      </c>
      <c r="N5" s="73" t="s">
        <v>1745</v>
      </c>
      <c r="O5" s="75">
        <v>13.1</v>
      </c>
      <c r="P5" s="156"/>
      <c r="Q5" s="156"/>
      <c r="R5" s="70">
        <f>Q4*(T5/100)</f>
        <v>5.6000000000000005</v>
      </c>
      <c r="S5" s="70" t="s">
        <v>1745</v>
      </c>
      <c r="T5" s="72">
        <v>14</v>
      </c>
      <c r="U5" s="157"/>
      <c r="V5" s="157"/>
      <c r="W5" s="73">
        <f>V4*(Y5/100)</f>
        <v>0</v>
      </c>
      <c r="X5" s="73" t="s">
        <v>1745</v>
      </c>
      <c r="Y5" s="75"/>
      <c r="Z5" s="156"/>
      <c r="AA5" s="156"/>
      <c r="AB5" s="70">
        <f>AA4*(AD5/100)</f>
        <v>0</v>
      </c>
      <c r="AC5" s="70" t="s">
        <v>1745</v>
      </c>
      <c r="AD5" s="72"/>
      <c r="AE5" s="157"/>
      <c r="AF5" s="157"/>
      <c r="AG5" s="73">
        <f>AF4*(AI5/100)</f>
        <v>0</v>
      </c>
      <c r="AH5" s="73" t="s">
        <v>1745</v>
      </c>
      <c r="AI5" s="75"/>
      <c r="AJ5" s="156"/>
      <c r="AK5" s="156"/>
      <c r="AL5" s="70">
        <f>AK4*(AN5/100)</f>
        <v>0</v>
      </c>
      <c r="AM5" s="70" t="s">
        <v>1745</v>
      </c>
      <c r="AN5" s="72"/>
    </row>
    <row r="6" spans="1:40" ht="15" customHeight="1">
      <c r="A6" s="155"/>
      <c r="B6" s="155"/>
      <c r="C6" s="155"/>
      <c r="D6" s="68">
        <f t="shared" si="0"/>
        <v>19.420000000000002</v>
      </c>
      <c r="E6" s="76"/>
      <c r="F6" s="156"/>
      <c r="G6" s="156"/>
      <c r="H6" s="70">
        <f>G4*(J6/100)</f>
        <v>11.000000000000002</v>
      </c>
      <c r="I6" s="70" t="s">
        <v>1746</v>
      </c>
      <c r="J6" s="72">
        <v>4.4000000000000004</v>
      </c>
      <c r="K6" s="157"/>
      <c r="L6" s="157"/>
      <c r="M6" s="73">
        <f>L4*(O6/100)</f>
        <v>4.3</v>
      </c>
      <c r="N6" s="73" t="s">
        <v>1746</v>
      </c>
      <c r="O6" s="75">
        <v>8.6</v>
      </c>
      <c r="P6" s="156"/>
      <c r="Q6" s="156"/>
      <c r="R6" s="70">
        <f>Q4*(T6/100)</f>
        <v>4.12</v>
      </c>
      <c r="S6" s="70" t="s">
        <v>1746</v>
      </c>
      <c r="T6" s="72">
        <v>10.3</v>
      </c>
      <c r="U6" s="157"/>
      <c r="V6" s="157"/>
      <c r="W6" s="73">
        <f>V4*(Y6/100)</f>
        <v>0</v>
      </c>
      <c r="X6" s="73" t="s">
        <v>1746</v>
      </c>
      <c r="Y6" s="75"/>
      <c r="Z6" s="156"/>
      <c r="AA6" s="156"/>
      <c r="AB6" s="70">
        <f>AA4*(AD6/100)</f>
        <v>0</v>
      </c>
      <c r="AC6" s="70" t="s">
        <v>1746</v>
      </c>
      <c r="AD6" s="72"/>
      <c r="AE6" s="157"/>
      <c r="AF6" s="157"/>
      <c r="AG6" s="73">
        <f>AF4*(AI6/100)</f>
        <v>0</v>
      </c>
      <c r="AH6" s="73" t="s">
        <v>1746</v>
      </c>
      <c r="AI6" s="75"/>
      <c r="AJ6" s="156"/>
      <c r="AK6" s="156"/>
      <c r="AL6" s="70">
        <f>AK4*(AN6/100)</f>
        <v>0</v>
      </c>
      <c r="AM6" s="70" t="s">
        <v>1746</v>
      </c>
      <c r="AN6" s="72"/>
    </row>
    <row r="7" spans="1:40" ht="15" customHeight="1">
      <c r="A7" s="155"/>
      <c r="B7" s="155"/>
      <c r="C7" s="158" t="s">
        <v>1793</v>
      </c>
      <c r="D7" s="68">
        <f t="shared" si="0"/>
        <v>32.705000000000005</v>
      </c>
      <c r="E7" s="68">
        <f>人员信息!E30</f>
        <v>33.105600000000003</v>
      </c>
      <c r="F7" s="156" t="s">
        <v>280</v>
      </c>
      <c r="G7" s="156">
        <v>55</v>
      </c>
      <c r="H7" s="70">
        <f>G7*(J7/100)</f>
        <v>30.305000000000003</v>
      </c>
      <c r="I7" s="71" t="s">
        <v>1744</v>
      </c>
      <c r="J7" s="72">
        <v>55.1</v>
      </c>
      <c r="K7" s="157" t="s">
        <v>1770</v>
      </c>
      <c r="L7" s="157">
        <v>100</v>
      </c>
      <c r="M7" s="73">
        <f>L7*(O7/100)</f>
        <v>2.4</v>
      </c>
      <c r="N7" s="74" t="s">
        <v>1744</v>
      </c>
      <c r="O7" s="75">
        <v>2.4</v>
      </c>
      <c r="P7" s="156"/>
      <c r="Q7" s="156"/>
      <c r="R7" s="70">
        <f>Q7*(T7/100)</f>
        <v>0</v>
      </c>
      <c r="S7" s="71" t="s">
        <v>1744</v>
      </c>
      <c r="T7" s="72"/>
      <c r="U7" s="157"/>
      <c r="V7" s="157"/>
      <c r="W7" s="73">
        <f>V7*(Y7/100)</f>
        <v>0</v>
      </c>
      <c r="X7" s="74" t="s">
        <v>1744</v>
      </c>
      <c r="Y7" s="75"/>
      <c r="Z7" s="156"/>
      <c r="AA7" s="156"/>
      <c r="AB7" s="70">
        <f>AA7*(AD7/100)</f>
        <v>0</v>
      </c>
      <c r="AC7" s="71" t="s">
        <v>1744</v>
      </c>
      <c r="AD7" s="72"/>
      <c r="AE7" s="157"/>
      <c r="AF7" s="157"/>
      <c r="AG7" s="73">
        <f>AF7*(AI7/100)</f>
        <v>0</v>
      </c>
      <c r="AH7" s="74" t="s">
        <v>1744</v>
      </c>
      <c r="AI7" s="75"/>
      <c r="AJ7" s="156"/>
      <c r="AK7" s="156"/>
      <c r="AL7" s="70">
        <f>AK7*(AN7/100)</f>
        <v>0</v>
      </c>
      <c r="AM7" s="71" t="s">
        <v>1744</v>
      </c>
      <c r="AN7" s="72"/>
    </row>
    <row r="8" spans="1:40" ht="15" customHeight="1">
      <c r="A8" s="155"/>
      <c r="B8" s="155"/>
      <c r="C8" s="155"/>
      <c r="D8" s="68">
        <f t="shared" si="0"/>
        <v>20.800000000000004</v>
      </c>
      <c r="E8" s="68">
        <f>人员信息!E31</f>
        <v>21.318000000000001</v>
      </c>
      <c r="F8" s="156"/>
      <c r="G8" s="156"/>
      <c r="H8" s="70">
        <f>G7*(J8/100)</f>
        <v>7.7000000000000011</v>
      </c>
      <c r="I8" s="70" t="s">
        <v>1745</v>
      </c>
      <c r="J8" s="72">
        <v>14</v>
      </c>
      <c r="K8" s="157"/>
      <c r="L8" s="157"/>
      <c r="M8" s="73">
        <f>L7*(O8/100)</f>
        <v>13.100000000000001</v>
      </c>
      <c r="N8" s="73" t="s">
        <v>1745</v>
      </c>
      <c r="O8" s="75">
        <v>13.1</v>
      </c>
      <c r="P8" s="156"/>
      <c r="Q8" s="156"/>
      <c r="R8" s="70">
        <f>Q7*(T8/100)</f>
        <v>0</v>
      </c>
      <c r="S8" s="70" t="s">
        <v>1745</v>
      </c>
      <c r="T8" s="72"/>
      <c r="U8" s="157"/>
      <c r="V8" s="157"/>
      <c r="W8" s="73">
        <f>V7*(Y8/100)</f>
        <v>0</v>
      </c>
      <c r="X8" s="73" t="s">
        <v>1745</v>
      </c>
      <c r="Y8" s="75"/>
      <c r="Z8" s="156"/>
      <c r="AA8" s="156"/>
      <c r="AB8" s="70">
        <f>AA7*(AD8/100)</f>
        <v>0</v>
      </c>
      <c r="AC8" s="70" t="s">
        <v>1745</v>
      </c>
      <c r="AD8" s="72"/>
      <c r="AE8" s="157"/>
      <c r="AF8" s="157"/>
      <c r="AG8" s="73">
        <f>AF7*(AI8/100)</f>
        <v>0</v>
      </c>
      <c r="AH8" s="73" t="s">
        <v>1745</v>
      </c>
      <c r="AI8" s="75"/>
      <c r="AJ8" s="156"/>
      <c r="AK8" s="156"/>
      <c r="AL8" s="70">
        <f>AK7*(AN8/100)</f>
        <v>0</v>
      </c>
      <c r="AM8" s="70" t="s">
        <v>1745</v>
      </c>
      <c r="AN8" s="72"/>
    </row>
    <row r="9" spans="1:40" ht="15" customHeight="1">
      <c r="A9" s="155"/>
      <c r="B9" s="155"/>
      <c r="C9" s="155"/>
      <c r="D9" s="68">
        <f t="shared" si="0"/>
        <v>14.265000000000001</v>
      </c>
      <c r="E9" s="76"/>
      <c r="F9" s="156"/>
      <c r="G9" s="156"/>
      <c r="H9" s="70">
        <f>G7*(J9/100)</f>
        <v>5.665</v>
      </c>
      <c r="I9" s="70" t="s">
        <v>1746</v>
      </c>
      <c r="J9" s="72">
        <v>10.3</v>
      </c>
      <c r="K9" s="157"/>
      <c r="L9" s="157"/>
      <c r="M9" s="73">
        <f>L7*(O9/100)</f>
        <v>8.6</v>
      </c>
      <c r="N9" s="73" t="s">
        <v>1746</v>
      </c>
      <c r="O9" s="75">
        <v>8.6</v>
      </c>
      <c r="P9" s="156"/>
      <c r="Q9" s="156"/>
      <c r="R9" s="70">
        <f>Q7*(T9/100)</f>
        <v>0</v>
      </c>
      <c r="S9" s="70" t="s">
        <v>1746</v>
      </c>
      <c r="T9" s="72"/>
      <c r="U9" s="157"/>
      <c r="V9" s="157"/>
      <c r="W9" s="73">
        <f>V7*(Y9/100)</f>
        <v>0</v>
      </c>
      <c r="X9" s="73" t="s">
        <v>1746</v>
      </c>
      <c r="Y9" s="75"/>
      <c r="Z9" s="156"/>
      <c r="AA9" s="156"/>
      <c r="AB9" s="70">
        <f>AA7*(AD9/100)</f>
        <v>0</v>
      </c>
      <c r="AC9" s="70" t="s">
        <v>1746</v>
      </c>
      <c r="AD9" s="72"/>
      <c r="AE9" s="157"/>
      <c r="AF9" s="157"/>
      <c r="AG9" s="73">
        <f>AF7*(AI9/100)</f>
        <v>0</v>
      </c>
      <c r="AH9" s="73" t="s">
        <v>1746</v>
      </c>
      <c r="AI9" s="75"/>
      <c r="AJ9" s="156"/>
      <c r="AK9" s="156"/>
      <c r="AL9" s="70">
        <f>AK7*(AN9/100)</f>
        <v>0</v>
      </c>
      <c r="AM9" s="70" t="s">
        <v>1746</v>
      </c>
      <c r="AN9" s="72"/>
    </row>
    <row r="10" spans="1:40" ht="15" customHeight="1">
      <c r="A10" s="155"/>
      <c r="B10" s="155"/>
      <c r="C10" s="158" t="s">
        <v>1794</v>
      </c>
      <c r="D10" s="68">
        <f t="shared" si="0"/>
        <v>0</v>
      </c>
      <c r="E10" s="68">
        <f>人员信息!E30</f>
        <v>33.105600000000003</v>
      </c>
      <c r="F10" s="156"/>
      <c r="G10" s="156"/>
      <c r="H10" s="70">
        <f>G10*J10/100</f>
        <v>0</v>
      </c>
      <c r="I10" s="71" t="s">
        <v>1744</v>
      </c>
      <c r="J10" s="72"/>
      <c r="K10" s="157"/>
      <c r="L10" s="157"/>
      <c r="M10" s="73">
        <f>L10*O10/100</f>
        <v>0</v>
      </c>
      <c r="N10" s="74" t="s">
        <v>1744</v>
      </c>
      <c r="O10" s="75"/>
      <c r="P10" s="156"/>
      <c r="Q10" s="156"/>
      <c r="R10" s="70">
        <f>Q10*T10/100</f>
        <v>0</v>
      </c>
      <c r="S10" s="71" t="s">
        <v>1744</v>
      </c>
      <c r="T10" s="72"/>
      <c r="U10" s="157"/>
      <c r="V10" s="157"/>
      <c r="W10" s="73">
        <f>V10*Y10/100</f>
        <v>0</v>
      </c>
      <c r="X10" s="74" t="s">
        <v>1744</v>
      </c>
      <c r="Y10" s="75"/>
      <c r="Z10" s="156"/>
      <c r="AA10" s="156"/>
      <c r="AB10" s="70">
        <f>AA10*AD10/100</f>
        <v>0</v>
      </c>
      <c r="AC10" s="71" t="s">
        <v>1744</v>
      </c>
      <c r="AD10" s="72"/>
      <c r="AE10" s="157"/>
      <c r="AF10" s="157"/>
      <c r="AG10" s="73">
        <f>AF10*AI10/100</f>
        <v>0</v>
      </c>
      <c r="AH10" s="74" t="s">
        <v>1744</v>
      </c>
      <c r="AI10" s="75"/>
      <c r="AJ10" s="156"/>
      <c r="AK10" s="156"/>
      <c r="AL10" s="70">
        <f>AK10*AN10/100</f>
        <v>0</v>
      </c>
      <c r="AM10" s="71" t="s">
        <v>1744</v>
      </c>
      <c r="AN10" s="72"/>
    </row>
    <row r="11" spans="1:40" ht="15" customHeight="1">
      <c r="A11" s="155"/>
      <c r="B11" s="155"/>
      <c r="C11" s="155"/>
      <c r="D11" s="68">
        <f t="shared" si="0"/>
        <v>0</v>
      </c>
      <c r="E11" s="68">
        <f>人员信息!E31</f>
        <v>21.318000000000001</v>
      </c>
      <c r="F11" s="156"/>
      <c r="G11" s="156"/>
      <c r="H11" s="70">
        <f>G10*J11/100</f>
        <v>0</v>
      </c>
      <c r="I11" s="70" t="s">
        <v>1745</v>
      </c>
      <c r="J11" s="72"/>
      <c r="K11" s="157"/>
      <c r="L11" s="157"/>
      <c r="M11" s="73">
        <f>L10*O11/100</f>
        <v>0</v>
      </c>
      <c r="N11" s="73" t="s">
        <v>1745</v>
      </c>
      <c r="O11" s="75"/>
      <c r="P11" s="156"/>
      <c r="Q11" s="156"/>
      <c r="R11" s="70">
        <f>Q10*T11/100</f>
        <v>0</v>
      </c>
      <c r="S11" s="70" t="s">
        <v>1745</v>
      </c>
      <c r="T11" s="72"/>
      <c r="U11" s="157"/>
      <c r="V11" s="157"/>
      <c r="W11" s="73">
        <f>V10*Y11/100</f>
        <v>0</v>
      </c>
      <c r="X11" s="73" t="s">
        <v>1745</v>
      </c>
      <c r="Y11" s="75"/>
      <c r="Z11" s="156"/>
      <c r="AA11" s="156"/>
      <c r="AB11" s="70">
        <f>AA10*AD11/100</f>
        <v>0</v>
      </c>
      <c r="AC11" s="70" t="s">
        <v>1745</v>
      </c>
      <c r="AD11" s="72"/>
      <c r="AE11" s="157"/>
      <c r="AF11" s="157"/>
      <c r="AG11" s="73">
        <f>AF10*AI11/100</f>
        <v>0</v>
      </c>
      <c r="AH11" s="73" t="s">
        <v>1745</v>
      </c>
      <c r="AI11" s="75"/>
      <c r="AJ11" s="156"/>
      <c r="AK11" s="156"/>
      <c r="AL11" s="70">
        <f>AK10*AN11/100</f>
        <v>0</v>
      </c>
      <c r="AM11" s="70" t="s">
        <v>1745</v>
      </c>
      <c r="AN11" s="72"/>
    </row>
    <row r="12" spans="1:40" ht="15" customHeight="1">
      <c r="A12" s="155"/>
      <c r="B12" s="155"/>
      <c r="C12" s="155"/>
      <c r="D12" s="68">
        <f t="shared" si="0"/>
        <v>0</v>
      </c>
      <c r="E12" s="76"/>
      <c r="F12" s="156"/>
      <c r="G12" s="156"/>
      <c r="H12" s="70">
        <f>G10*J12/100</f>
        <v>0</v>
      </c>
      <c r="I12" s="70" t="s">
        <v>1746</v>
      </c>
      <c r="J12" s="72"/>
      <c r="K12" s="157"/>
      <c r="L12" s="157"/>
      <c r="M12" s="73">
        <f>L10*O12/100</f>
        <v>0</v>
      </c>
      <c r="N12" s="73" t="s">
        <v>1746</v>
      </c>
      <c r="O12" s="75"/>
      <c r="P12" s="156"/>
      <c r="Q12" s="156"/>
      <c r="R12" s="70">
        <f>Q10*T12/100</f>
        <v>0</v>
      </c>
      <c r="S12" s="70" t="s">
        <v>1746</v>
      </c>
      <c r="T12" s="72"/>
      <c r="U12" s="157"/>
      <c r="V12" s="157"/>
      <c r="W12" s="73">
        <f>V10*Y12/100</f>
        <v>0</v>
      </c>
      <c r="X12" s="73" t="s">
        <v>1746</v>
      </c>
      <c r="Y12" s="75"/>
      <c r="Z12" s="156"/>
      <c r="AA12" s="156"/>
      <c r="AB12" s="70">
        <f>AA10*AD12/100</f>
        <v>0</v>
      </c>
      <c r="AC12" s="70" t="s">
        <v>1746</v>
      </c>
      <c r="AD12" s="72"/>
      <c r="AE12" s="157"/>
      <c r="AF12" s="157"/>
      <c r="AG12" s="73">
        <f>AF10*AI12/100</f>
        <v>0</v>
      </c>
      <c r="AH12" s="73" t="s">
        <v>1746</v>
      </c>
      <c r="AI12" s="75"/>
      <c r="AJ12" s="156"/>
      <c r="AK12" s="156"/>
      <c r="AL12" s="70">
        <f>AK10*AN12/100</f>
        <v>0</v>
      </c>
      <c r="AM12" s="70" t="s">
        <v>1746</v>
      </c>
      <c r="AN12" s="72"/>
    </row>
    <row r="13" spans="1:40" ht="15" customHeight="1">
      <c r="A13" s="155"/>
      <c r="B13" s="155"/>
      <c r="C13" s="158" t="s">
        <v>1795</v>
      </c>
      <c r="D13" s="68">
        <f t="shared" si="0"/>
        <v>0</v>
      </c>
      <c r="E13" s="68">
        <f>人员信息!E30</f>
        <v>33.105600000000003</v>
      </c>
      <c r="F13" s="156"/>
      <c r="G13" s="156"/>
      <c r="H13" s="70">
        <f>G13*J13/100</f>
        <v>0</v>
      </c>
      <c r="I13" s="71" t="s">
        <v>1744</v>
      </c>
      <c r="J13" s="72"/>
      <c r="K13" s="157"/>
      <c r="L13" s="157"/>
      <c r="M13" s="73">
        <f>L13*O13/100</f>
        <v>0</v>
      </c>
      <c r="N13" s="74" t="s">
        <v>1744</v>
      </c>
      <c r="O13" s="75"/>
      <c r="P13" s="156"/>
      <c r="Q13" s="156"/>
      <c r="R13" s="70">
        <f>Q13*T13/100</f>
        <v>0</v>
      </c>
      <c r="S13" s="71" t="s">
        <v>1744</v>
      </c>
      <c r="T13" s="72"/>
      <c r="U13" s="157"/>
      <c r="V13" s="157"/>
      <c r="W13" s="73">
        <f>V13*Y13/100</f>
        <v>0</v>
      </c>
      <c r="X13" s="74" t="s">
        <v>1744</v>
      </c>
      <c r="Y13" s="75"/>
      <c r="Z13" s="156"/>
      <c r="AA13" s="156"/>
      <c r="AB13" s="70">
        <f>AA13*AD13/100</f>
        <v>0</v>
      </c>
      <c r="AC13" s="71" t="s">
        <v>1744</v>
      </c>
      <c r="AD13" s="72"/>
      <c r="AE13" s="157"/>
      <c r="AF13" s="157"/>
      <c r="AG13" s="73">
        <f>AF13*AI13/100</f>
        <v>0</v>
      </c>
      <c r="AH13" s="74" t="s">
        <v>1744</v>
      </c>
      <c r="AI13" s="75"/>
      <c r="AJ13" s="156"/>
      <c r="AK13" s="156"/>
      <c r="AL13" s="70">
        <f>AK13*AN13/100</f>
        <v>0</v>
      </c>
      <c r="AM13" s="71" t="s">
        <v>1744</v>
      </c>
      <c r="AN13" s="72"/>
    </row>
    <row r="14" spans="1:40" ht="15" customHeight="1">
      <c r="A14" s="155"/>
      <c r="B14" s="155"/>
      <c r="C14" s="155"/>
      <c r="D14" s="68">
        <f t="shared" si="0"/>
        <v>0</v>
      </c>
      <c r="E14" s="68">
        <f>人员信息!E31</f>
        <v>21.318000000000001</v>
      </c>
      <c r="F14" s="156"/>
      <c r="G14" s="156"/>
      <c r="H14" s="70">
        <f>G13*J14/100</f>
        <v>0</v>
      </c>
      <c r="I14" s="70" t="s">
        <v>1745</v>
      </c>
      <c r="J14" s="72"/>
      <c r="K14" s="157"/>
      <c r="L14" s="157"/>
      <c r="M14" s="73">
        <f>L13*O14/100</f>
        <v>0</v>
      </c>
      <c r="N14" s="73" t="s">
        <v>1745</v>
      </c>
      <c r="O14" s="75"/>
      <c r="P14" s="156"/>
      <c r="Q14" s="156"/>
      <c r="R14" s="70">
        <f>Q13*T14/100</f>
        <v>0</v>
      </c>
      <c r="S14" s="70" t="s">
        <v>1745</v>
      </c>
      <c r="T14" s="72"/>
      <c r="U14" s="157"/>
      <c r="V14" s="157"/>
      <c r="W14" s="73">
        <f>V13*Y14/100</f>
        <v>0</v>
      </c>
      <c r="X14" s="73" t="s">
        <v>1745</v>
      </c>
      <c r="Y14" s="75"/>
      <c r="Z14" s="156"/>
      <c r="AA14" s="156"/>
      <c r="AB14" s="70">
        <f>AA13*AD14/100</f>
        <v>0</v>
      </c>
      <c r="AC14" s="70" t="s">
        <v>1745</v>
      </c>
      <c r="AD14" s="72"/>
      <c r="AE14" s="157"/>
      <c r="AF14" s="157"/>
      <c r="AG14" s="73">
        <f>AF13*AI14/100</f>
        <v>0</v>
      </c>
      <c r="AH14" s="73" t="s">
        <v>1745</v>
      </c>
      <c r="AI14" s="75"/>
      <c r="AJ14" s="156"/>
      <c r="AK14" s="156"/>
      <c r="AL14" s="70">
        <f>AK13*AN14/100</f>
        <v>0</v>
      </c>
      <c r="AM14" s="70" t="s">
        <v>1745</v>
      </c>
      <c r="AN14" s="72"/>
    </row>
    <row r="15" spans="1:40" ht="15" customHeight="1">
      <c r="A15" s="155"/>
      <c r="B15" s="155"/>
      <c r="C15" s="155"/>
      <c r="D15" s="68">
        <f t="shared" si="0"/>
        <v>0</v>
      </c>
      <c r="E15" s="76"/>
      <c r="F15" s="156"/>
      <c r="G15" s="156"/>
      <c r="H15" s="70">
        <f>G13*J15/100</f>
        <v>0</v>
      </c>
      <c r="I15" s="70" t="s">
        <v>1746</v>
      </c>
      <c r="J15" s="72"/>
      <c r="K15" s="157"/>
      <c r="L15" s="157"/>
      <c r="M15" s="73">
        <f>L13*O15/100</f>
        <v>0</v>
      </c>
      <c r="N15" s="73" t="s">
        <v>1746</v>
      </c>
      <c r="O15" s="75"/>
      <c r="P15" s="156"/>
      <c r="Q15" s="156"/>
      <c r="R15" s="70">
        <f>Q13*T15/100</f>
        <v>0</v>
      </c>
      <c r="S15" s="70" t="s">
        <v>1746</v>
      </c>
      <c r="T15" s="72"/>
      <c r="U15" s="157"/>
      <c r="V15" s="157"/>
      <c r="W15" s="73">
        <f>V13*Y15/100</f>
        <v>0</v>
      </c>
      <c r="X15" s="73" t="s">
        <v>1746</v>
      </c>
      <c r="Y15" s="75"/>
      <c r="Z15" s="156"/>
      <c r="AA15" s="156"/>
      <c r="AB15" s="70">
        <f>AA13*AD15/100</f>
        <v>0</v>
      </c>
      <c r="AC15" s="70" t="s">
        <v>1746</v>
      </c>
      <c r="AD15" s="72"/>
      <c r="AE15" s="157"/>
      <c r="AF15" s="157"/>
      <c r="AG15" s="73">
        <f>AF13*AI15/100</f>
        <v>0</v>
      </c>
      <c r="AH15" s="73" t="s">
        <v>1746</v>
      </c>
      <c r="AI15" s="75"/>
      <c r="AJ15" s="156"/>
      <c r="AK15" s="156"/>
      <c r="AL15" s="70">
        <f>AK13*AN15/100</f>
        <v>0</v>
      </c>
      <c r="AM15" s="70" t="s">
        <v>1746</v>
      </c>
      <c r="AN15" s="72"/>
    </row>
    <row r="16" spans="1:40" ht="15" customHeight="1">
      <c r="A16" s="155"/>
      <c r="B16" s="155"/>
      <c r="C16" s="158" t="s">
        <v>1796</v>
      </c>
      <c r="D16" s="68">
        <f t="shared" si="0"/>
        <v>0</v>
      </c>
      <c r="E16" s="68">
        <f>人员信息!E30</f>
        <v>33.105600000000003</v>
      </c>
      <c r="F16" s="156"/>
      <c r="G16" s="156"/>
      <c r="H16" s="70">
        <f>G16*J16/100</f>
        <v>0</v>
      </c>
      <c r="I16" s="71" t="s">
        <v>1744</v>
      </c>
      <c r="J16" s="72"/>
      <c r="K16" s="157"/>
      <c r="L16" s="157"/>
      <c r="M16" s="73">
        <f>L16*O16/100</f>
        <v>0</v>
      </c>
      <c r="N16" s="74" t="s">
        <v>1744</v>
      </c>
      <c r="O16" s="75"/>
      <c r="P16" s="156"/>
      <c r="Q16" s="156"/>
      <c r="R16" s="70">
        <f>Q16*T16/100</f>
        <v>0</v>
      </c>
      <c r="S16" s="71" t="s">
        <v>1744</v>
      </c>
      <c r="T16" s="72"/>
      <c r="U16" s="157"/>
      <c r="V16" s="157"/>
      <c r="W16" s="73">
        <f>V16*Y16/100</f>
        <v>0</v>
      </c>
      <c r="X16" s="74" t="s">
        <v>1744</v>
      </c>
      <c r="Y16" s="75"/>
      <c r="Z16" s="156"/>
      <c r="AA16" s="156"/>
      <c r="AB16" s="70">
        <f>AA16*AD16/100</f>
        <v>0</v>
      </c>
      <c r="AC16" s="71" t="s">
        <v>1744</v>
      </c>
      <c r="AD16" s="72"/>
      <c r="AE16" s="157"/>
      <c r="AF16" s="157"/>
      <c r="AG16" s="73">
        <f>AF16*AI16/100</f>
        <v>0</v>
      </c>
      <c r="AH16" s="74" t="s">
        <v>1744</v>
      </c>
      <c r="AI16" s="75"/>
      <c r="AJ16" s="156"/>
      <c r="AK16" s="156"/>
      <c r="AL16" s="70">
        <f>AK16*AN16/100</f>
        <v>0</v>
      </c>
      <c r="AM16" s="71" t="s">
        <v>1744</v>
      </c>
      <c r="AN16" s="72"/>
    </row>
    <row r="17" spans="1:40" ht="15" customHeight="1">
      <c r="A17" s="155"/>
      <c r="B17" s="155"/>
      <c r="C17" s="155"/>
      <c r="D17" s="68">
        <f t="shared" si="0"/>
        <v>0</v>
      </c>
      <c r="E17" s="68">
        <f>人员信息!E31</f>
        <v>21.318000000000001</v>
      </c>
      <c r="F17" s="156"/>
      <c r="G17" s="156"/>
      <c r="H17" s="70">
        <f>G16*J17/100</f>
        <v>0</v>
      </c>
      <c r="I17" s="70" t="s">
        <v>1745</v>
      </c>
      <c r="J17" s="72"/>
      <c r="K17" s="157"/>
      <c r="L17" s="157"/>
      <c r="M17" s="73">
        <f>L16*O17/100</f>
        <v>0</v>
      </c>
      <c r="N17" s="73" t="s">
        <v>1745</v>
      </c>
      <c r="O17" s="75"/>
      <c r="P17" s="156"/>
      <c r="Q17" s="156"/>
      <c r="R17" s="70">
        <f>Q16*T17/100</f>
        <v>0</v>
      </c>
      <c r="S17" s="70" t="s">
        <v>1745</v>
      </c>
      <c r="T17" s="72"/>
      <c r="U17" s="157"/>
      <c r="V17" s="157"/>
      <c r="W17" s="73">
        <f>V16*Y17/100</f>
        <v>0</v>
      </c>
      <c r="X17" s="73" t="s">
        <v>1745</v>
      </c>
      <c r="Y17" s="75"/>
      <c r="Z17" s="156"/>
      <c r="AA17" s="156"/>
      <c r="AB17" s="70">
        <f>AA16*AD17/100</f>
        <v>0</v>
      </c>
      <c r="AC17" s="70" t="s">
        <v>1745</v>
      </c>
      <c r="AD17" s="72"/>
      <c r="AE17" s="157"/>
      <c r="AF17" s="157"/>
      <c r="AG17" s="73">
        <f>AF16*AI17/100</f>
        <v>0</v>
      </c>
      <c r="AH17" s="73" t="s">
        <v>1745</v>
      </c>
      <c r="AI17" s="75"/>
      <c r="AJ17" s="156"/>
      <c r="AK17" s="156"/>
      <c r="AL17" s="70">
        <f>AK16*AN17/100</f>
        <v>0</v>
      </c>
      <c r="AM17" s="70" t="s">
        <v>1745</v>
      </c>
      <c r="AN17" s="72"/>
    </row>
    <row r="18" spans="1:40" ht="15" customHeight="1">
      <c r="A18" s="155"/>
      <c r="B18" s="155"/>
      <c r="C18" s="155"/>
      <c r="D18" s="68">
        <f t="shared" si="0"/>
        <v>0</v>
      </c>
      <c r="E18" s="76"/>
      <c r="F18" s="156"/>
      <c r="G18" s="156"/>
      <c r="H18" s="70">
        <f>G16*J18/100</f>
        <v>0</v>
      </c>
      <c r="I18" s="70" t="s">
        <v>1746</v>
      </c>
      <c r="J18" s="72"/>
      <c r="K18" s="157"/>
      <c r="L18" s="157"/>
      <c r="M18" s="73">
        <f>L16*O18/100</f>
        <v>0</v>
      </c>
      <c r="N18" s="73" t="s">
        <v>1746</v>
      </c>
      <c r="O18" s="75"/>
      <c r="P18" s="156"/>
      <c r="Q18" s="156"/>
      <c r="R18" s="70">
        <f>Q16*T18/100</f>
        <v>0</v>
      </c>
      <c r="S18" s="70" t="s">
        <v>1746</v>
      </c>
      <c r="T18" s="72"/>
      <c r="U18" s="157"/>
      <c r="V18" s="157"/>
      <c r="W18" s="73">
        <f>V16*Y18/100</f>
        <v>0</v>
      </c>
      <c r="X18" s="73" t="s">
        <v>1746</v>
      </c>
      <c r="Y18" s="75"/>
      <c r="Z18" s="156"/>
      <c r="AA18" s="156"/>
      <c r="AB18" s="70">
        <f>AA16*AD18/100</f>
        <v>0</v>
      </c>
      <c r="AC18" s="70" t="s">
        <v>1746</v>
      </c>
      <c r="AD18" s="72"/>
      <c r="AE18" s="157"/>
      <c r="AF18" s="157"/>
      <c r="AG18" s="73">
        <f>AF16*AI18/100</f>
        <v>0</v>
      </c>
      <c r="AH18" s="73" t="s">
        <v>1746</v>
      </c>
      <c r="AI18" s="75"/>
      <c r="AJ18" s="156"/>
      <c r="AK18" s="156"/>
      <c r="AL18" s="70">
        <f>AK16*AN18/100</f>
        <v>0</v>
      </c>
      <c r="AM18" s="70" t="s">
        <v>1746</v>
      </c>
      <c r="AN18" s="72"/>
    </row>
    <row r="19" spans="1:40" ht="15" customHeight="1">
      <c r="A19" s="155"/>
      <c r="B19" s="155"/>
      <c r="C19" s="158" t="s">
        <v>1797</v>
      </c>
      <c r="D19" s="68">
        <f t="shared" si="0"/>
        <v>0</v>
      </c>
      <c r="E19" s="68">
        <f>人员信息!E30</f>
        <v>33.105600000000003</v>
      </c>
      <c r="F19" s="156"/>
      <c r="G19" s="156"/>
      <c r="H19" s="70">
        <f>G19*J19/100</f>
        <v>0</v>
      </c>
      <c r="I19" s="71" t="s">
        <v>1744</v>
      </c>
      <c r="J19" s="72"/>
      <c r="K19" s="157"/>
      <c r="L19" s="157"/>
      <c r="M19" s="73">
        <f>L19*O19/100</f>
        <v>0</v>
      </c>
      <c r="N19" s="74" t="s">
        <v>1744</v>
      </c>
      <c r="O19" s="75"/>
      <c r="P19" s="156"/>
      <c r="Q19" s="156"/>
      <c r="R19" s="70">
        <f>Q19*T19/100</f>
        <v>0</v>
      </c>
      <c r="S19" s="71" t="s">
        <v>1744</v>
      </c>
      <c r="T19" s="72"/>
      <c r="U19" s="157"/>
      <c r="V19" s="157"/>
      <c r="W19" s="73">
        <f>V19*Y19/100</f>
        <v>0</v>
      </c>
      <c r="X19" s="74" t="s">
        <v>1744</v>
      </c>
      <c r="Y19" s="75"/>
      <c r="Z19" s="156"/>
      <c r="AA19" s="156"/>
      <c r="AB19" s="70">
        <f>AA19*AD19/100</f>
        <v>0</v>
      </c>
      <c r="AC19" s="71" t="s">
        <v>1744</v>
      </c>
      <c r="AD19" s="72"/>
      <c r="AE19" s="157"/>
      <c r="AF19" s="157"/>
      <c r="AG19" s="73">
        <f>AF19*AI19/100</f>
        <v>0</v>
      </c>
      <c r="AH19" s="74" t="s">
        <v>1744</v>
      </c>
      <c r="AI19" s="75"/>
      <c r="AJ19" s="156"/>
      <c r="AK19" s="156"/>
      <c r="AL19" s="70">
        <f>AK19*AN19/100</f>
        <v>0</v>
      </c>
      <c r="AM19" s="71" t="s">
        <v>1744</v>
      </c>
      <c r="AN19" s="72"/>
    </row>
    <row r="20" spans="1:40" ht="15" customHeight="1">
      <c r="A20" s="155"/>
      <c r="B20" s="155"/>
      <c r="C20" s="155"/>
      <c r="D20" s="68">
        <f t="shared" si="0"/>
        <v>0</v>
      </c>
      <c r="E20" s="68">
        <f>人员信息!E31</f>
        <v>21.318000000000001</v>
      </c>
      <c r="F20" s="156"/>
      <c r="G20" s="156"/>
      <c r="H20" s="70">
        <f>G19*J20/100</f>
        <v>0</v>
      </c>
      <c r="I20" s="70" t="s">
        <v>1745</v>
      </c>
      <c r="J20" s="72"/>
      <c r="K20" s="157"/>
      <c r="L20" s="157"/>
      <c r="M20" s="73">
        <f>L19*O20/100</f>
        <v>0</v>
      </c>
      <c r="N20" s="73" t="s">
        <v>1745</v>
      </c>
      <c r="O20" s="75"/>
      <c r="P20" s="156"/>
      <c r="Q20" s="156"/>
      <c r="R20" s="70">
        <f>Q19*T20/100</f>
        <v>0</v>
      </c>
      <c r="S20" s="70" t="s">
        <v>1745</v>
      </c>
      <c r="T20" s="72"/>
      <c r="U20" s="157"/>
      <c r="V20" s="157"/>
      <c r="W20" s="73">
        <f>V19*Y20/100</f>
        <v>0</v>
      </c>
      <c r="X20" s="73" t="s">
        <v>1745</v>
      </c>
      <c r="Y20" s="75"/>
      <c r="Z20" s="156"/>
      <c r="AA20" s="156"/>
      <c r="AB20" s="70">
        <f>AA19*AD20/100</f>
        <v>0</v>
      </c>
      <c r="AC20" s="70" t="s">
        <v>1745</v>
      </c>
      <c r="AD20" s="72"/>
      <c r="AE20" s="157"/>
      <c r="AF20" s="157"/>
      <c r="AG20" s="73">
        <f>AF19*AI20/100</f>
        <v>0</v>
      </c>
      <c r="AH20" s="73" t="s">
        <v>1745</v>
      </c>
      <c r="AI20" s="75"/>
      <c r="AJ20" s="156"/>
      <c r="AK20" s="156"/>
      <c r="AL20" s="70">
        <f>AK19*AN20/100</f>
        <v>0</v>
      </c>
      <c r="AM20" s="70" t="s">
        <v>1745</v>
      </c>
      <c r="AN20" s="72"/>
    </row>
    <row r="21" spans="1:40" ht="15" customHeight="1">
      <c r="A21" s="155"/>
      <c r="B21" s="155"/>
      <c r="C21" s="155"/>
      <c r="D21" s="68">
        <f t="shared" si="0"/>
        <v>0</v>
      </c>
      <c r="E21" s="76"/>
      <c r="F21" s="156"/>
      <c r="G21" s="156"/>
      <c r="H21" s="70">
        <f>G19*J21/100</f>
        <v>0</v>
      </c>
      <c r="I21" s="70" t="s">
        <v>1746</v>
      </c>
      <c r="J21" s="72"/>
      <c r="K21" s="157"/>
      <c r="L21" s="157"/>
      <c r="M21" s="73">
        <f>L19*O21/100</f>
        <v>0</v>
      </c>
      <c r="N21" s="73" t="s">
        <v>1746</v>
      </c>
      <c r="O21" s="75"/>
      <c r="P21" s="156"/>
      <c r="Q21" s="156"/>
      <c r="R21" s="70">
        <f>Q19*T21/100</f>
        <v>0</v>
      </c>
      <c r="S21" s="70" t="s">
        <v>1746</v>
      </c>
      <c r="T21" s="72"/>
      <c r="U21" s="157"/>
      <c r="V21" s="157"/>
      <c r="W21" s="73">
        <f>V19*Y21/100</f>
        <v>0</v>
      </c>
      <c r="X21" s="73" t="s">
        <v>1746</v>
      </c>
      <c r="Y21" s="75"/>
      <c r="Z21" s="156"/>
      <c r="AA21" s="156"/>
      <c r="AB21" s="70">
        <f>AA19*AD21/100</f>
        <v>0</v>
      </c>
      <c r="AC21" s="70" t="s">
        <v>1746</v>
      </c>
      <c r="AD21" s="72"/>
      <c r="AE21" s="157"/>
      <c r="AF21" s="157"/>
      <c r="AG21" s="73">
        <f>AF19*AI21/100</f>
        <v>0</v>
      </c>
      <c r="AH21" s="73" t="s">
        <v>1746</v>
      </c>
      <c r="AI21" s="75"/>
      <c r="AJ21" s="156"/>
      <c r="AK21" s="156"/>
      <c r="AL21" s="70">
        <f>AK19*AN21/100</f>
        <v>0</v>
      </c>
      <c r="AM21" s="70" t="s">
        <v>1746</v>
      </c>
      <c r="AN21" s="72"/>
    </row>
    <row r="22" spans="1:40" ht="15" customHeight="1">
      <c r="A22" s="155"/>
      <c r="B22" s="155"/>
      <c r="C22" s="158" t="s">
        <v>1798</v>
      </c>
      <c r="D22" s="68">
        <f t="shared" si="0"/>
        <v>0</v>
      </c>
      <c r="E22" s="68">
        <f>人员信息!E30</f>
        <v>33.105600000000003</v>
      </c>
      <c r="F22" s="156"/>
      <c r="G22" s="156"/>
      <c r="H22" s="70">
        <f>G22*J22/100</f>
        <v>0</v>
      </c>
      <c r="I22" s="71" t="s">
        <v>1744</v>
      </c>
      <c r="J22" s="72"/>
      <c r="K22" s="157"/>
      <c r="L22" s="157"/>
      <c r="M22" s="73">
        <f>L22*O22/100</f>
        <v>0</v>
      </c>
      <c r="N22" s="74" t="s">
        <v>1744</v>
      </c>
      <c r="O22" s="75"/>
      <c r="P22" s="156"/>
      <c r="Q22" s="156"/>
      <c r="R22" s="70">
        <f>Q22*T22/100</f>
        <v>0</v>
      </c>
      <c r="S22" s="71" t="s">
        <v>1744</v>
      </c>
      <c r="T22" s="72"/>
      <c r="U22" s="157"/>
      <c r="V22" s="157"/>
      <c r="W22" s="73">
        <f>V22*Y22/100</f>
        <v>0</v>
      </c>
      <c r="X22" s="74" t="s">
        <v>1744</v>
      </c>
      <c r="Y22" s="75"/>
      <c r="Z22" s="156"/>
      <c r="AA22" s="156"/>
      <c r="AB22" s="70">
        <f>AA22*AD22/100</f>
        <v>0</v>
      </c>
      <c r="AC22" s="71" t="s">
        <v>1744</v>
      </c>
      <c r="AD22" s="72"/>
      <c r="AE22" s="157"/>
      <c r="AF22" s="157"/>
      <c r="AG22" s="73">
        <f>AF22*AI22/100</f>
        <v>0</v>
      </c>
      <c r="AH22" s="74" t="s">
        <v>1744</v>
      </c>
      <c r="AI22" s="75"/>
      <c r="AJ22" s="156"/>
      <c r="AK22" s="156"/>
      <c r="AL22" s="70">
        <f>AK22*AN22/100</f>
        <v>0</v>
      </c>
      <c r="AM22" s="71" t="s">
        <v>1744</v>
      </c>
      <c r="AN22" s="72"/>
    </row>
    <row r="23" spans="1:40" ht="15" customHeight="1">
      <c r="A23" s="155"/>
      <c r="B23" s="155"/>
      <c r="C23" s="155"/>
      <c r="D23" s="68">
        <f t="shared" si="0"/>
        <v>0</v>
      </c>
      <c r="E23" s="68">
        <f>人员信息!E31</f>
        <v>21.318000000000001</v>
      </c>
      <c r="F23" s="156"/>
      <c r="G23" s="156"/>
      <c r="H23" s="70">
        <f>G22*J23/100</f>
        <v>0</v>
      </c>
      <c r="I23" s="70" t="s">
        <v>1745</v>
      </c>
      <c r="J23" s="72"/>
      <c r="K23" s="157"/>
      <c r="L23" s="157"/>
      <c r="M23" s="73">
        <f>L22*O23/100</f>
        <v>0</v>
      </c>
      <c r="N23" s="73" t="s">
        <v>1745</v>
      </c>
      <c r="O23" s="75"/>
      <c r="P23" s="156"/>
      <c r="Q23" s="156"/>
      <c r="R23" s="70">
        <f>Q22*T23/100</f>
        <v>0</v>
      </c>
      <c r="S23" s="70" t="s">
        <v>1745</v>
      </c>
      <c r="T23" s="72"/>
      <c r="U23" s="157"/>
      <c r="V23" s="157"/>
      <c r="W23" s="73">
        <f>V22*Y23/100</f>
        <v>0</v>
      </c>
      <c r="X23" s="73" t="s">
        <v>1745</v>
      </c>
      <c r="Y23" s="75"/>
      <c r="Z23" s="156"/>
      <c r="AA23" s="156"/>
      <c r="AB23" s="70">
        <f>AA22*AD23/100</f>
        <v>0</v>
      </c>
      <c r="AC23" s="70" t="s">
        <v>1745</v>
      </c>
      <c r="AD23" s="72"/>
      <c r="AE23" s="157"/>
      <c r="AF23" s="157"/>
      <c r="AG23" s="73">
        <f>AF22*AI23/100</f>
        <v>0</v>
      </c>
      <c r="AH23" s="73" t="s">
        <v>1745</v>
      </c>
      <c r="AI23" s="75"/>
      <c r="AJ23" s="156"/>
      <c r="AK23" s="156"/>
      <c r="AL23" s="70">
        <f>AK22*AN23/100</f>
        <v>0</v>
      </c>
      <c r="AM23" s="70" t="s">
        <v>1745</v>
      </c>
      <c r="AN23" s="72"/>
    </row>
    <row r="24" spans="1:40" ht="15" customHeight="1">
      <c r="A24" s="155"/>
      <c r="B24" s="155"/>
      <c r="C24" s="155"/>
      <c r="D24" s="68">
        <f t="shared" si="0"/>
        <v>0</v>
      </c>
      <c r="E24" s="76"/>
      <c r="F24" s="156"/>
      <c r="G24" s="156"/>
      <c r="H24" s="70">
        <f>G22*J24/100</f>
        <v>0</v>
      </c>
      <c r="I24" s="70" t="s">
        <v>1746</v>
      </c>
      <c r="J24" s="72"/>
      <c r="K24" s="157"/>
      <c r="L24" s="157"/>
      <c r="M24" s="73">
        <f>L22*O24/100</f>
        <v>0</v>
      </c>
      <c r="N24" s="73" t="s">
        <v>1746</v>
      </c>
      <c r="O24" s="75"/>
      <c r="P24" s="156"/>
      <c r="Q24" s="156"/>
      <c r="R24" s="70">
        <f>Q22*T24/100</f>
        <v>0</v>
      </c>
      <c r="S24" s="70" t="s">
        <v>1746</v>
      </c>
      <c r="T24" s="72"/>
      <c r="U24" s="157"/>
      <c r="V24" s="157"/>
      <c r="W24" s="73">
        <f>V22*Y24/100</f>
        <v>0</v>
      </c>
      <c r="X24" s="73" t="s">
        <v>1746</v>
      </c>
      <c r="Y24" s="75"/>
      <c r="Z24" s="156"/>
      <c r="AA24" s="156"/>
      <c r="AB24" s="70">
        <f>AA22*AD24/100</f>
        <v>0</v>
      </c>
      <c r="AC24" s="70" t="s">
        <v>1746</v>
      </c>
      <c r="AD24" s="72"/>
      <c r="AE24" s="157"/>
      <c r="AF24" s="157"/>
      <c r="AG24" s="73">
        <f>AF22*AI24/100</f>
        <v>0</v>
      </c>
      <c r="AH24" s="73" t="s">
        <v>1746</v>
      </c>
      <c r="AI24" s="75"/>
      <c r="AJ24" s="156"/>
      <c r="AK24" s="156"/>
      <c r="AL24" s="70">
        <f>AK22*AN24/100</f>
        <v>0</v>
      </c>
      <c r="AM24" s="70" t="s">
        <v>1746</v>
      </c>
      <c r="AN24" s="72"/>
    </row>
    <row r="25" spans="1:40" ht="15" customHeight="1">
      <c r="A25" s="158" t="s">
        <v>1758</v>
      </c>
      <c r="B25" s="155" t="s">
        <v>1761</v>
      </c>
      <c r="C25" s="158" t="s">
        <v>1799</v>
      </c>
      <c r="D25" s="68">
        <f t="shared" si="0"/>
        <v>58.57</v>
      </c>
      <c r="E25" s="68">
        <f>人员信息!F30</f>
        <v>57.934800000000003</v>
      </c>
      <c r="F25" s="156" t="s">
        <v>280</v>
      </c>
      <c r="G25" s="156">
        <v>70</v>
      </c>
      <c r="H25" s="70">
        <f>G25*(J25/100)</f>
        <v>38.57</v>
      </c>
      <c r="I25" s="71" t="s">
        <v>1752</v>
      </c>
      <c r="J25" s="72">
        <v>55.1</v>
      </c>
      <c r="K25" s="157" t="s">
        <v>1770</v>
      </c>
      <c r="L25" s="157">
        <v>150</v>
      </c>
      <c r="M25" s="73">
        <f>L25*(O25/100)</f>
        <v>3.6</v>
      </c>
      <c r="N25" s="74" t="s">
        <v>1744</v>
      </c>
      <c r="O25" s="75">
        <v>2.4</v>
      </c>
      <c r="P25" s="156" t="s">
        <v>1838</v>
      </c>
      <c r="Q25" s="156">
        <v>100</v>
      </c>
      <c r="R25" s="70">
        <f>Q25*(T25/100)</f>
        <v>16.399999999999999</v>
      </c>
      <c r="S25" s="71" t="s">
        <v>1744</v>
      </c>
      <c r="T25" s="72">
        <v>16.399999999999999</v>
      </c>
      <c r="U25" s="157"/>
      <c r="V25" s="157"/>
      <c r="W25" s="73">
        <f>V25*(Y25/100)</f>
        <v>0</v>
      </c>
      <c r="X25" s="74" t="s">
        <v>1744</v>
      </c>
      <c r="Y25" s="75"/>
      <c r="Z25" s="156"/>
      <c r="AA25" s="156"/>
      <c r="AB25" s="70">
        <f>AA25*(AD25/100)</f>
        <v>0</v>
      </c>
      <c r="AC25" s="71" t="s">
        <v>1752</v>
      </c>
      <c r="AD25" s="72"/>
      <c r="AE25" s="157"/>
      <c r="AF25" s="157"/>
      <c r="AG25" s="73">
        <f>AF25*(AI25/100)</f>
        <v>0</v>
      </c>
      <c r="AH25" s="74" t="s">
        <v>1744</v>
      </c>
      <c r="AI25" s="75"/>
      <c r="AJ25" s="156"/>
      <c r="AK25" s="156"/>
      <c r="AL25" s="70">
        <f>AK25*(AN25/100)</f>
        <v>0</v>
      </c>
      <c r="AM25" s="71" t="s">
        <v>1744</v>
      </c>
      <c r="AN25" s="72"/>
    </row>
    <row r="26" spans="1:40" ht="15" customHeight="1">
      <c r="A26" s="155"/>
      <c r="B26" s="155"/>
      <c r="C26" s="155"/>
      <c r="D26" s="68">
        <f t="shared" si="0"/>
        <v>39.650000000000006</v>
      </c>
      <c r="E26" s="68">
        <f>人员信息!F31</f>
        <v>37.3065</v>
      </c>
      <c r="F26" s="156"/>
      <c r="G26" s="156"/>
      <c r="H26" s="70">
        <f>G25*(J26/100)</f>
        <v>9.8000000000000007</v>
      </c>
      <c r="I26" s="70" t="s">
        <v>1745</v>
      </c>
      <c r="J26" s="72">
        <v>14</v>
      </c>
      <c r="K26" s="157"/>
      <c r="L26" s="157"/>
      <c r="M26" s="73">
        <f>L25*(O26/100)</f>
        <v>19.650000000000002</v>
      </c>
      <c r="N26" s="73" t="s">
        <v>1745</v>
      </c>
      <c r="O26" s="75">
        <v>13.1</v>
      </c>
      <c r="P26" s="156"/>
      <c r="Q26" s="156"/>
      <c r="R26" s="70">
        <f>Q25*(T26/100)</f>
        <v>10.199999999999999</v>
      </c>
      <c r="S26" s="70" t="s">
        <v>1745</v>
      </c>
      <c r="T26" s="72">
        <v>10.199999999999999</v>
      </c>
      <c r="U26" s="157"/>
      <c r="V26" s="157"/>
      <c r="W26" s="73">
        <f>V25*(Y26/100)</f>
        <v>0</v>
      </c>
      <c r="X26" s="73" t="s">
        <v>1745</v>
      </c>
      <c r="Y26" s="75"/>
      <c r="Z26" s="156"/>
      <c r="AA26" s="156"/>
      <c r="AB26" s="70">
        <f>AA25*(AD26/100)</f>
        <v>0</v>
      </c>
      <c r="AC26" s="70" t="s">
        <v>1745</v>
      </c>
      <c r="AD26" s="72"/>
      <c r="AE26" s="157"/>
      <c r="AF26" s="157"/>
      <c r="AG26" s="73">
        <f>AF25*(AI26/100)</f>
        <v>0</v>
      </c>
      <c r="AH26" s="73" t="s">
        <v>1745</v>
      </c>
      <c r="AI26" s="75"/>
      <c r="AJ26" s="156"/>
      <c r="AK26" s="156"/>
      <c r="AL26" s="70">
        <f>AK25*(AN26/100)</f>
        <v>0</v>
      </c>
      <c r="AM26" s="70" t="s">
        <v>1745</v>
      </c>
      <c r="AN26" s="72"/>
    </row>
    <row r="27" spans="1:40" ht="15" customHeight="1">
      <c r="A27" s="155"/>
      <c r="B27" s="155"/>
      <c r="C27" s="155"/>
      <c r="D27" s="68">
        <f t="shared" si="0"/>
        <v>34.61</v>
      </c>
      <c r="E27" s="76"/>
      <c r="F27" s="156"/>
      <c r="G27" s="156"/>
      <c r="H27" s="70">
        <f>G25*(J27/100)</f>
        <v>7.2100000000000009</v>
      </c>
      <c r="I27" s="70" t="s">
        <v>1746</v>
      </c>
      <c r="J27" s="72">
        <v>10.3</v>
      </c>
      <c r="K27" s="157"/>
      <c r="L27" s="157"/>
      <c r="M27" s="73">
        <f>L25*(O27/100)</f>
        <v>12.899999999999999</v>
      </c>
      <c r="N27" s="73" t="s">
        <v>1746</v>
      </c>
      <c r="O27" s="75">
        <v>8.6</v>
      </c>
      <c r="P27" s="156"/>
      <c r="Q27" s="156"/>
      <c r="R27" s="70">
        <f>Q25*(T27/100)</f>
        <v>14.499999999999998</v>
      </c>
      <c r="S27" s="70" t="s">
        <v>1746</v>
      </c>
      <c r="T27" s="72">
        <v>14.5</v>
      </c>
      <c r="U27" s="157"/>
      <c r="V27" s="157"/>
      <c r="W27" s="73">
        <f>V25*(Y27/100)</f>
        <v>0</v>
      </c>
      <c r="X27" s="73" t="s">
        <v>1746</v>
      </c>
      <c r="Y27" s="75"/>
      <c r="Z27" s="156"/>
      <c r="AA27" s="156"/>
      <c r="AB27" s="70">
        <f>AA25*(AD27/100)</f>
        <v>0</v>
      </c>
      <c r="AC27" s="70" t="s">
        <v>1746</v>
      </c>
      <c r="AD27" s="72"/>
      <c r="AE27" s="157"/>
      <c r="AF27" s="157"/>
      <c r="AG27" s="73">
        <f>AF25*(AI27/100)</f>
        <v>0</v>
      </c>
      <c r="AH27" s="73" t="s">
        <v>1746</v>
      </c>
      <c r="AI27" s="75"/>
      <c r="AJ27" s="156"/>
      <c r="AK27" s="156"/>
      <c r="AL27" s="70">
        <f>AK25*(AN27/100)</f>
        <v>0</v>
      </c>
      <c r="AM27" s="70" t="s">
        <v>1746</v>
      </c>
      <c r="AN27" s="72"/>
    </row>
    <row r="28" spans="1:40" ht="15" customHeight="1">
      <c r="A28" s="155"/>
      <c r="B28" s="155"/>
      <c r="C28" s="158" t="s">
        <v>1800</v>
      </c>
      <c r="D28" s="68">
        <f t="shared" si="0"/>
        <v>56.48</v>
      </c>
      <c r="E28" s="68">
        <f>人员信息!F30</f>
        <v>57.934800000000003</v>
      </c>
      <c r="F28" s="156" t="s">
        <v>232</v>
      </c>
      <c r="G28" s="156">
        <v>180</v>
      </c>
      <c r="H28" s="70">
        <f>G28*(J28/100)</f>
        <v>45</v>
      </c>
      <c r="I28" s="71" t="s">
        <v>1744</v>
      </c>
      <c r="J28" s="72">
        <v>25</v>
      </c>
      <c r="K28" s="157" t="s">
        <v>1776</v>
      </c>
      <c r="L28" s="157">
        <v>280</v>
      </c>
      <c r="M28" s="73">
        <f>L28*(O28/100)</f>
        <v>11.479999999999999</v>
      </c>
      <c r="N28" s="74" t="s">
        <v>1744</v>
      </c>
      <c r="O28" s="75">
        <v>4.0999999999999996</v>
      </c>
      <c r="P28" s="156" t="s">
        <v>1783</v>
      </c>
      <c r="Q28" s="156">
        <v>125</v>
      </c>
      <c r="R28" s="70">
        <f>Q28*(T28/100)</f>
        <v>0</v>
      </c>
      <c r="S28" s="71" t="s">
        <v>1744</v>
      </c>
      <c r="T28" s="72"/>
      <c r="U28" s="157"/>
      <c r="V28" s="157"/>
      <c r="W28" s="73">
        <f>V28*(Y28/100)</f>
        <v>0</v>
      </c>
      <c r="X28" s="74" t="s">
        <v>1744</v>
      </c>
      <c r="Y28" s="75"/>
      <c r="Z28" s="156"/>
      <c r="AA28" s="156"/>
      <c r="AB28" s="70">
        <f>AA28*(AD28/100)</f>
        <v>0</v>
      </c>
      <c r="AC28" s="71" t="s">
        <v>1744</v>
      </c>
      <c r="AD28" s="72"/>
      <c r="AE28" s="157"/>
      <c r="AF28" s="157"/>
      <c r="AG28" s="73">
        <f>AF28*(AI28/100)</f>
        <v>0</v>
      </c>
      <c r="AH28" s="74" t="s">
        <v>1744</v>
      </c>
      <c r="AI28" s="75"/>
      <c r="AJ28" s="156"/>
      <c r="AK28" s="156"/>
      <c r="AL28" s="70">
        <f>AK28*(AN28/100)</f>
        <v>0</v>
      </c>
      <c r="AM28" s="71" t="s">
        <v>1744</v>
      </c>
      <c r="AN28" s="72"/>
    </row>
    <row r="29" spans="1:40" ht="15" customHeight="1">
      <c r="A29" s="155"/>
      <c r="B29" s="155"/>
      <c r="C29" s="155"/>
      <c r="D29" s="68">
        <f t="shared" si="0"/>
        <v>41.685000000000002</v>
      </c>
      <c r="E29" s="68">
        <f>人员信息!F31</f>
        <v>37.3065</v>
      </c>
      <c r="F29" s="156"/>
      <c r="G29" s="156"/>
      <c r="H29" s="70">
        <f>G28*(J29/100)</f>
        <v>0</v>
      </c>
      <c r="I29" s="70" t="s">
        <v>1745</v>
      </c>
      <c r="J29" s="72"/>
      <c r="K29" s="157"/>
      <c r="L29" s="157"/>
      <c r="M29" s="73">
        <f>L28*(O29/100)</f>
        <v>7.5600000000000005</v>
      </c>
      <c r="N29" s="73" t="s">
        <v>1745</v>
      </c>
      <c r="O29" s="75">
        <v>2.7</v>
      </c>
      <c r="P29" s="156"/>
      <c r="Q29" s="156"/>
      <c r="R29" s="70">
        <f>Q28*(T29/100)</f>
        <v>34.125</v>
      </c>
      <c r="S29" s="70" t="s">
        <v>1745</v>
      </c>
      <c r="T29" s="72">
        <v>27.3</v>
      </c>
      <c r="U29" s="157"/>
      <c r="V29" s="157"/>
      <c r="W29" s="73">
        <f>V28*(Y29/100)</f>
        <v>0</v>
      </c>
      <c r="X29" s="73" t="s">
        <v>1745</v>
      </c>
      <c r="Y29" s="75"/>
      <c r="Z29" s="156"/>
      <c r="AA29" s="156"/>
      <c r="AB29" s="70">
        <f>AA28*(AD29/100)</f>
        <v>0</v>
      </c>
      <c r="AC29" s="70" t="s">
        <v>1745</v>
      </c>
      <c r="AD29" s="72"/>
      <c r="AE29" s="157"/>
      <c r="AF29" s="157"/>
      <c r="AG29" s="73">
        <f>AF28*(AI29/100)</f>
        <v>0</v>
      </c>
      <c r="AH29" s="73" t="s">
        <v>1745</v>
      </c>
      <c r="AI29" s="75"/>
      <c r="AJ29" s="156"/>
      <c r="AK29" s="156"/>
      <c r="AL29" s="70">
        <f>AK28*(AN29/100)</f>
        <v>0</v>
      </c>
      <c r="AM29" s="70" t="s">
        <v>1745</v>
      </c>
      <c r="AN29" s="72"/>
    </row>
    <row r="30" spans="1:40" ht="15" customHeight="1">
      <c r="A30" s="155"/>
      <c r="B30" s="155"/>
      <c r="C30" s="155"/>
      <c r="D30" s="68">
        <f t="shared" si="0"/>
        <v>8.6549999999999994</v>
      </c>
      <c r="E30" s="76"/>
      <c r="F30" s="156"/>
      <c r="G30" s="156"/>
      <c r="H30" s="70">
        <f>G28*(J30/100)</f>
        <v>0</v>
      </c>
      <c r="I30" s="70" t="s">
        <v>1746</v>
      </c>
      <c r="J30" s="72"/>
      <c r="K30" s="157"/>
      <c r="L30" s="157"/>
      <c r="M30" s="73">
        <f>L28*(O30/100)</f>
        <v>0.28000000000000003</v>
      </c>
      <c r="N30" s="73" t="s">
        <v>1746</v>
      </c>
      <c r="O30" s="75">
        <v>0.1</v>
      </c>
      <c r="P30" s="156"/>
      <c r="Q30" s="156"/>
      <c r="R30" s="70">
        <f>Q28*(T30/100)</f>
        <v>8.375</v>
      </c>
      <c r="S30" s="70" t="s">
        <v>1746</v>
      </c>
      <c r="T30" s="72">
        <v>6.7</v>
      </c>
      <c r="U30" s="157"/>
      <c r="V30" s="157"/>
      <c r="W30" s="73">
        <f>V28*(Y30/100)</f>
        <v>0</v>
      </c>
      <c r="X30" s="73" t="s">
        <v>1746</v>
      </c>
      <c r="Y30" s="75"/>
      <c r="Z30" s="156"/>
      <c r="AA30" s="156"/>
      <c r="AB30" s="70">
        <f>AA28*(AD30/100)</f>
        <v>0</v>
      </c>
      <c r="AC30" s="70" t="s">
        <v>1746</v>
      </c>
      <c r="AD30" s="72"/>
      <c r="AE30" s="157"/>
      <c r="AF30" s="157"/>
      <c r="AG30" s="73">
        <f>AF28*(AI30/100)</f>
        <v>0</v>
      </c>
      <c r="AH30" s="73" t="s">
        <v>1746</v>
      </c>
      <c r="AI30" s="75"/>
      <c r="AJ30" s="156"/>
      <c r="AK30" s="156"/>
      <c r="AL30" s="70">
        <f>AK28*(AN30/100)</f>
        <v>0</v>
      </c>
      <c r="AM30" s="70" t="s">
        <v>1746</v>
      </c>
      <c r="AN30" s="72"/>
    </row>
    <row r="31" spans="1:40" ht="15" customHeight="1">
      <c r="A31" s="155"/>
      <c r="B31" s="155"/>
      <c r="C31" s="158" t="s">
        <v>1801</v>
      </c>
      <c r="D31" s="68">
        <f t="shared" si="0"/>
        <v>60.49</v>
      </c>
      <c r="E31" s="68">
        <f>人员信息!F30</f>
        <v>57.934800000000003</v>
      </c>
      <c r="F31" s="156" t="s">
        <v>283</v>
      </c>
      <c r="G31" s="156">
        <v>65</v>
      </c>
      <c r="H31" s="70">
        <f>G31*J31/100</f>
        <v>49.92</v>
      </c>
      <c r="I31" s="71" t="s">
        <v>1744</v>
      </c>
      <c r="J31" s="72">
        <v>76.8</v>
      </c>
      <c r="K31" s="160" t="s">
        <v>1776</v>
      </c>
      <c r="L31" s="157">
        <v>170</v>
      </c>
      <c r="M31" s="73">
        <f>L31*O31/100</f>
        <v>6.9699999999999989</v>
      </c>
      <c r="N31" s="74" t="s">
        <v>1744</v>
      </c>
      <c r="O31" s="75">
        <v>4.0999999999999996</v>
      </c>
      <c r="P31" s="156" t="s">
        <v>1770</v>
      </c>
      <c r="Q31" s="156">
        <v>150</v>
      </c>
      <c r="R31" s="70">
        <f>Q31*T31/100</f>
        <v>3.6</v>
      </c>
      <c r="S31" s="71" t="s">
        <v>1744</v>
      </c>
      <c r="T31" s="72">
        <v>2.4</v>
      </c>
      <c r="U31" s="157"/>
      <c r="V31" s="157"/>
      <c r="W31" s="73">
        <f>V31*Y31/100</f>
        <v>0</v>
      </c>
      <c r="X31" s="74" t="s">
        <v>1744</v>
      </c>
      <c r="Y31" s="75"/>
      <c r="Z31" s="156"/>
      <c r="AA31" s="156"/>
      <c r="AB31" s="70">
        <f>AA31*AD31/100</f>
        <v>0</v>
      </c>
      <c r="AC31" s="71" t="s">
        <v>1744</v>
      </c>
      <c r="AD31" s="72"/>
      <c r="AE31" s="157"/>
      <c r="AF31" s="157"/>
      <c r="AG31" s="73">
        <f>AF31*AI31/100</f>
        <v>0</v>
      </c>
      <c r="AH31" s="74" t="s">
        <v>1744</v>
      </c>
      <c r="AI31" s="75"/>
      <c r="AJ31" s="156"/>
      <c r="AK31" s="156"/>
      <c r="AL31" s="70">
        <f>AK31*AN31/100</f>
        <v>0</v>
      </c>
      <c r="AM31" s="71" t="s">
        <v>1744</v>
      </c>
      <c r="AN31" s="72"/>
    </row>
    <row r="32" spans="1:40" ht="15" customHeight="1">
      <c r="A32" s="155"/>
      <c r="B32" s="155"/>
      <c r="C32" s="155"/>
      <c r="D32" s="68">
        <f t="shared" si="0"/>
        <v>32.17</v>
      </c>
      <c r="E32" s="68">
        <f>人员信息!F31</f>
        <v>37.3065</v>
      </c>
      <c r="F32" s="156"/>
      <c r="G32" s="156"/>
      <c r="H32" s="70">
        <f>G31*J32/100</f>
        <v>7.93</v>
      </c>
      <c r="I32" s="70" t="s">
        <v>1745</v>
      </c>
      <c r="J32" s="72">
        <v>12.2</v>
      </c>
      <c r="K32" s="157"/>
      <c r="L32" s="157"/>
      <c r="M32" s="73">
        <f>L31*O32/100</f>
        <v>4.5900000000000007</v>
      </c>
      <c r="N32" s="73" t="s">
        <v>1745</v>
      </c>
      <c r="O32" s="75">
        <v>2.7</v>
      </c>
      <c r="P32" s="156"/>
      <c r="Q32" s="156"/>
      <c r="R32" s="70">
        <f>Q31*T32/100</f>
        <v>19.649999999999999</v>
      </c>
      <c r="S32" s="70" t="s">
        <v>1745</v>
      </c>
      <c r="T32" s="72">
        <v>13.1</v>
      </c>
      <c r="U32" s="157"/>
      <c r="V32" s="157"/>
      <c r="W32" s="73">
        <f>V31*Y32/100</f>
        <v>0</v>
      </c>
      <c r="X32" s="73" t="s">
        <v>1745</v>
      </c>
      <c r="Y32" s="75"/>
      <c r="Z32" s="156"/>
      <c r="AA32" s="156"/>
      <c r="AB32" s="70">
        <f>AA31*AD32/100</f>
        <v>0</v>
      </c>
      <c r="AC32" s="70" t="s">
        <v>1745</v>
      </c>
      <c r="AD32" s="72"/>
      <c r="AE32" s="157"/>
      <c r="AF32" s="157"/>
      <c r="AG32" s="73">
        <f>AF31*AI32/100</f>
        <v>0</v>
      </c>
      <c r="AH32" s="73" t="s">
        <v>1745</v>
      </c>
      <c r="AI32" s="75"/>
      <c r="AJ32" s="156"/>
      <c r="AK32" s="156"/>
      <c r="AL32" s="70">
        <f>AK31*AN32/100</f>
        <v>0</v>
      </c>
      <c r="AM32" s="70" t="s">
        <v>1745</v>
      </c>
      <c r="AN32" s="72"/>
    </row>
    <row r="33" spans="1:40" ht="15" customHeight="1">
      <c r="A33" s="155"/>
      <c r="B33" s="155"/>
      <c r="C33" s="155"/>
      <c r="D33" s="68">
        <f t="shared" si="0"/>
        <v>13.59</v>
      </c>
      <c r="E33" s="76"/>
      <c r="F33" s="156"/>
      <c r="G33" s="156"/>
      <c r="H33" s="70">
        <f>G31*J33/100</f>
        <v>0.52</v>
      </c>
      <c r="I33" s="70" t="s">
        <v>1746</v>
      </c>
      <c r="J33" s="72">
        <v>0.8</v>
      </c>
      <c r="K33" s="157"/>
      <c r="L33" s="157"/>
      <c r="M33" s="73">
        <f>L31*O33/100</f>
        <v>0.17</v>
      </c>
      <c r="N33" s="73" t="s">
        <v>1746</v>
      </c>
      <c r="O33" s="75">
        <v>0.1</v>
      </c>
      <c r="P33" s="156"/>
      <c r="Q33" s="156"/>
      <c r="R33" s="70">
        <f>Q31*T33/100</f>
        <v>12.9</v>
      </c>
      <c r="S33" s="70" t="s">
        <v>1746</v>
      </c>
      <c r="T33" s="72">
        <v>8.6</v>
      </c>
      <c r="U33" s="157"/>
      <c r="V33" s="157"/>
      <c r="W33" s="73">
        <f>V31*Y33/100</f>
        <v>0</v>
      </c>
      <c r="X33" s="73" t="s">
        <v>1746</v>
      </c>
      <c r="Y33" s="75"/>
      <c r="Z33" s="156"/>
      <c r="AA33" s="156"/>
      <c r="AB33" s="70">
        <f>AA31*AD33/100</f>
        <v>0</v>
      </c>
      <c r="AC33" s="70" t="s">
        <v>1746</v>
      </c>
      <c r="AD33" s="72"/>
      <c r="AE33" s="157"/>
      <c r="AF33" s="157"/>
      <c r="AG33" s="73">
        <f>AF31*AI33/100</f>
        <v>0</v>
      </c>
      <c r="AH33" s="73" t="s">
        <v>1746</v>
      </c>
      <c r="AI33" s="75"/>
      <c r="AJ33" s="156"/>
      <c r="AK33" s="156"/>
      <c r="AL33" s="70">
        <f>AK31*AN33/100</f>
        <v>0</v>
      </c>
      <c r="AM33" s="70" t="s">
        <v>1746</v>
      </c>
      <c r="AN33" s="72"/>
    </row>
    <row r="34" spans="1:40" ht="15" customHeight="1">
      <c r="A34" s="155"/>
      <c r="B34" s="155"/>
      <c r="C34" s="158" t="s">
        <v>1802</v>
      </c>
      <c r="D34" s="68">
        <f t="shared" si="0"/>
        <v>54.519999999999996</v>
      </c>
      <c r="E34" s="68">
        <f>人员信息!F30</f>
        <v>57.934800000000003</v>
      </c>
      <c r="F34" s="156" t="s">
        <v>232</v>
      </c>
      <c r="G34" s="156">
        <v>150</v>
      </c>
      <c r="H34" s="70">
        <f>G34*J34/100</f>
        <v>37.5</v>
      </c>
      <c r="I34" s="71" t="s">
        <v>1744</v>
      </c>
      <c r="J34" s="72">
        <v>25</v>
      </c>
      <c r="K34" s="157" t="s">
        <v>1775</v>
      </c>
      <c r="L34" s="157">
        <v>130</v>
      </c>
      <c r="M34" s="73">
        <f>L34*O34/100</f>
        <v>0</v>
      </c>
      <c r="N34" s="74" t="s">
        <v>1744</v>
      </c>
      <c r="O34" s="75"/>
      <c r="P34" s="156" t="s">
        <v>1786</v>
      </c>
      <c r="Q34" s="156">
        <v>230</v>
      </c>
      <c r="R34" s="70">
        <f>Q34*T34/100</f>
        <v>17.02</v>
      </c>
      <c r="S34" s="71" t="s">
        <v>1744</v>
      </c>
      <c r="T34" s="72">
        <v>7.4</v>
      </c>
      <c r="U34" s="157"/>
      <c r="V34" s="157"/>
      <c r="W34" s="73">
        <f>V34*Y34/100</f>
        <v>0</v>
      </c>
      <c r="X34" s="74" t="s">
        <v>1744</v>
      </c>
      <c r="Y34" s="75"/>
      <c r="Z34" s="156"/>
      <c r="AA34" s="156"/>
      <c r="AB34" s="70">
        <f>AA34*AD34/100</f>
        <v>0</v>
      </c>
      <c r="AC34" s="71" t="s">
        <v>1744</v>
      </c>
      <c r="AD34" s="72"/>
      <c r="AE34" s="157"/>
      <c r="AF34" s="157"/>
      <c r="AG34" s="73">
        <f>AF34*AI34/100</f>
        <v>0</v>
      </c>
      <c r="AH34" s="74" t="s">
        <v>1744</v>
      </c>
      <c r="AI34" s="75"/>
      <c r="AJ34" s="156"/>
      <c r="AK34" s="156"/>
      <c r="AL34" s="70">
        <f>AK34*AN34/100</f>
        <v>0</v>
      </c>
      <c r="AM34" s="71" t="s">
        <v>1744</v>
      </c>
      <c r="AN34" s="72"/>
    </row>
    <row r="35" spans="1:40" ht="15" customHeight="1">
      <c r="A35" s="155"/>
      <c r="B35" s="155"/>
      <c r="C35" s="155"/>
      <c r="D35" s="68">
        <f t="shared" si="0"/>
        <v>39.630000000000003</v>
      </c>
      <c r="E35" s="68">
        <f>人员信息!F31</f>
        <v>37.3065</v>
      </c>
      <c r="F35" s="156"/>
      <c r="G35" s="156"/>
      <c r="H35" s="70">
        <f>G34*J35/100</f>
        <v>0</v>
      </c>
      <c r="I35" s="70" t="s">
        <v>1745</v>
      </c>
      <c r="J35" s="72"/>
      <c r="K35" s="157"/>
      <c r="L35" s="157"/>
      <c r="M35" s="73">
        <f>L34*O35/100</f>
        <v>35.49</v>
      </c>
      <c r="N35" s="73" t="s">
        <v>1745</v>
      </c>
      <c r="O35" s="75">
        <v>27.3</v>
      </c>
      <c r="P35" s="156"/>
      <c r="Q35" s="156"/>
      <c r="R35" s="70">
        <f>Q34*T35/100</f>
        <v>4.1399999999999997</v>
      </c>
      <c r="S35" s="70" t="s">
        <v>1745</v>
      </c>
      <c r="T35" s="72">
        <v>1.8</v>
      </c>
      <c r="U35" s="157"/>
      <c r="V35" s="157"/>
      <c r="W35" s="73">
        <f>V34*Y35/100</f>
        <v>0</v>
      </c>
      <c r="X35" s="73" t="s">
        <v>1745</v>
      </c>
      <c r="Y35" s="75"/>
      <c r="Z35" s="156"/>
      <c r="AA35" s="156"/>
      <c r="AB35" s="70">
        <f>AA34*AD35/100</f>
        <v>0</v>
      </c>
      <c r="AC35" s="70" t="s">
        <v>1745</v>
      </c>
      <c r="AD35" s="72"/>
      <c r="AE35" s="157"/>
      <c r="AF35" s="157"/>
      <c r="AG35" s="73">
        <f>AF34*AI35/100</f>
        <v>0</v>
      </c>
      <c r="AH35" s="73" t="s">
        <v>1745</v>
      </c>
      <c r="AI35" s="75"/>
      <c r="AJ35" s="156"/>
      <c r="AK35" s="156"/>
      <c r="AL35" s="70">
        <f>AK34*AN35/100</f>
        <v>0</v>
      </c>
      <c r="AM35" s="70" t="s">
        <v>1745</v>
      </c>
      <c r="AN35" s="72"/>
    </row>
    <row r="36" spans="1:40" ht="15" customHeight="1">
      <c r="A36" s="155"/>
      <c r="B36" s="155"/>
      <c r="C36" s="155"/>
      <c r="D36" s="68">
        <f t="shared" si="0"/>
        <v>19.060000000000002</v>
      </c>
      <c r="E36" s="76"/>
      <c r="F36" s="156"/>
      <c r="G36" s="156"/>
      <c r="H36" s="70">
        <f>G34*J36/100</f>
        <v>0</v>
      </c>
      <c r="I36" s="70" t="s">
        <v>1746</v>
      </c>
      <c r="J36" s="72"/>
      <c r="K36" s="157"/>
      <c r="L36" s="157"/>
      <c r="M36" s="73">
        <f>L34*O36/100</f>
        <v>8.7100000000000009</v>
      </c>
      <c r="N36" s="73" t="s">
        <v>1746</v>
      </c>
      <c r="O36" s="75">
        <v>6.7</v>
      </c>
      <c r="P36" s="156"/>
      <c r="Q36" s="156"/>
      <c r="R36" s="70">
        <f>Q34*T36/100</f>
        <v>10.35</v>
      </c>
      <c r="S36" s="70" t="s">
        <v>1746</v>
      </c>
      <c r="T36" s="72">
        <v>4.5</v>
      </c>
      <c r="U36" s="157"/>
      <c r="V36" s="157"/>
      <c r="W36" s="73">
        <f>V34*Y36/100</f>
        <v>0</v>
      </c>
      <c r="X36" s="73" t="s">
        <v>1746</v>
      </c>
      <c r="Y36" s="75"/>
      <c r="Z36" s="156"/>
      <c r="AA36" s="156"/>
      <c r="AB36" s="70">
        <f>AA34*AD36/100</f>
        <v>0</v>
      </c>
      <c r="AC36" s="70" t="s">
        <v>1746</v>
      </c>
      <c r="AD36" s="72"/>
      <c r="AE36" s="157"/>
      <c r="AF36" s="157"/>
      <c r="AG36" s="73">
        <f>AF34*AI36/100</f>
        <v>0</v>
      </c>
      <c r="AH36" s="73" t="s">
        <v>1746</v>
      </c>
      <c r="AI36" s="75"/>
      <c r="AJ36" s="156"/>
      <c r="AK36" s="156"/>
      <c r="AL36" s="70">
        <f>AK34*AN36/100</f>
        <v>0</v>
      </c>
      <c r="AM36" s="70" t="s">
        <v>1746</v>
      </c>
      <c r="AN36" s="72"/>
    </row>
    <row r="37" spans="1:40" ht="15" customHeight="1">
      <c r="A37" s="155"/>
      <c r="B37" s="155"/>
      <c r="C37" s="158" t="s">
        <v>1803</v>
      </c>
      <c r="D37" s="68">
        <f t="shared" si="0"/>
        <v>62.5</v>
      </c>
      <c r="E37" s="68">
        <f>人员信息!F30</f>
        <v>57.934800000000003</v>
      </c>
      <c r="F37" s="156" t="s">
        <v>232</v>
      </c>
      <c r="G37" s="156">
        <v>250</v>
      </c>
      <c r="H37" s="70">
        <f>G37*J37/100</f>
        <v>62.5</v>
      </c>
      <c r="I37" s="71" t="s">
        <v>1744</v>
      </c>
      <c r="J37" s="72">
        <v>25</v>
      </c>
      <c r="K37" s="157" t="s">
        <v>1775</v>
      </c>
      <c r="L37" s="157">
        <v>140</v>
      </c>
      <c r="M37" s="73">
        <f>L37*O37/100</f>
        <v>0</v>
      </c>
      <c r="N37" s="74" t="s">
        <v>1744</v>
      </c>
      <c r="O37" s="75"/>
      <c r="P37" s="156"/>
      <c r="Q37" s="156"/>
      <c r="R37" s="70">
        <f>Q37*T37/100</f>
        <v>0</v>
      </c>
      <c r="S37" s="71" t="s">
        <v>1744</v>
      </c>
      <c r="T37" s="72"/>
      <c r="U37" s="157"/>
      <c r="V37" s="157"/>
      <c r="W37" s="73">
        <f>V37*Y37/100</f>
        <v>0</v>
      </c>
      <c r="X37" s="74" t="s">
        <v>1744</v>
      </c>
      <c r="Y37" s="75"/>
      <c r="Z37" s="156"/>
      <c r="AA37" s="156"/>
      <c r="AB37" s="70">
        <f>AA37*AD37/100</f>
        <v>0</v>
      </c>
      <c r="AC37" s="71" t="s">
        <v>1744</v>
      </c>
      <c r="AD37" s="72"/>
      <c r="AE37" s="157"/>
      <c r="AF37" s="157"/>
      <c r="AG37" s="73">
        <f>AF37*AI37/100</f>
        <v>0</v>
      </c>
      <c r="AH37" s="74" t="s">
        <v>1744</v>
      </c>
      <c r="AI37" s="75"/>
      <c r="AJ37" s="156"/>
      <c r="AK37" s="156"/>
      <c r="AL37" s="70">
        <f>AK37*AN37/100</f>
        <v>0</v>
      </c>
      <c r="AM37" s="71" t="s">
        <v>1744</v>
      </c>
      <c r="AN37" s="72"/>
    </row>
    <row r="38" spans="1:40" ht="15" customHeight="1">
      <c r="A38" s="155"/>
      <c r="B38" s="155"/>
      <c r="C38" s="155"/>
      <c r="D38" s="68">
        <f t="shared" si="0"/>
        <v>38.22</v>
      </c>
      <c r="E38" s="68">
        <f>人员信息!F31</f>
        <v>37.3065</v>
      </c>
      <c r="F38" s="156"/>
      <c r="G38" s="156"/>
      <c r="H38" s="70">
        <f>G37*J38/100</f>
        <v>0</v>
      </c>
      <c r="I38" s="70" t="s">
        <v>1745</v>
      </c>
      <c r="J38" s="72"/>
      <c r="K38" s="157"/>
      <c r="L38" s="157"/>
      <c r="M38" s="73">
        <f>L37*O38/100</f>
        <v>38.22</v>
      </c>
      <c r="N38" s="73" t="s">
        <v>1745</v>
      </c>
      <c r="O38" s="75">
        <v>27.3</v>
      </c>
      <c r="P38" s="156"/>
      <c r="Q38" s="156"/>
      <c r="R38" s="70">
        <f>Q37*T38/100</f>
        <v>0</v>
      </c>
      <c r="S38" s="70" t="s">
        <v>1745</v>
      </c>
      <c r="T38" s="72"/>
      <c r="U38" s="157"/>
      <c r="V38" s="157"/>
      <c r="W38" s="73">
        <f>V37*Y38/100</f>
        <v>0</v>
      </c>
      <c r="X38" s="73" t="s">
        <v>1745</v>
      </c>
      <c r="Y38" s="75"/>
      <c r="Z38" s="156"/>
      <c r="AA38" s="156"/>
      <c r="AB38" s="70">
        <f>AA37*AD38/100</f>
        <v>0</v>
      </c>
      <c r="AC38" s="70" t="s">
        <v>1745</v>
      </c>
      <c r="AD38" s="72"/>
      <c r="AE38" s="157"/>
      <c r="AF38" s="157"/>
      <c r="AG38" s="73">
        <f>AF37*AI38/100</f>
        <v>0</v>
      </c>
      <c r="AH38" s="73" t="s">
        <v>1745</v>
      </c>
      <c r="AI38" s="75"/>
      <c r="AJ38" s="156"/>
      <c r="AK38" s="156"/>
      <c r="AL38" s="70">
        <f>AK37*AN38/100</f>
        <v>0</v>
      </c>
      <c r="AM38" s="70" t="s">
        <v>1745</v>
      </c>
      <c r="AN38" s="72"/>
    </row>
    <row r="39" spans="1:40" ht="15" customHeight="1">
      <c r="A39" s="155"/>
      <c r="B39" s="155"/>
      <c r="C39" s="155"/>
      <c r="D39" s="68">
        <f t="shared" si="0"/>
        <v>9.3800000000000008</v>
      </c>
      <c r="E39" s="76"/>
      <c r="F39" s="156"/>
      <c r="G39" s="156"/>
      <c r="H39" s="70">
        <f>G37*J39/100</f>
        <v>0</v>
      </c>
      <c r="I39" s="70" t="s">
        <v>1746</v>
      </c>
      <c r="J39" s="72"/>
      <c r="K39" s="157"/>
      <c r="L39" s="157"/>
      <c r="M39" s="73">
        <f>L37*O39/100</f>
        <v>9.3800000000000008</v>
      </c>
      <c r="N39" s="73" t="s">
        <v>1746</v>
      </c>
      <c r="O39" s="75">
        <v>6.7</v>
      </c>
      <c r="P39" s="156"/>
      <c r="Q39" s="156"/>
      <c r="R39" s="70">
        <f>Q37*T39/100</f>
        <v>0</v>
      </c>
      <c r="S39" s="70" t="s">
        <v>1746</v>
      </c>
      <c r="T39" s="72"/>
      <c r="U39" s="157"/>
      <c r="V39" s="157"/>
      <c r="W39" s="73">
        <f>V37*Y39/100</f>
        <v>0</v>
      </c>
      <c r="X39" s="73" t="s">
        <v>1746</v>
      </c>
      <c r="Y39" s="75"/>
      <c r="Z39" s="156"/>
      <c r="AA39" s="156"/>
      <c r="AB39" s="70">
        <f>AA37*AD39/100</f>
        <v>0</v>
      </c>
      <c r="AC39" s="70" t="s">
        <v>1746</v>
      </c>
      <c r="AD39" s="72"/>
      <c r="AE39" s="157"/>
      <c r="AF39" s="157"/>
      <c r="AG39" s="73">
        <f>AF37*AI39/100</f>
        <v>0</v>
      </c>
      <c r="AH39" s="73" t="s">
        <v>1746</v>
      </c>
      <c r="AI39" s="75"/>
      <c r="AJ39" s="156"/>
      <c r="AK39" s="156"/>
      <c r="AL39" s="70">
        <f>AK37*AN39/100</f>
        <v>0</v>
      </c>
      <c r="AM39" s="70" t="s">
        <v>1746</v>
      </c>
      <c r="AN39" s="72"/>
    </row>
    <row r="40" spans="1:40" ht="15" customHeight="1">
      <c r="A40" s="155"/>
      <c r="B40" s="155"/>
      <c r="C40" s="158" t="s">
        <v>1804</v>
      </c>
      <c r="D40" s="68">
        <f t="shared" si="0"/>
        <v>60.96</v>
      </c>
      <c r="E40" s="68">
        <f>人员信息!F30</f>
        <v>57.934800000000003</v>
      </c>
      <c r="F40" s="156" t="s">
        <v>283</v>
      </c>
      <c r="G40" s="156">
        <v>65</v>
      </c>
      <c r="H40" s="70">
        <f>G40*J40/100</f>
        <v>49.92</v>
      </c>
      <c r="I40" s="71" t="s">
        <v>1744</v>
      </c>
      <c r="J40" s="72">
        <v>76.8</v>
      </c>
      <c r="K40" s="157" t="s">
        <v>1788</v>
      </c>
      <c r="L40" s="157">
        <v>360</v>
      </c>
      <c r="M40" s="73">
        <f>L40*O40/100</f>
        <v>8.64</v>
      </c>
      <c r="N40" s="74" t="s">
        <v>1744</v>
      </c>
      <c r="O40" s="75">
        <v>2.4</v>
      </c>
      <c r="P40" s="156" t="s">
        <v>1770</v>
      </c>
      <c r="Q40" s="156">
        <v>100</v>
      </c>
      <c r="R40" s="70">
        <f>Q40*T40/100</f>
        <v>2.4</v>
      </c>
      <c r="S40" s="71" t="s">
        <v>1744</v>
      </c>
      <c r="T40" s="72">
        <v>2.4</v>
      </c>
      <c r="U40" s="157"/>
      <c r="V40" s="157"/>
      <c r="W40" s="73">
        <f>V40*Y40/100</f>
        <v>0</v>
      </c>
      <c r="X40" s="74" t="s">
        <v>1744</v>
      </c>
      <c r="Y40" s="75"/>
      <c r="Z40" s="156"/>
      <c r="AA40" s="156"/>
      <c r="AB40" s="70">
        <f>AA40*AD40/100</f>
        <v>0</v>
      </c>
      <c r="AC40" s="71" t="s">
        <v>1744</v>
      </c>
      <c r="AD40" s="72"/>
      <c r="AE40" s="157"/>
      <c r="AF40" s="157"/>
      <c r="AG40" s="73">
        <f>AF40*AI40/100</f>
        <v>0</v>
      </c>
      <c r="AH40" s="74" t="s">
        <v>1744</v>
      </c>
      <c r="AI40" s="75"/>
      <c r="AJ40" s="156"/>
      <c r="AK40" s="156"/>
      <c r="AL40" s="70">
        <f>AK40*AN40/100</f>
        <v>0</v>
      </c>
      <c r="AM40" s="71" t="s">
        <v>1744</v>
      </c>
      <c r="AN40" s="72"/>
    </row>
    <row r="41" spans="1:40" ht="15" customHeight="1">
      <c r="A41" s="155"/>
      <c r="B41" s="155"/>
      <c r="C41" s="155"/>
      <c r="D41" s="68">
        <f t="shared" si="0"/>
        <v>27.869999999999997</v>
      </c>
      <c r="E41" s="68">
        <f>人员信息!F31</f>
        <v>37.3065</v>
      </c>
      <c r="F41" s="156"/>
      <c r="G41" s="156"/>
      <c r="H41" s="70">
        <f>G40*J41/100</f>
        <v>7.93</v>
      </c>
      <c r="I41" s="70" t="s">
        <v>1745</v>
      </c>
      <c r="J41" s="72">
        <v>12.2</v>
      </c>
      <c r="K41" s="157"/>
      <c r="L41" s="157"/>
      <c r="M41" s="73">
        <f>L40*O41/100</f>
        <v>6.84</v>
      </c>
      <c r="N41" s="73" t="s">
        <v>1745</v>
      </c>
      <c r="O41" s="75">
        <v>1.9</v>
      </c>
      <c r="P41" s="156"/>
      <c r="Q41" s="156"/>
      <c r="R41" s="70">
        <f>Q40*T41/100</f>
        <v>13.1</v>
      </c>
      <c r="S41" s="70" t="s">
        <v>1745</v>
      </c>
      <c r="T41" s="72">
        <v>13.1</v>
      </c>
      <c r="U41" s="157"/>
      <c r="V41" s="157"/>
      <c r="W41" s="73">
        <f>V40*Y41/100</f>
        <v>0</v>
      </c>
      <c r="X41" s="73" t="s">
        <v>1745</v>
      </c>
      <c r="Y41" s="75"/>
      <c r="Z41" s="156"/>
      <c r="AA41" s="156"/>
      <c r="AB41" s="70">
        <f>AA40*AD41/100</f>
        <v>0</v>
      </c>
      <c r="AC41" s="70" t="s">
        <v>1745</v>
      </c>
      <c r="AD41" s="72"/>
      <c r="AE41" s="157"/>
      <c r="AF41" s="157"/>
      <c r="AG41" s="73">
        <f>AF40*AI41/100</f>
        <v>0</v>
      </c>
      <c r="AH41" s="73" t="s">
        <v>1745</v>
      </c>
      <c r="AI41" s="75"/>
      <c r="AJ41" s="156"/>
      <c r="AK41" s="156"/>
      <c r="AL41" s="70">
        <f>AK40*AN41/100</f>
        <v>0</v>
      </c>
      <c r="AM41" s="70" t="s">
        <v>1745</v>
      </c>
      <c r="AN41" s="72"/>
    </row>
    <row r="42" spans="1:40" ht="15" customHeight="1">
      <c r="A42" s="155"/>
      <c r="B42" s="155"/>
      <c r="C42" s="155"/>
      <c r="D42" s="68">
        <f t="shared" si="0"/>
        <v>9.84</v>
      </c>
      <c r="E42" s="76"/>
      <c r="F42" s="156"/>
      <c r="G42" s="156"/>
      <c r="H42" s="70">
        <f>G40*J42/100</f>
        <v>0.52</v>
      </c>
      <c r="I42" s="70" t="s">
        <v>1746</v>
      </c>
      <c r="J42" s="72">
        <v>0.8</v>
      </c>
      <c r="K42" s="157"/>
      <c r="L42" s="157"/>
      <c r="M42" s="73">
        <f>L40*O42/100</f>
        <v>0.72</v>
      </c>
      <c r="N42" s="73" t="s">
        <v>1746</v>
      </c>
      <c r="O42" s="75">
        <v>0.2</v>
      </c>
      <c r="P42" s="156"/>
      <c r="Q42" s="156"/>
      <c r="R42" s="70">
        <f>Q40*T42/100</f>
        <v>8.6</v>
      </c>
      <c r="S42" s="70" t="s">
        <v>1746</v>
      </c>
      <c r="T42" s="72">
        <v>8.6</v>
      </c>
      <c r="U42" s="157"/>
      <c r="V42" s="157"/>
      <c r="W42" s="73">
        <f>V40*Y42/100</f>
        <v>0</v>
      </c>
      <c r="X42" s="73" t="s">
        <v>1746</v>
      </c>
      <c r="Y42" s="75"/>
      <c r="Z42" s="156"/>
      <c r="AA42" s="156"/>
      <c r="AB42" s="70">
        <f>AA40*AD42/100</f>
        <v>0</v>
      </c>
      <c r="AC42" s="70" t="s">
        <v>1746</v>
      </c>
      <c r="AD42" s="72"/>
      <c r="AE42" s="157"/>
      <c r="AF42" s="157"/>
      <c r="AG42" s="73">
        <f>AF40*AI42/100</f>
        <v>0</v>
      </c>
      <c r="AH42" s="73" t="s">
        <v>1746</v>
      </c>
      <c r="AI42" s="75"/>
      <c r="AJ42" s="156"/>
      <c r="AK42" s="156"/>
      <c r="AL42" s="70">
        <f>AK40*AN42/100</f>
        <v>0</v>
      </c>
      <c r="AM42" s="70" t="s">
        <v>1746</v>
      </c>
      <c r="AN42" s="72"/>
    </row>
    <row r="43" spans="1:40" ht="15" customHeight="1">
      <c r="A43" s="155"/>
      <c r="B43" s="155"/>
      <c r="C43" s="158" t="s">
        <v>1805</v>
      </c>
      <c r="D43" s="68">
        <f t="shared" si="0"/>
        <v>60.339999999999996</v>
      </c>
      <c r="E43" s="68">
        <f>人员信息!F30</f>
        <v>57.934800000000003</v>
      </c>
      <c r="F43" s="156" t="s">
        <v>1769</v>
      </c>
      <c r="G43" s="156">
        <v>80</v>
      </c>
      <c r="H43" s="70">
        <f>G43*J43/100</f>
        <v>44.08</v>
      </c>
      <c r="I43" s="71" t="s">
        <v>1744</v>
      </c>
      <c r="J43" s="72">
        <v>55.1</v>
      </c>
      <c r="K43" s="157" t="s">
        <v>1788</v>
      </c>
      <c r="L43" s="157">
        <v>435</v>
      </c>
      <c r="M43" s="73">
        <f>L43*O43/100</f>
        <v>10.44</v>
      </c>
      <c r="N43" s="74" t="s">
        <v>1744</v>
      </c>
      <c r="O43" s="75">
        <v>2.4</v>
      </c>
      <c r="P43" s="156" t="s">
        <v>1787</v>
      </c>
      <c r="Q43" s="156">
        <v>60</v>
      </c>
      <c r="R43" s="70">
        <f>Q43*T43/100</f>
        <v>4.62</v>
      </c>
      <c r="S43" s="71" t="s">
        <v>1744</v>
      </c>
      <c r="T43" s="72">
        <v>7.7</v>
      </c>
      <c r="U43" s="157" t="s">
        <v>1770</v>
      </c>
      <c r="V43" s="157">
        <v>50</v>
      </c>
      <c r="W43" s="73">
        <f>V43*Y43/100</f>
        <v>1.2</v>
      </c>
      <c r="X43" s="74" t="s">
        <v>1744</v>
      </c>
      <c r="Y43" s="75">
        <v>2.4</v>
      </c>
      <c r="Z43" s="156"/>
      <c r="AA43" s="156"/>
      <c r="AB43" s="70">
        <f>AA43*AD43/100</f>
        <v>0</v>
      </c>
      <c r="AC43" s="71" t="s">
        <v>1744</v>
      </c>
      <c r="AD43" s="72"/>
      <c r="AE43" s="157"/>
      <c r="AF43" s="157"/>
      <c r="AG43" s="73">
        <f>AF43*AI43/100</f>
        <v>0</v>
      </c>
      <c r="AH43" s="74" t="s">
        <v>1744</v>
      </c>
      <c r="AI43" s="75"/>
      <c r="AJ43" s="156"/>
      <c r="AK43" s="156"/>
      <c r="AL43" s="70">
        <f>AK43*AN43/100</f>
        <v>0</v>
      </c>
      <c r="AM43" s="71" t="s">
        <v>1744</v>
      </c>
      <c r="AN43" s="72"/>
    </row>
    <row r="44" spans="1:40" ht="15" customHeight="1">
      <c r="A44" s="155"/>
      <c r="B44" s="155"/>
      <c r="C44" s="155"/>
      <c r="D44" s="68">
        <f t="shared" si="0"/>
        <v>36.634999999999998</v>
      </c>
      <c r="E44" s="68">
        <f>人员信息!F31</f>
        <v>37.3065</v>
      </c>
      <c r="F44" s="156"/>
      <c r="G44" s="156"/>
      <c r="H44" s="70">
        <f>G43*J44/100</f>
        <v>11.2</v>
      </c>
      <c r="I44" s="70" t="s">
        <v>1745</v>
      </c>
      <c r="J44" s="72">
        <v>14</v>
      </c>
      <c r="K44" s="157"/>
      <c r="L44" s="157"/>
      <c r="M44" s="73">
        <f>L43*O44/100</f>
        <v>8.2650000000000006</v>
      </c>
      <c r="N44" s="73" t="s">
        <v>1745</v>
      </c>
      <c r="O44" s="75">
        <v>1.9</v>
      </c>
      <c r="P44" s="156"/>
      <c r="Q44" s="156"/>
      <c r="R44" s="70">
        <f>Q43*T44/100</f>
        <v>10.62</v>
      </c>
      <c r="S44" s="70" t="s">
        <v>1745</v>
      </c>
      <c r="T44" s="72">
        <v>17.7</v>
      </c>
      <c r="U44" s="157"/>
      <c r="V44" s="157"/>
      <c r="W44" s="73">
        <f>V43*Y44/100</f>
        <v>6.55</v>
      </c>
      <c r="X44" s="73" t="s">
        <v>1745</v>
      </c>
      <c r="Y44" s="75">
        <v>13.1</v>
      </c>
      <c r="Z44" s="156"/>
      <c r="AA44" s="156"/>
      <c r="AB44" s="70">
        <f>AA43*AD44/100</f>
        <v>0</v>
      </c>
      <c r="AC44" s="70" t="s">
        <v>1745</v>
      </c>
      <c r="AD44" s="72"/>
      <c r="AE44" s="157"/>
      <c r="AF44" s="157"/>
      <c r="AG44" s="73">
        <f>AF43*AI44/100</f>
        <v>0</v>
      </c>
      <c r="AH44" s="73" t="s">
        <v>1745</v>
      </c>
      <c r="AI44" s="75"/>
      <c r="AJ44" s="156"/>
      <c r="AK44" s="156"/>
      <c r="AL44" s="70">
        <f>AK43*AN44/100</f>
        <v>0</v>
      </c>
      <c r="AM44" s="70" t="s">
        <v>1745</v>
      </c>
      <c r="AN44" s="72"/>
    </row>
    <row r="45" spans="1:40" ht="15" customHeight="1">
      <c r="A45" s="155"/>
      <c r="B45" s="155"/>
      <c r="C45" s="155"/>
      <c r="D45" s="68">
        <f t="shared" si="0"/>
        <v>15.869999999999997</v>
      </c>
      <c r="E45" s="76"/>
      <c r="F45" s="156"/>
      <c r="G45" s="156"/>
      <c r="H45" s="70">
        <f>G43*J45/100</f>
        <v>8.24</v>
      </c>
      <c r="I45" s="70" t="s">
        <v>1746</v>
      </c>
      <c r="J45" s="72">
        <v>10.3</v>
      </c>
      <c r="K45" s="157"/>
      <c r="L45" s="157"/>
      <c r="M45" s="73">
        <f>L43*O45/100</f>
        <v>0.87</v>
      </c>
      <c r="N45" s="73" t="s">
        <v>1746</v>
      </c>
      <c r="O45" s="75">
        <v>0.2</v>
      </c>
      <c r="P45" s="156"/>
      <c r="Q45" s="156"/>
      <c r="R45" s="70">
        <f>Q43*T45/100</f>
        <v>2.4599999999999995</v>
      </c>
      <c r="S45" s="70" t="s">
        <v>1746</v>
      </c>
      <c r="T45" s="72">
        <v>4.0999999999999996</v>
      </c>
      <c r="U45" s="157"/>
      <c r="V45" s="157"/>
      <c r="W45" s="73">
        <f>V43*Y45/100</f>
        <v>4.3</v>
      </c>
      <c r="X45" s="73" t="s">
        <v>1746</v>
      </c>
      <c r="Y45" s="75">
        <v>8.6</v>
      </c>
      <c r="Z45" s="156"/>
      <c r="AA45" s="156"/>
      <c r="AB45" s="70">
        <f>AA43*AD45/100</f>
        <v>0</v>
      </c>
      <c r="AC45" s="70" t="s">
        <v>1746</v>
      </c>
      <c r="AD45" s="72"/>
      <c r="AE45" s="157"/>
      <c r="AF45" s="157"/>
      <c r="AG45" s="73">
        <f>AF43*AI45/100</f>
        <v>0</v>
      </c>
      <c r="AH45" s="73" t="s">
        <v>1746</v>
      </c>
      <c r="AI45" s="75"/>
      <c r="AJ45" s="156"/>
      <c r="AK45" s="156"/>
      <c r="AL45" s="70">
        <f>AK43*AN45/100</f>
        <v>0</v>
      </c>
      <c r="AM45" s="70" t="s">
        <v>1746</v>
      </c>
      <c r="AN45" s="72"/>
    </row>
    <row r="46" spans="1:40" ht="15" customHeight="1">
      <c r="A46" s="158" t="s">
        <v>1759</v>
      </c>
      <c r="B46" s="155" t="s">
        <v>1761</v>
      </c>
      <c r="C46" s="158" t="s">
        <v>1806</v>
      </c>
      <c r="D46" s="68">
        <f t="shared" si="0"/>
        <v>14.574000000000002</v>
      </c>
      <c r="E46" s="68">
        <f>人员信息!G30</f>
        <v>57.934800000000003</v>
      </c>
      <c r="F46" s="156" t="s">
        <v>283</v>
      </c>
      <c r="G46" s="156">
        <v>8</v>
      </c>
      <c r="H46" s="70">
        <f>G46*(J46/100)</f>
        <v>6.1440000000000001</v>
      </c>
      <c r="I46" s="71" t="s">
        <v>1752</v>
      </c>
      <c r="J46" s="72">
        <v>76.8</v>
      </c>
      <c r="K46" s="157" t="s">
        <v>1782</v>
      </c>
      <c r="L46" s="157">
        <v>50</v>
      </c>
      <c r="M46" s="73">
        <f>L46*(O46/100)</f>
        <v>0.95</v>
      </c>
      <c r="N46" s="74" t="s">
        <v>1744</v>
      </c>
      <c r="O46" s="75">
        <v>1.9</v>
      </c>
      <c r="P46" s="156" t="s">
        <v>1224</v>
      </c>
      <c r="Q46" s="156">
        <v>374</v>
      </c>
      <c r="R46" s="70">
        <f>Q46*(T46/100)</f>
        <v>7.48</v>
      </c>
      <c r="S46" s="71" t="s">
        <v>1744</v>
      </c>
      <c r="T46" s="72">
        <v>2</v>
      </c>
      <c r="U46" s="157"/>
      <c r="V46" s="157"/>
      <c r="W46" s="73">
        <f>V46*(Y46/100)</f>
        <v>0</v>
      </c>
      <c r="X46" s="74" t="s">
        <v>1744</v>
      </c>
      <c r="Y46" s="75"/>
      <c r="Z46" s="156"/>
      <c r="AA46" s="156"/>
      <c r="AB46" s="70">
        <f>AA46*(AD46/100)</f>
        <v>0</v>
      </c>
      <c r="AC46" s="71" t="s">
        <v>1752</v>
      </c>
      <c r="AD46" s="72"/>
      <c r="AE46" s="157"/>
      <c r="AF46" s="157"/>
      <c r="AG46" s="73">
        <f>AF46*(AI46/100)</f>
        <v>0</v>
      </c>
      <c r="AH46" s="74" t="s">
        <v>1744</v>
      </c>
      <c r="AI46" s="75"/>
      <c r="AJ46" s="156"/>
      <c r="AK46" s="156"/>
      <c r="AL46" s="70">
        <f>AK46*(AN46/100)</f>
        <v>0</v>
      </c>
      <c r="AM46" s="71" t="s">
        <v>1744</v>
      </c>
      <c r="AN46" s="72"/>
    </row>
    <row r="47" spans="1:40" ht="15" customHeight="1">
      <c r="A47" s="155"/>
      <c r="B47" s="155"/>
      <c r="C47" s="155"/>
      <c r="D47" s="68">
        <f t="shared" si="0"/>
        <v>28.637999999999998</v>
      </c>
      <c r="E47" s="68">
        <f>人员信息!G31</f>
        <v>37.3065</v>
      </c>
      <c r="F47" s="156"/>
      <c r="G47" s="156"/>
      <c r="H47" s="70">
        <f>G46*(J47/100)</f>
        <v>0.97599999999999998</v>
      </c>
      <c r="I47" s="70" t="s">
        <v>1745</v>
      </c>
      <c r="J47" s="72">
        <v>12.2</v>
      </c>
      <c r="K47" s="157"/>
      <c r="L47" s="157"/>
      <c r="M47" s="73">
        <f>L46*(O47/100)</f>
        <v>22.8</v>
      </c>
      <c r="N47" s="73" t="s">
        <v>1745</v>
      </c>
      <c r="O47" s="75">
        <v>45.6</v>
      </c>
      <c r="P47" s="156"/>
      <c r="Q47" s="156"/>
      <c r="R47" s="70">
        <f>Q46*(T47/100)</f>
        <v>4.8620000000000001</v>
      </c>
      <c r="S47" s="70" t="s">
        <v>1745</v>
      </c>
      <c r="T47" s="72">
        <v>1.3</v>
      </c>
      <c r="U47" s="157"/>
      <c r="V47" s="157"/>
      <c r="W47" s="73">
        <f>V46*(Y47/100)</f>
        <v>0</v>
      </c>
      <c r="X47" s="73" t="s">
        <v>1745</v>
      </c>
      <c r="Y47" s="75"/>
      <c r="Z47" s="156"/>
      <c r="AA47" s="156"/>
      <c r="AB47" s="70">
        <f>AA46*(AD47/100)</f>
        <v>0</v>
      </c>
      <c r="AC47" s="70" t="s">
        <v>1745</v>
      </c>
      <c r="AD47" s="72"/>
      <c r="AE47" s="157"/>
      <c r="AF47" s="157"/>
      <c r="AG47" s="73">
        <f>AF46*(AI47/100)</f>
        <v>0</v>
      </c>
      <c r="AH47" s="73" t="s">
        <v>1745</v>
      </c>
      <c r="AI47" s="75"/>
      <c r="AJ47" s="156"/>
      <c r="AK47" s="156"/>
      <c r="AL47" s="70">
        <f>AK46*(AN47/100)</f>
        <v>0</v>
      </c>
      <c r="AM47" s="70" t="s">
        <v>1745</v>
      </c>
      <c r="AN47" s="72"/>
    </row>
    <row r="48" spans="1:40" ht="15" customHeight="1">
      <c r="A48" s="155"/>
      <c r="B48" s="155"/>
      <c r="C48" s="155"/>
      <c r="D48" s="68">
        <f t="shared" si="0"/>
        <v>21.934000000000001</v>
      </c>
      <c r="E48" s="76"/>
      <c r="F48" s="156"/>
      <c r="G48" s="156"/>
      <c r="H48" s="70">
        <f>G46*(J48/100)</f>
        <v>6.4000000000000001E-2</v>
      </c>
      <c r="I48" s="70" t="s">
        <v>1746</v>
      </c>
      <c r="J48" s="72">
        <v>0.8</v>
      </c>
      <c r="K48" s="157"/>
      <c r="L48" s="157"/>
      <c r="M48" s="73">
        <f>L46*(O48/100)</f>
        <v>20</v>
      </c>
      <c r="N48" s="73" t="s">
        <v>1746</v>
      </c>
      <c r="O48" s="75">
        <v>40</v>
      </c>
      <c r="P48" s="156"/>
      <c r="Q48" s="156"/>
      <c r="R48" s="70">
        <f>Q46*(T48/100)</f>
        <v>1.87</v>
      </c>
      <c r="S48" s="70" t="s">
        <v>1746</v>
      </c>
      <c r="T48" s="72">
        <v>0.5</v>
      </c>
      <c r="U48" s="157"/>
      <c r="V48" s="157"/>
      <c r="W48" s="73">
        <f>V46*(Y48/100)</f>
        <v>0</v>
      </c>
      <c r="X48" s="73" t="s">
        <v>1746</v>
      </c>
      <c r="Y48" s="75"/>
      <c r="Z48" s="156"/>
      <c r="AA48" s="156"/>
      <c r="AB48" s="70">
        <f>AA46*(AD48/100)</f>
        <v>0</v>
      </c>
      <c r="AC48" s="70" t="s">
        <v>1746</v>
      </c>
      <c r="AD48" s="72"/>
      <c r="AE48" s="157"/>
      <c r="AF48" s="157"/>
      <c r="AG48" s="73">
        <f>AF46*(AI48/100)</f>
        <v>0</v>
      </c>
      <c r="AH48" s="73" t="s">
        <v>1746</v>
      </c>
      <c r="AI48" s="75"/>
      <c r="AJ48" s="156"/>
      <c r="AK48" s="156"/>
      <c r="AL48" s="70">
        <f>AK46*(AN48/100)</f>
        <v>0</v>
      </c>
      <c r="AM48" s="70" t="s">
        <v>1746</v>
      </c>
      <c r="AN48" s="72"/>
    </row>
    <row r="49" spans="1:40" ht="15" customHeight="1">
      <c r="A49" s="155"/>
      <c r="B49" s="155"/>
      <c r="C49" s="158" t="s">
        <v>1807</v>
      </c>
      <c r="D49" s="68">
        <f t="shared" si="0"/>
        <v>57.462000000000003</v>
      </c>
      <c r="E49" s="68">
        <f>人员信息!G30</f>
        <v>57.934800000000003</v>
      </c>
      <c r="F49" s="156" t="s">
        <v>280</v>
      </c>
      <c r="G49" s="156">
        <v>60</v>
      </c>
      <c r="H49" s="70">
        <f>G49*(J49/100)</f>
        <v>33.06</v>
      </c>
      <c r="I49" s="71" t="s">
        <v>1744</v>
      </c>
      <c r="J49" s="72">
        <v>55.1</v>
      </c>
      <c r="K49" s="157" t="s">
        <v>1776</v>
      </c>
      <c r="L49" s="157">
        <v>522</v>
      </c>
      <c r="M49" s="73">
        <f>L49*(O49/100)</f>
        <v>21.401999999999997</v>
      </c>
      <c r="N49" s="74" t="s">
        <v>1744</v>
      </c>
      <c r="O49" s="75">
        <v>4.0999999999999996</v>
      </c>
      <c r="P49" s="156" t="s">
        <v>1772</v>
      </c>
      <c r="Q49" s="156">
        <v>125</v>
      </c>
      <c r="R49" s="70">
        <f>Q49*(T49/100)</f>
        <v>3</v>
      </c>
      <c r="S49" s="71" t="s">
        <v>1744</v>
      </c>
      <c r="T49" s="72">
        <v>2.4</v>
      </c>
      <c r="U49" s="157"/>
      <c r="V49" s="157"/>
      <c r="W49" s="73">
        <f>V49*(Y49/100)</f>
        <v>0</v>
      </c>
      <c r="X49" s="74" t="s">
        <v>1744</v>
      </c>
      <c r="Y49" s="75"/>
      <c r="Z49" s="156"/>
      <c r="AA49" s="156"/>
      <c r="AB49" s="70">
        <f>AA49*(AD49/100)</f>
        <v>0</v>
      </c>
      <c r="AC49" s="71" t="s">
        <v>1744</v>
      </c>
      <c r="AD49" s="72"/>
      <c r="AE49" s="157"/>
      <c r="AF49" s="157"/>
      <c r="AG49" s="73">
        <f>AF49*(AI49/100)</f>
        <v>0</v>
      </c>
      <c r="AH49" s="74" t="s">
        <v>1744</v>
      </c>
      <c r="AI49" s="75"/>
      <c r="AJ49" s="156"/>
      <c r="AK49" s="156"/>
      <c r="AL49" s="70">
        <f>AK49*(AN49/100)</f>
        <v>0</v>
      </c>
      <c r="AM49" s="71" t="s">
        <v>1744</v>
      </c>
      <c r="AN49" s="72"/>
    </row>
    <row r="50" spans="1:40" ht="15" customHeight="1">
      <c r="A50" s="155"/>
      <c r="B50" s="155"/>
      <c r="C50" s="155"/>
      <c r="D50" s="68">
        <f t="shared" si="0"/>
        <v>38.869</v>
      </c>
      <c r="E50" s="68">
        <f>人员信息!G31</f>
        <v>37.3065</v>
      </c>
      <c r="F50" s="156"/>
      <c r="G50" s="156"/>
      <c r="H50" s="70">
        <f>G49*(J50/100)</f>
        <v>8.4</v>
      </c>
      <c r="I50" s="70" t="s">
        <v>1745</v>
      </c>
      <c r="J50" s="72">
        <v>14</v>
      </c>
      <c r="K50" s="157"/>
      <c r="L50" s="157"/>
      <c r="M50" s="73">
        <f>L49*(O50/100)</f>
        <v>14.094000000000001</v>
      </c>
      <c r="N50" s="73" t="s">
        <v>1745</v>
      </c>
      <c r="O50" s="75">
        <v>2.7</v>
      </c>
      <c r="P50" s="156"/>
      <c r="Q50" s="156"/>
      <c r="R50" s="70">
        <f>Q49*(T50/100)</f>
        <v>16.375</v>
      </c>
      <c r="S50" s="70" t="s">
        <v>1745</v>
      </c>
      <c r="T50" s="72">
        <v>13.1</v>
      </c>
      <c r="U50" s="157"/>
      <c r="V50" s="157"/>
      <c r="W50" s="73">
        <f>V49*(Y50/100)</f>
        <v>0</v>
      </c>
      <c r="X50" s="73" t="s">
        <v>1745</v>
      </c>
      <c r="Y50" s="75"/>
      <c r="Z50" s="156"/>
      <c r="AA50" s="156"/>
      <c r="AB50" s="70">
        <f>AA49*(AD50/100)</f>
        <v>0</v>
      </c>
      <c r="AC50" s="70" t="s">
        <v>1745</v>
      </c>
      <c r="AD50" s="72"/>
      <c r="AE50" s="157"/>
      <c r="AF50" s="157"/>
      <c r="AG50" s="73">
        <f>AF49*(AI50/100)</f>
        <v>0</v>
      </c>
      <c r="AH50" s="73" t="s">
        <v>1745</v>
      </c>
      <c r="AI50" s="75"/>
      <c r="AJ50" s="156"/>
      <c r="AK50" s="156"/>
      <c r="AL50" s="70">
        <f>AK49*(AN50/100)</f>
        <v>0</v>
      </c>
      <c r="AM50" s="70" t="s">
        <v>1745</v>
      </c>
      <c r="AN50" s="72"/>
    </row>
    <row r="51" spans="1:40" ht="15" customHeight="1">
      <c r="A51" s="155"/>
      <c r="B51" s="155"/>
      <c r="C51" s="155"/>
      <c r="D51" s="68">
        <f t="shared" si="0"/>
        <v>17.452000000000002</v>
      </c>
      <c r="E51" s="76"/>
      <c r="F51" s="156"/>
      <c r="G51" s="156"/>
      <c r="H51" s="70">
        <f>G49*(J51/100)</f>
        <v>6.1800000000000006</v>
      </c>
      <c r="I51" s="70" t="s">
        <v>1746</v>
      </c>
      <c r="J51" s="72">
        <v>10.3</v>
      </c>
      <c r="K51" s="157"/>
      <c r="L51" s="157"/>
      <c r="M51" s="73">
        <f>L49*(O51/100)</f>
        <v>0.52200000000000002</v>
      </c>
      <c r="N51" s="73" t="s">
        <v>1746</v>
      </c>
      <c r="O51" s="75">
        <v>0.1</v>
      </c>
      <c r="P51" s="156"/>
      <c r="Q51" s="156"/>
      <c r="R51" s="70">
        <f>Q49*(T51/100)</f>
        <v>10.75</v>
      </c>
      <c r="S51" s="70" t="s">
        <v>1746</v>
      </c>
      <c r="T51" s="72">
        <v>8.6</v>
      </c>
      <c r="U51" s="157"/>
      <c r="V51" s="157"/>
      <c r="W51" s="73">
        <f>V49*(Y51/100)</f>
        <v>0</v>
      </c>
      <c r="X51" s="73" t="s">
        <v>1746</v>
      </c>
      <c r="Y51" s="75"/>
      <c r="Z51" s="156"/>
      <c r="AA51" s="156"/>
      <c r="AB51" s="70">
        <f>AA49*(AD51/100)</f>
        <v>0</v>
      </c>
      <c r="AC51" s="70" t="s">
        <v>1746</v>
      </c>
      <c r="AD51" s="72"/>
      <c r="AE51" s="157"/>
      <c r="AF51" s="157"/>
      <c r="AG51" s="73">
        <f>AF49*(AI51/100)</f>
        <v>0</v>
      </c>
      <c r="AH51" s="73" t="s">
        <v>1746</v>
      </c>
      <c r="AI51" s="75"/>
      <c r="AJ51" s="156"/>
      <c r="AK51" s="156"/>
      <c r="AL51" s="70">
        <f>AK49*(AN51/100)</f>
        <v>0</v>
      </c>
      <c r="AM51" s="70" t="s">
        <v>1746</v>
      </c>
      <c r="AN51" s="72"/>
    </row>
    <row r="52" spans="1:40" ht="15" customHeight="1">
      <c r="A52" s="155"/>
      <c r="B52" s="155"/>
      <c r="C52" s="158" t="s">
        <v>1808</v>
      </c>
      <c r="D52" s="68">
        <f t="shared" si="0"/>
        <v>60.4</v>
      </c>
      <c r="E52" s="68">
        <f>人员信息!G30</f>
        <v>57.934800000000003</v>
      </c>
      <c r="F52" s="156" t="s">
        <v>283</v>
      </c>
      <c r="G52" s="156">
        <v>40</v>
      </c>
      <c r="H52" s="70">
        <f>G52*J52/100</f>
        <v>30.72</v>
      </c>
      <c r="I52" s="71" t="s">
        <v>1744</v>
      </c>
      <c r="J52" s="72">
        <v>76.8</v>
      </c>
      <c r="K52" s="157" t="s">
        <v>1775</v>
      </c>
      <c r="L52" s="157">
        <v>100</v>
      </c>
      <c r="M52" s="73">
        <f>L52*O52/100</f>
        <v>0</v>
      </c>
      <c r="N52" s="74" t="s">
        <v>1744</v>
      </c>
      <c r="O52" s="75"/>
      <c r="P52" s="156" t="s">
        <v>1839</v>
      </c>
      <c r="Q52" s="156">
        <v>560</v>
      </c>
      <c r="R52" s="70">
        <f>Q52*T52/100</f>
        <v>29.68</v>
      </c>
      <c r="S52" s="71" t="s">
        <v>1744</v>
      </c>
      <c r="T52" s="72">
        <v>5.3</v>
      </c>
      <c r="U52" s="157"/>
      <c r="V52" s="157"/>
      <c r="W52" s="73">
        <f>V52*Y52/100</f>
        <v>0</v>
      </c>
      <c r="X52" s="74" t="s">
        <v>1744</v>
      </c>
      <c r="Y52" s="75"/>
      <c r="Z52" s="156"/>
      <c r="AA52" s="156"/>
      <c r="AB52" s="70">
        <f>AA52*AD52/100</f>
        <v>0</v>
      </c>
      <c r="AC52" s="71" t="s">
        <v>1744</v>
      </c>
      <c r="AD52" s="72"/>
      <c r="AE52" s="157"/>
      <c r="AF52" s="157"/>
      <c r="AG52" s="73">
        <f>AF52*AI52/100</f>
        <v>0</v>
      </c>
      <c r="AH52" s="74" t="s">
        <v>1744</v>
      </c>
      <c r="AI52" s="75"/>
      <c r="AJ52" s="156"/>
      <c r="AK52" s="156"/>
      <c r="AL52" s="70">
        <f>AK52*AN52/100</f>
        <v>0</v>
      </c>
      <c r="AM52" s="71" t="s">
        <v>1744</v>
      </c>
      <c r="AN52" s="72"/>
    </row>
    <row r="53" spans="1:40" ht="15" customHeight="1">
      <c r="A53" s="155"/>
      <c r="B53" s="155"/>
      <c r="C53" s="155"/>
      <c r="D53" s="68">
        <f t="shared" si="0"/>
        <v>36.659999999999997</v>
      </c>
      <c r="E53" s="68">
        <f>人员信息!G31</f>
        <v>37.3065</v>
      </c>
      <c r="F53" s="156"/>
      <c r="G53" s="156"/>
      <c r="H53" s="70">
        <f>G52*J53/100</f>
        <v>4.88</v>
      </c>
      <c r="I53" s="70" t="s">
        <v>1745</v>
      </c>
      <c r="J53" s="72">
        <v>12.2</v>
      </c>
      <c r="K53" s="157"/>
      <c r="L53" s="157"/>
      <c r="M53" s="73">
        <f>L52*O53/100</f>
        <v>27.3</v>
      </c>
      <c r="N53" s="73" t="s">
        <v>1745</v>
      </c>
      <c r="O53" s="75">
        <v>27.3</v>
      </c>
      <c r="P53" s="156"/>
      <c r="Q53" s="156"/>
      <c r="R53" s="70">
        <f>Q52*T53/100</f>
        <v>4.4800000000000004</v>
      </c>
      <c r="S53" s="70" t="s">
        <v>1745</v>
      </c>
      <c r="T53" s="72">
        <v>0.8</v>
      </c>
      <c r="U53" s="157"/>
      <c r="V53" s="157"/>
      <c r="W53" s="73">
        <f>V52*Y53/100</f>
        <v>0</v>
      </c>
      <c r="X53" s="73" t="s">
        <v>1745</v>
      </c>
      <c r="Y53" s="75"/>
      <c r="Z53" s="156"/>
      <c r="AA53" s="156"/>
      <c r="AB53" s="70">
        <f>AA52*AD53/100</f>
        <v>0</v>
      </c>
      <c r="AC53" s="70" t="s">
        <v>1745</v>
      </c>
      <c r="AD53" s="72"/>
      <c r="AE53" s="157"/>
      <c r="AF53" s="157"/>
      <c r="AG53" s="73">
        <f>AF52*AI53/100</f>
        <v>0</v>
      </c>
      <c r="AH53" s="73" t="s">
        <v>1745</v>
      </c>
      <c r="AI53" s="75"/>
      <c r="AJ53" s="156"/>
      <c r="AK53" s="156"/>
      <c r="AL53" s="70">
        <f>AK52*AN53/100</f>
        <v>0</v>
      </c>
      <c r="AM53" s="70" t="s">
        <v>1745</v>
      </c>
      <c r="AN53" s="72"/>
    </row>
    <row r="54" spans="1:40" ht="15" customHeight="1">
      <c r="A54" s="155"/>
      <c r="B54" s="155"/>
      <c r="C54" s="155"/>
      <c r="D54" s="68">
        <f t="shared" si="0"/>
        <v>8.14</v>
      </c>
      <c r="E54" s="76"/>
      <c r="F54" s="156"/>
      <c r="G54" s="156"/>
      <c r="H54" s="70">
        <f>G52*J54/100</f>
        <v>0.32</v>
      </c>
      <c r="I54" s="70" t="s">
        <v>1746</v>
      </c>
      <c r="J54" s="72">
        <v>0.8</v>
      </c>
      <c r="K54" s="157"/>
      <c r="L54" s="157"/>
      <c r="M54" s="73">
        <f>L52*O54/100</f>
        <v>6.7</v>
      </c>
      <c r="N54" s="73" t="s">
        <v>1746</v>
      </c>
      <c r="O54" s="75">
        <v>6.7</v>
      </c>
      <c r="P54" s="156"/>
      <c r="Q54" s="156"/>
      <c r="R54" s="70">
        <f>Q52*T54/100</f>
        <v>1.1200000000000001</v>
      </c>
      <c r="S54" s="70" t="s">
        <v>1746</v>
      </c>
      <c r="T54" s="72">
        <v>0.2</v>
      </c>
      <c r="U54" s="157"/>
      <c r="V54" s="157"/>
      <c r="W54" s="73">
        <f>V52*Y54/100</f>
        <v>0</v>
      </c>
      <c r="X54" s="73" t="s">
        <v>1746</v>
      </c>
      <c r="Y54" s="75"/>
      <c r="Z54" s="156"/>
      <c r="AA54" s="156"/>
      <c r="AB54" s="70">
        <f>AA52*AD54/100</f>
        <v>0</v>
      </c>
      <c r="AC54" s="70" t="s">
        <v>1746</v>
      </c>
      <c r="AD54" s="72"/>
      <c r="AE54" s="157"/>
      <c r="AF54" s="157"/>
      <c r="AG54" s="73">
        <f>AF52*AI54/100</f>
        <v>0</v>
      </c>
      <c r="AH54" s="73" t="s">
        <v>1746</v>
      </c>
      <c r="AI54" s="75"/>
      <c r="AJ54" s="156"/>
      <c r="AK54" s="156"/>
      <c r="AL54" s="70">
        <f>AK52*AN54/100</f>
        <v>0</v>
      </c>
      <c r="AM54" s="70" t="s">
        <v>1746</v>
      </c>
      <c r="AN54" s="72"/>
    </row>
    <row r="55" spans="1:40" ht="15" customHeight="1">
      <c r="A55" s="155"/>
      <c r="B55" s="155"/>
      <c r="C55" s="158" t="s">
        <v>1809</v>
      </c>
      <c r="D55" s="68">
        <f t="shared" si="0"/>
        <v>51.019999999999996</v>
      </c>
      <c r="E55" s="68">
        <f>人员信息!G30</f>
        <v>57.934800000000003</v>
      </c>
      <c r="F55" s="156" t="s">
        <v>1784</v>
      </c>
      <c r="G55" s="156">
        <v>50</v>
      </c>
      <c r="H55" s="70">
        <f>G55*J55/100</f>
        <v>12.5</v>
      </c>
      <c r="I55" s="71" t="s">
        <v>1744</v>
      </c>
      <c r="J55" s="72">
        <v>25</v>
      </c>
      <c r="K55" s="157" t="s">
        <v>1782</v>
      </c>
      <c r="L55" s="157">
        <v>80</v>
      </c>
      <c r="M55" s="73">
        <f>L55*O55/100</f>
        <v>1.52</v>
      </c>
      <c r="N55" s="74" t="s">
        <v>1744</v>
      </c>
      <c r="O55" s="75">
        <v>1.9</v>
      </c>
      <c r="P55" s="156" t="s">
        <v>1785</v>
      </c>
      <c r="Q55" s="156">
        <v>500</v>
      </c>
      <c r="R55" s="70">
        <f>Q55*T55/100</f>
        <v>37</v>
      </c>
      <c r="S55" s="71" t="s">
        <v>1744</v>
      </c>
      <c r="T55" s="72">
        <v>7.4</v>
      </c>
      <c r="U55" s="157"/>
      <c r="V55" s="157"/>
      <c r="W55" s="73">
        <f>V55*Y55/100</f>
        <v>0</v>
      </c>
      <c r="X55" s="74" t="s">
        <v>1744</v>
      </c>
      <c r="Y55" s="75"/>
      <c r="Z55" s="156"/>
      <c r="AA55" s="156"/>
      <c r="AB55" s="70">
        <f>AA55*AD55/100</f>
        <v>0</v>
      </c>
      <c r="AC55" s="71" t="s">
        <v>1744</v>
      </c>
      <c r="AD55" s="72"/>
      <c r="AE55" s="157"/>
      <c r="AF55" s="157"/>
      <c r="AG55" s="73">
        <f>AF55*AI55/100</f>
        <v>0</v>
      </c>
      <c r="AH55" s="74" t="s">
        <v>1744</v>
      </c>
      <c r="AI55" s="75"/>
      <c r="AJ55" s="156"/>
      <c r="AK55" s="156"/>
      <c r="AL55" s="70">
        <f>AK55*AN55/100</f>
        <v>0</v>
      </c>
      <c r="AM55" s="71" t="s">
        <v>1744</v>
      </c>
      <c r="AN55" s="72"/>
    </row>
    <row r="56" spans="1:40" ht="15" customHeight="1">
      <c r="A56" s="155"/>
      <c r="B56" s="155"/>
      <c r="C56" s="155"/>
      <c r="D56" s="68">
        <f t="shared" si="0"/>
        <v>45.48</v>
      </c>
      <c r="E56" s="68">
        <f>人员信息!G31</f>
        <v>37.3065</v>
      </c>
      <c r="F56" s="156"/>
      <c r="G56" s="156"/>
      <c r="H56" s="70">
        <f>G55*J56/100</f>
        <v>0</v>
      </c>
      <c r="I56" s="70" t="s">
        <v>1745</v>
      </c>
      <c r="J56" s="72"/>
      <c r="K56" s="157"/>
      <c r="L56" s="157"/>
      <c r="M56" s="73">
        <f>L55*O56/100</f>
        <v>36.479999999999997</v>
      </c>
      <c r="N56" s="73" t="s">
        <v>1745</v>
      </c>
      <c r="O56" s="75">
        <v>45.6</v>
      </c>
      <c r="P56" s="156"/>
      <c r="Q56" s="156"/>
      <c r="R56" s="70">
        <f>Q55*T56/100</f>
        <v>9</v>
      </c>
      <c r="S56" s="70" t="s">
        <v>1745</v>
      </c>
      <c r="T56" s="72">
        <v>1.8</v>
      </c>
      <c r="U56" s="157"/>
      <c r="V56" s="157"/>
      <c r="W56" s="73">
        <f>V55*Y56/100</f>
        <v>0</v>
      </c>
      <c r="X56" s="73" t="s">
        <v>1745</v>
      </c>
      <c r="Y56" s="75"/>
      <c r="Z56" s="156"/>
      <c r="AA56" s="156"/>
      <c r="AB56" s="70">
        <f>AA55*AD56/100</f>
        <v>0</v>
      </c>
      <c r="AC56" s="70" t="s">
        <v>1745</v>
      </c>
      <c r="AD56" s="72"/>
      <c r="AE56" s="157"/>
      <c r="AF56" s="157"/>
      <c r="AG56" s="73">
        <f>AF55*AI56/100</f>
        <v>0</v>
      </c>
      <c r="AH56" s="73" t="s">
        <v>1745</v>
      </c>
      <c r="AI56" s="75"/>
      <c r="AJ56" s="156"/>
      <c r="AK56" s="156"/>
      <c r="AL56" s="70">
        <f>AK55*AN56/100</f>
        <v>0</v>
      </c>
      <c r="AM56" s="70" t="s">
        <v>1745</v>
      </c>
      <c r="AN56" s="72"/>
    </row>
    <row r="57" spans="1:40" ht="15" customHeight="1">
      <c r="A57" s="155"/>
      <c r="B57" s="155"/>
      <c r="C57" s="155"/>
      <c r="D57" s="68">
        <f t="shared" si="0"/>
        <v>54.5</v>
      </c>
      <c r="E57" s="76"/>
      <c r="F57" s="156"/>
      <c r="G57" s="156"/>
      <c r="H57" s="70">
        <f>G55*J57/100</f>
        <v>0</v>
      </c>
      <c r="I57" s="70" t="s">
        <v>1746</v>
      </c>
      <c r="J57" s="72"/>
      <c r="K57" s="157"/>
      <c r="L57" s="157"/>
      <c r="M57" s="73">
        <f>L55*O57/100</f>
        <v>32</v>
      </c>
      <c r="N57" s="73" t="s">
        <v>1746</v>
      </c>
      <c r="O57" s="75">
        <v>40</v>
      </c>
      <c r="P57" s="156"/>
      <c r="Q57" s="156"/>
      <c r="R57" s="70">
        <f>Q55*T57/100</f>
        <v>22.5</v>
      </c>
      <c r="S57" s="70" t="s">
        <v>1746</v>
      </c>
      <c r="T57" s="72">
        <v>4.5</v>
      </c>
      <c r="U57" s="157"/>
      <c r="V57" s="157"/>
      <c r="W57" s="73">
        <f>V55*Y57/100</f>
        <v>0</v>
      </c>
      <c r="X57" s="73" t="s">
        <v>1746</v>
      </c>
      <c r="Y57" s="75"/>
      <c r="Z57" s="156"/>
      <c r="AA57" s="156"/>
      <c r="AB57" s="70">
        <f>AA55*AD57/100</f>
        <v>0</v>
      </c>
      <c r="AC57" s="70" t="s">
        <v>1746</v>
      </c>
      <c r="AD57" s="72"/>
      <c r="AE57" s="157"/>
      <c r="AF57" s="157"/>
      <c r="AG57" s="73">
        <f>AF55*AI57/100</f>
        <v>0</v>
      </c>
      <c r="AH57" s="73" t="s">
        <v>1746</v>
      </c>
      <c r="AI57" s="75"/>
      <c r="AJ57" s="156"/>
      <c r="AK57" s="156"/>
      <c r="AL57" s="70">
        <f>AK55*AN57/100</f>
        <v>0</v>
      </c>
      <c r="AM57" s="70" t="s">
        <v>1746</v>
      </c>
      <c r="AN57" s="72"/>
    </row>
    <row r="58" spans="1:40" ht="15" customHeight="1">
      <c r="A58" s="155"/>
      <c r="B58" s="155"/>
      <c r="C58" s="158" t="s">
        <v>1810</v>
      </c>
      <c r="D58" s="68">
        <f t="shared" si="0"/>
        <v>59.120000000000005</v>
      </c>
      <c r="E58" s="68">
        <f>人员信息!G30</f>
        <v>57.934800000000003</v>
      </c>
      <c r="F58" s="156" t="s">
        <v>283</v>
      </c>
      <c r="G58" s="156">
        <v>65</v>
      </c>
      <c r="H58" s="70">
        <f>G58*J58/100</f>
        <v>49.92</v>
      </c>
      <c r="I58" s="71" t="s">
        <v>1744</v>
      </c>
      <c r="J58" s="72">
        <v>76.8</v>
      </c>
      <c r="K58" s="157" t="s">
        <v>1770</v>
      </c>
      <c r="L58" s="157">
        <v>50</v>
      </c>
      <c r="M58" s="73">
        <f>L58*O58/100</f>
        <v>1.2</v>
      </c>
      <c r="N58" s="74" t="s">
        <v>1744</v>
      </c>
      <c r="O58" s="75">
        <v>2.4</v>
      </c>
      <c r="P58" s="156" t="s">
        <v>1773</v>
      </c>
      <c r="Q58" s="156">
        <v>250</v>
      </c>
      <c r="R58" s="70">
        <f>Q58*T58/100</f>
        <v>8</v>
      </c>
      <c r="S58" s="71" t="s">
        <v>1744</v>
      </c>
      <c r="T58" s="72">
        <v>3.2</v>
      </c>
      <c r="U58" s="157" t="s">
        <v>1775</v>
      </c>
      <c r="V58" s="157">
        <v>140</v>
      </c>
      <c r="W58" s="73">
        <f>V58*Y58/100</f>
        <v>0</v>
      </c>
      <c r="X58" s="74" t="s">
        <v>1744</v>
      </c>
      <c r="Y58" s="75"/>
      <c r="Z58" s="156"/>
      <c r="AA58" s="156"/>
      <c r="AB58" s="70">
        <f>AA58*AD58/100</f>
        <v>0</v>
      </c>
      <c r="AC58" s="71" t="s">
        <v>1744</v>
      </c>
      <c r="AD58" s="72"/>
      <c r="AE58" s="157"/>
      <c r="AF58" s="157"/>
      <c r="AG58" s="73">
        <f>AF58*AI58/100</f>
        <v>0</v>
      </c>
      <c r="AH58" s="74" t="s">
        <v>1744</v>
      </c>
      <c r="AI58" s="75"/>
      <c r="AJ58" s="156"/>
      <c r="AK58" s="156"/>
      <c r="AL58" s="70">
        <f>AK58*AN58/100</f>
        <v>0</v>
      </c>
      <c r="AM58" s="71" t="s">
        <v>1744</v>
      </c>
      <c r="AN58" s="72"/>
    </row>
    <row r="59" spans="1:40" ht="15" customHeight="1">
      <c r="A59" s="155"/>
      <c r="B59" s="155"/>
      <c r="C59" s="155"/>
      <c r="D59" s="68">
        <f t="shared" si="0"/>
        <v>54.2</v>
      </c>
      <c r="E59" s="68">
        <f>人员信息!G31</f>
        <v>37.3065</v>
      </c>
      <c r="F59" s="156"/>
      <c r="G59" s="156"/>
      <c r="H59" s="70">
        <f>G58*J59/100</f>
        <v>7.93</v>
      </c>
      <c r="I59" s="70" t="s">
        <v>1745</v>
      </c>
      <c r="J59" s="72">
        <v>12.2</v>
      </c>
      <c r="K59" s="157"/>
      <c r="L59" s="157"/>
      <c r="M59" s="73">
        <f>L58*O59/100</f>
        <v>6.55</v>
      </c>
      <c r="N59" s="73" t="s">
        <v>1745</v>
      </c>
      <c r="O59" s="75">
        <v>13.1</v>
      </c>
      <c r="P59" s="156"/>
      <c r="Q59" s="156"/>
      <c r="R59" s="70">
        <f>Q58*T59/100</f>
        <v>1.5</v>
      </c>
      <c r="S59" s="70" t="s">
        <v>1745</v>
      </c>
      <c r="T59" s="72">
        <v>0.6</v>
      </c>
      <c r="U59" s="157"/>
      <c r="V59" s="157"/>
      <c r="W59" s="73">
        <f>V58*Y59/100</f>
        <v>38.22</v>
      </c>
      <c r="X59" s="73" t="s">
        <v>1745</v>
      </c>
      <c r="Y59" s="75">
        <v>27.3</v>
      </c>
      <c r="Z59" s="156"/>
      <c r="AA59" s="156"/>
      <c r="AB59" s="70">
        <f>AA58*AD59/100</f>
        <v>0</v>
      </c>
      <c r="AC59" s="70" t="s">
        <v>1745</v>
      </c>
      <c r="AD59" s="72"/>
      <c r="AE59" s="157"/>
      <c r="AF59" s="157"/>
      <c r="AG59" s="73">
        <f>AF58*AI59/100</f>
        <v>0</v>
      </c>
      <c r="AH59" s="73" t="s">
        <v>1745</v>
      </c>
      <c r="AI59" s="75"/>
      <c r="AJ59" s="156"/>
      <c r="AK59" s="156"/>
      <c r="AL59" s="70">
        <f>AK58*AN59/100</f>
        <v>0</v>
      </c>
      <c r="AM59" s="70" t="s">
        <v>1745</v>
      </c>
      <c r="AN59" s="72"/>
    </row>
    <row r="60" spans="1:40" ht="15" customHeight="1">
      <c r="A60" s="155"/>
      <c r="B60" s="155"/>
      <c r="C60" s="155"/>
      <c r="D60" s="68">
        <f t="shared" si="0"/>
        <v>14.450000000000001</v>
      </c>
      <c r="E60" s="76"/>
      <c r="F60" s="156"/>
      <c r="G60" s="156"/>
      <c r="H60" s="70">
        <f>G58*J60/100</f>
        <v>0.52</v>
      </c>
      <c r="I60" s="70" t="s">
        <v>1746</v>
      </c>
      <c r="J60" s="72">
        <v>0.8</v>
      </c>
      <c r="K60" s="157"/>
      <c r="L60" s="157"/>
      <c r="M60" s="73">
        <f>L58*O60/100</f>
        <v>4.3</v>
      </c>
      <c r="N60" s="73" t="s">
        <v>1746</v>
      </c>
      <c r="O60" s="75">
        <v>8.6</v>
      </c>
      <c r="P60" s="156"/>
      <c r="Q60" s="156"/>
      <c r="R60" s="70">
        <f>Q58*T60/100</f>
        <v>0.25</v>
      </c>
      <c r="S60" s="70" t="s">
        <v>1746</v>
      </c>
      <c r="T60" s="72">
        <v>0.1</v>
      </c>
      <c r="U60" s="157"/>
      <c r="V60" s="157"/>
      <c r="W60" s="73">
        <f>V58*Y60/100</f>
        <v>9.3800000000000008</v>
      </c>
      <c r="X60" s="73" t="s">
        <v>1746</v>
      </c>
      <c r="Y60" s="75">
        <v>6.7</v>
      </c>
      <c r="Z60" s="156"/>
      <c r="AA60" s="156"/>
      <c r="AB60" s="70">
        <f>AA58*AD60/100</f>
        <v>0</v>
      </c>
      <c r="AC60" s="70" t="s">
        <v>1746</v>
      </c>
      <c r="AD60" s="72"/>
      <c r="AE60" s="157"/>
      <c r="AF60" s="157"/>
      <c r="AG60" s="73">
        <f>AF58*AI60/100</f>
        <v>0</v>
      </c>
      <c r="AH60" s="73" t="s">
        <v>1746</v>
      </c>
      <c r="AI60" s="75"/>
      <c r="AJ60" s="156"/>
      <c r="AK60" s="156"/>
      <c r="AL60" s="70">
        <f>AK58*AN60/100</f>
        <v>0</v>
      </c>
      <c r="AM60" s="70" t="s">
        <v>1746</v>
      </c>
      <c r="AN60" s="72"/>
    </row>
    <row r="61" spans="1:40" ht="15" customHeight="1">
      <c r="A61" s="155"/>
      <c r="B61" s="155"/>
      <c r="C61" s="158" t="s">
        <v>1811</v>
      </c>
      <c r="D61" s="68">
        <f t="shared" si="0"/>
        <v>57.446999999999996</v>
      </c>
      <c r="E61" s="68">
        <f>人员信息!G30</f>
        <v>57.934800000000003</v>
      </c>
      <c r="F61" s="159" t="s">
        <v>280</v>
      </c>
      <c r="G61" s="156">
        <v>65</v>
      </c>
      <c r="H61" s="70">
        <f>G61*J61/100</f>
        <v>35.814999999999998</v>
      </c>
      <c r="I61" s="71" t="s">
        <v>1744</v>
      </c>
      <c r="J61" s="72">
        <v>55.1</v>
      </c>
      <c r="K61" s="157" t="s">
        <v>1773</v>
      </c>
      <c r="L61" s="157">
        <v>526</v>
      </c>
      <c r="M61" s="73">
        <f>L61*O61/100</f>
        <v>16.832000000000001</v>
      </c>
      <c r="N61" s="74" t="s">
        <v>1744</v>
      </c>
      <c r="O61" s="75">
        <v>3.2</v>
      </c>
      <c r="P61" s="156" t="s">
        <v>1770</v>
      </c>
      <c r="Q61" s="156">
        <v>200</v>
      </c>
      <c r="R61" s="70">
        <f>Q61*T61/100</f>
        <v>4.8</v>
      </c>
      <c r="S61" s="71" t="s">
        <v>1744</v>
      </c>
      <c r="T61" s="72">
        <v>2.4</v>
      </c>
      <c r="U61" s="157"/>
      <c r="V61" s="157"/>
      <c r="W61" s="73">
        <f>V61*Y61/100</f>
        <v>0</v>
      </c>
      <c r="X61" s="74" t="s">
        <v>1744</v>
      </c>
      <c r="Y61" s="75"/>
      <c r="Z61" s="156"/>
      <c r="AA61" s="156"/>
      <c r="AB61" s="70">
        <f>AA61*AD61/100</f>
        <v>0</v>
      </c>
      <c r="AC61" s="71" t="s">
        <v>1744</v>
      </c>
      <c r="AD61" s="72"/>
      <c r="AE61" s="157"/>
      <c r="AF61" s="157"/>
      <c r="AG61" s="73">
        <f>AF61*AI61/100</f>
        <v>0</v>
      </c>
      <c r="AH61" s="74" t="s">
        <v>1744</v>
      </c>
      <c r="AI61" s="75"/>
      <c r="AJ61" s="156"/>
      <c r="AK61" s="156"/>
      <c r="AL61" s="70">
        <f>AK61*AN61/100</f>
        <v>0</v>
      </c>
      <c r="AM61" s="71" t="s">
        <v>1744</v>
      </c>
      <c r="AN61" s="72"/>
    </row>
    <row r="62" spans="1:40" ht="15" customHeight="1">
      <c r="A62" s="155"/>
      <c r="B62" s="155"/>
      <c r="C62" s="155"/>
      <c r="D62" s="68">
        <f t="shared" si="0"/>
        <v>38.456000000000003</v>
      </c>
      <c r="E62" s="68">
        <f>人员信息!G31</f>
        <v>37.3065</v>
      </c>
      <c r="F62" s="156"/>
      <c r="G62" s="156"/>
      <c r="H62" s="70">
        <f>G61*J62/100</f>
        <v>9.1</v>
      </c>
      <c r="I62" s="70" t="s">
        <v>1745</v>
      </c>
      <c r="J62" s="72">
        <v>14</v>
      </c>
      <c r="K62" s="157"/>
      <c r="L62" s="157"/>
      <c r="M62" s="73">
        <f>L61*O62/100</f>
        <v>3.1559999999999997</v>
      </c>
      <c r="N62" s="73" t="s">
        <v>1745</v>
      </c>
      <c r="O62" s="75">
        <v>0.6</v>
      </c>
      <c r="P62" s="156"/>
      <c r="Q62" s="156"/>
      <c r="R62" s="70">
        <f>Q61*T62/100</f>
        <v>26.2</v>
      </c>
      <c r="S62" s="70" t="s">
        <v>1745</v>
      </c>
      <c r="T62" s="72">
        <v>13.1</v>
      </c>
      <c r="U62" s="157"/>
      <c r="V62" s="157"/>
      <c r="W62" s="73">
        <f>V61*Y62/100</f>
        <v>0</v>
      </c>
      <c r="X62" s="73" t="s">
        <v>1745</v>
      </c>
      <c r="Y62" s="75"/>
      <c r="Z62" s="156"/>
      <c r="AA62" s="156"/>
      <c r="AB62" s="70">
        <f>AA61*AD62/100</f>
        <v>0</v>
      </c>
      <c r="AC62" s="70" t="s">
        <v>1745</v>
      </c>
      <c r="AD62" s="72"/>
      <c r="AE62" s="157"/>
      <c r="AF62" s="157"/>
      <c r="AG62" s="73">
        <f>AF61*AI62/100</f>
        <v>0</v>
      </c>
      <c r="AH62" s="73" t="s">
        <v>1745</v>
      </c>
      <c r="AI62" s="75"/>
      <c r="AJ62" s="156"/>
      <c r="AK62" s="156"/>
      <c r="AL62" s="70">
        <f>AK61*AN62/100</f>
        <v>0</v>
      </c>
      <c r="AM62" s="70" t="s">
        <v>1745</v>
      </c>
      <c r="AN62" s="72"/>
    </row>
    <row r="63" spans="1:40" ht="15" customHeight="1">
      <c r="A63" s="155"/>
      <c r="B63" s="155"/>
      <c r="C63" s="155"/>
      <c r="D63" s="68">
        <f t="shared" si="0"/>
        <v>24.420999999999999</v>
      </c>
      <c r="E63" s="76"/>
      <c r="F63" s="156"/>
      <c r="G63" s="156"/>
      <c r="H63" s="70">
        <f>G61*J63/100</f>
        <v>6.6950000000000003</v>
      </c>
      <c r="I63" s="70" t="s">
        <v>1746</v>
      </c>
      <c r="J63" s="72">
        <v>10.3</v>
      </c>
      <c r="K63" s="157"/>
      <c r="L63" s="157"/>
      <c r="M63" s="73">
        <f>L61*O63/100</f>
        <v>0.52600000000000002</v>
      </c>
      <c r="N63" s="73" t="s">
        <v>1746</v>
      </c>
      <c r="O63" s="75">
        <v>0.1</v>
      </c>
      <c r="P63" s="156"/>
      <c r="Q63" s="156"/>
      <c r="R63" s="70">
        <f>Q61*T63/100</f>
        <v>17.2</v>
      </c>
      <c r="S63" s="70" t="s">
        <v>1746</v>
      </c>
      <c r="T63" s="72">
        <v>8.6</v>
      </c>
      <c r="U63" s="157"/>
      <c r="V63" s="157"/>
      <c r="W63" s="73">
        <f>V61*Y63/100</f>
        <v>0</v>
      </c>
      <c r="X63" s="73" t="s">
        <v>1746</v>
      </c>
      <c r="Y63" s="75"/>
      <c r="Z63" s="156"/>
      <c r="AA63" s="156"/>
      <c r="AB63" s="70">
        <f>AA61*AD63/100</f>
        <v>0</v>
      </c>
      <c r="AC63" s="70" t="s">
        <v>1746</v>
      </c>
      <c r="AD63" s="72"/>
      <c r="AE63" s="157"/>
      <c r="AF63" s="157"/>
      <c r="AG63" s="73">
        <f>AF61*AI63/100</f>
        <v>0</v>
      </c>
      <c r="AH63" s="73" t="s">
        <v>1746</v>
      </c>
      <c r="AI63" s="75"/>
      <c r="AJ63" s="156"/>
      <c r="AK63" s="156"/>
      <c r="AL63" s="70">
        <f>AK61*AN63/100</f>
        <v>0</v>
      </c>
      <c r="AM63" s="70" t="s">
        <v>1746</v>
      </c>
      <c r="AN63" s="72"/>
    </row>
    <row r="64" spans="1:40" ht="15" customHeight="1">
      <c r="A64" s="155"/>
      <c r="B64" s="155"/>
      <c r="C64" s="158" t="s">
        <v>1812</v>
      </c>
      <c r="D64" s="68">
        <f t="shared" si="0"/>
        <v>48.2</v>
      </c>
      <c r="E64" s="68">
        <f>人员信息!G30</f>
        <v>57.934800000000003</v>
      </c>
      <c r="F64" s="156" t="s">
        <v>280</v>
      </c>
      <c r="G64" s="156">
        <v>50</v>
      </c>
      <c r="H64" s="70">
        <f>G64*J64/100</f>
        <v>27.55</v>
      </c>
      <c r="I64" s="71" t="s">
        <v>1744</v>
      </c>
      <c r="J64" s="72">
        <v>55.1</v>
      </c>
      <c r="K64" s="157" t="s">
        <v>1776</v>
      </c>
      <c r="L64" s="157">
        <v>400</v>
      </c>
      <c r="M64" s="73">
        <f>L64*O64/100</f>
        <v>16.399999999999999</v>
      </c>
      <c r="N64" s="74" t="s">
        <v>1744</v>
      </c>
      <c r="O64" s="75">
        <v>4.0999999999999996</v>
      </c>
      <c r="P64" s="156" t="s">
        <v>1777</v>
      </c>
      <c r="Q64" s="156">
        <v>125</v>
      </c>
      <c r="R64" s="70">
        <f>Q64*T64/100</f>
        <v>4.25</v>
      </c>
      <c r="S64" s="71" t="s">
        <v>1744</v>
      </c>
      <c r="T64" s="72">
        <v>3.4</v>
      </c>
      <c r="U64" s="157"/>
      <c r="V64" s="157"/>
      <c r="W64" s="73">
        <f>V64*Y64/100</f>
        <v>0</v>
      </c>
      <c r="X64" s="74" t="s">
        <v>1744</v>
      </c>
      <c r="Y64" s="75"/>
      <c r="Z64" s="156"/>
      <c r="AA64" s="156"/>
      <c r="AB64" s="70">
        <f>AA64*AD64/100</f>
        <v>0</v>
      </c>
      <c r="AC64" s="71" t="s">
        <v>1744</v>
      </c>
      <c r="AD64" s="72"/>
      <c r="AE64" s="157"/>
      <c r="AF64" s="157"/>
      <c r="AG64" s="73">
        <f>AF64*AI64/100</f>
        <v>0</v>
      </c>
      <c r="AH64" s="74" t="s">
        <v>1744</v>
      </c>
      <c r="AI64" s="75"/>
      <c r="AJ64" s="156"/>
      <c r="AK64" s="156"/>
      <c r="AL64" s="70">
        <f>AK64*AN64/100</f>
        <v>0</v>
      </c>
      <c r="AM64" s="71" t="s">
        <v>1744</v>
      </c>
      <c r="AN64" s="72"/>
    </row>
    <row r="65" spans="1:40" ht="15" customHeight="1">
      <c r="A65" s="155"/>
      <c r="B65" s="155"/>
      <c r="C65" s="155"/>
      <c r="D65" s="68">
        <f t="shared" si="0"/>
        <v>37.549999999999997</v>
      </c>
      <c r="E65" s="68">
        <f>人员信息!G31</f>
        <v>37.3065</v>
      </c>
      <c r="F65" s="156"/>
      <c r="G65" s="156"/>
      <c r="H65" s="70">
        <f>G64*J65/100</f>
        <v>7</v>
      </c>
      <c r="I65" s="70" t="s">
        <v>1745</v>
      </c>
      <c r="J65" s="72">
        <v>14</v>
      </c>
      <c r="K65" s="157"/>
      <c r="L65" s="157"/>
      <c r="M65" s="73">
        <f>L64*O65/100</f>
        <v>10.8</v>
      </c>
      <c r="N65" s="73" t="s">
        <v>1745</v>
      </c>
      <c r="O65" s="75">
        <v>2.7</v>
      </c>
      <c r="P65" s="156"/>
      <c r="Q65" s="156"/>
      <c r="R65" s="70">
        <f>Q64*T65/100</f>
        <v>19.75</v>
      </c>
      <c r="S65" s="70" t="s">
        <v>1745</v>
      </c>
      <c r="T65" s="72">
        <v>15.8</v>
      </c>
      <c r="U65" s="157"/>
      <c r="V65" s="157"/>
      <c r="W65" s="73">
        <f>V64*Y65/100</f>
        <v>0</v>
      </c>
      <c r="X65" s="73" t="s">
        <v>1745</v>
      </c>
      <c r="Y65" s="75"/>
      <c r="Z65" s="156"/>
      <c r="AA65" s="156"/>
      <c r="AB65" s="70">
        <f>AA64*AD65/100</f>
        <v>0</v>
      </c>
      <c r="AC65" s="70" t="s">
        <v>1745</v>
      </c>
      <c r="AD65" s="72"/>
      <c r="AE65" s="157"/>
      <c r="AF65" s="157"/>
      <c r="AG65" s="73">
        <f>AF64*AI65/100</f>
        <v>0</v>
      </c>
      <c r="AH65" s="73" t="s">
        <v>1745</v>
      </c>
      <c r="AI65" s="75"/>
      <c r="AJ65" s="156"/>
      <c r="AK65" s="156"/>
      <c r="AL65" s="70">
        <f>AK64*AN65/100</f>
        <v>0</v>
      </c>
      <c r="AM65" s="70" t="s">
        <v>1745</v>
      </c>
      <c r="AN65" s="72"/>
    </row>
    <row r="66" spans="1:40" ht="15" customHeight="1">
      <c r="A66" s="155"/>
      <c r="B66" s="155"/>
      <c r="C66" s="155"/>
      <c r="D66" s="68">
        <f t="shared" si="0"/>
        <v>16.925000000000001</v>
      </c>
      <c r="E66" s="76"/>
      <c r="F66" s="156"/>
      <c r="G66" s="156"/>
      <c r="H66" s="70">
        <f>G64*J66/100</f>
        <v>5.15</v>
      </c>
      <c r="I66" s="70" t="s">
        <v>1746</v>
      </c>
      <c r="J66" s="72">
        <v>10.3</v>
      </c>
      <c r="K66" s="157"/>
      <c r="L66" s="157"/>
      <c r="M66" s="73">
        <f>L64*O66/100</f>
        <v>0.4</v>
      </c>
      <c r="N66" s="73" t="s">
        <v>1746</v>
      </c>
      <c r="O66" s="75">
        <v>0.1</v>
      </c>
      <c r="P66" s="156"/>
      <c r="Q66" s="156"/>
      <c r="R66" s="70">
        <f>Q64*T66/100</f>
        <v>11.375</v>
      </c>
      <c r="S66" s="70" t="s">
        <v>1746</v>
      </c>
      <c r="T66" s="72">
        <v>9.1</v>
      </c>
      <c r="U66" s="157"/>
      <c r="V66" s="157"/>
      <c r="W66" s="73">
        <f>V64*Y66/100</f>
        <v>0</v>
      </c>
      <c r="X66" s="73" t="s">
        <v>1746</v>
      </c>
      <c r="Y66" s="75"/>
      <c r="Z66" s="156"/>
      <c r="AA66" s="156"/>
      <c r="AB66" s="70">
        <f>AA64*AD66/100</f>
        <v>0</v>
      </c>
      <c r="AC66" s="70" t="s">
        <v>1746</v>
      </c>
      <c r="AD66" s="72"/>
      <c r="AE66" s="157"/>
      <c r="AF66" s="157"/>
      <c r="AG66" s="73">
        <f>AF64*AI66/100</f>
        <v>0</v>
      </c>
      <c r="AH66" s="73" t="s">
        <v>1746</v>
      </c>
      <c r="AI66" s="75"/>
      <c r="AJ66" s="156"/>
      <c r="AK66" s="156"/>
      <c r="AL66" s="70">
        <f>AK64*AN66/100</f>
        <v>0</v>
      </c>
      <c r="AM66" s="70" t="s">
        <v>1746</v>
      </c>
      <c r="AN66" s="72"/>
    </row>
    <row r="67" spans="1:40" ht="15" customHeight="1">
      <c r="A67" s="158" t="s">
        <v>255</v>
      </c>
      <c r="B67" s="155" t="s">
        <v>1780</v>
      </c>
      <c r="C67" s="158" t="s">
        <v>1813</v>
      </c>
      <c r="D67" s="68">
        <f t="shared" si="0"/>
        <v>0</v>
      </c>
      <c r="E67" s="68">
        <f>人员信息!H30</f>
        <v>16.552800000000001</v>
      </c>
      <c r="F67" s="156"/>
      <c r="G67" s="156"/>
      <c r="H67" s="70">
        <f>G67*(J67/100)</f>
        <v>0</v>
      </c>
      <c r="I67" s="71" t="s">
        <v>1752</v>
      </c>
      <c r="J67" s="72"/>
      <c r="K67" s="157"/>
      <c r="L67" s="157"/>
      <c r="M67" s="73">
        <f>L67*(O67/100)</f>
        <v>0</v>
      </c>
      <c r="N67" s="74" t="s">
        <v>1744</v>
      </c>
      <c r="O67" s="75"/>
      <c r="P67" s="156"/>
      <c r="Q67" s="156"/>
      <c r="R67" s="70">
        <f>Q67*(T67/100)</f>
        <v>0</v>
      </c>
      <c r="S67" s="71" t="s">
        <v>1744</v>
      </c>
      <c r="T67" s="72"/>
      <c r="U67" s="157"/>
      <c r="V67" s="157"/>
      <c r="W67" s="73">
        <f>V67*(Y67/100)</f>
        <v>0</v>
      </c>
      <c r="X67" s="74" t="s">
        <v>1744</v>
      </c>
      <c r="Y67" s="75"/>
      <c r="Z67" s="156"/>
      <c r="AA67" s="156"/>
      <c r="AB67" s="70">
        <f>AA67*(AD67/100)</f>
        <v>0</v>
      </c>
      <c r="AC67" s="71" t="s">
        <v>1752</v>
      </c>
      <c r="AD67" s="72"/>
      <c r="AE67" s="157"/>
      <c r="AF67" s="157"/>
      <c r="AG67" s="73">
        <f>AF67*(AI67/100)</f>
        <v>0</v>
      </c>
      <c r="AH67" s="74" t="s">
        <v>1744</v>
      </c>
      <c r="AI67" s="75"/>
      <c r="AJ67" s="156"/>
      <c r="AK67" s="156"/>
      <c r="AL67" s="70">
        <f>AK67*(AN67/100)</f>
        <v>0</v>
      </c>
      <c r="AM67" s="71" t="s">
        <v>1744</v>
      </c>
      <c r="AN67" s="72"/>
    </row>
    <row r="68" spans="1:40" ht="15" customHeight="1">
      <c r="A68" s="155"/>
      <c r="B68" s="155"/>
      <c r="C68" s="155"/>
      <c r="D68" s="68">
        <f t="shared" si="0"/>
        <v>0</v>
      </c>
      <c r="E68" s="68">
        <f>人员信息!H31</f>
        <v>10.659000000000001</v>
      </c>
      <c r="F68" s="156"/>
      <c r="G68" s="156"/>
      <c r="H68" s="70">
        <f>G67*(J68/100)</f>
        <v>0</v>
      </c>
      <c r="I68" s="70" t="s">
        <v>1745</v>
      </c>
      <c r="J68" s="72"/>
      <c r="K68" s="157"/>
      <c r="L68" s="157"/>
      <c r="M68" s="73">
        <f>L67*(O68/100)</f>
        <v>0</v>
      </c>
      <c r="N68" s="73" t="s">
        <v>1745</v>
      </c>
      <c r="O68" s="75"/>
      <c r="P68" s="156"/>
      <c r="Q68" s="156"/>
      <c r="R68" s="70">
        <f>Q67*(T68/100)</f>
        <v>0</v>
      </c>
      <c r="S68" s="70" t="s">
        <v>1745</v>
      </c>
      <c r="T68" s="72"/>
      <c r="U68" s="157"/>
      <c r="V68" s="157"/>
      <c r="W68" s="73">
        <f>V67*(Y68/100)</f>
        <v>0</v>
      </c>
      <c r="X68" s="73" t="s">
        <v>1745</v>
      </c>
      <c r="Y68" s="75"/>
      <c r="Z68" s="156"/>
      <c r="AA68" s="156"/>
      <c r="AB68" s="70">
        <f>AA67*(AD68/100)</f>
        <v>0</v>
      </c>
      <c r="AC68" s="70" t="s">
        <v>1745</v>
      </c>
      <c r="AD68" s="72"/>
      <c r="AE68" s="157"/>
      <c r="AF68" s="157"/>
      <c r="AG68" s="73">
        <f>AF67*(AI68/100)</f>
        <v>0</v>
      </c>
      <c r="AH68" s="73" t="s">
        <v>1745</v>
      </c>
      <c r="AI68" s="75"/>
      <c r="AJ68" s="156"/>
      <c r="AK68" s="156"/>
      <c r="AL68" s="70">
        <f>AK67*(AN68/100)</f>
        <v>0</v>
      </c>
      <c r="AM68" s="70" t="s">
        <v>1745</v>
      </c>
      <c r="AN68" s="72"/>
    </row>
    <row r="69" spans="1:40" ht="15" customHeight="1">
      <c r="A69" s="155"/>
      <c r="B69" s="155"/>
      <c r="C69" s="155"/>
      <c r="D69" s="68">
        <f t="shared" ref="D69:D87" si="1">H69+M69+R69+W69+AB69+AG69+AL69</f>
        <v>0</v>
      </c>
      <c r="E69" s="76"/>
      <c r="F69" s="156"/>
      <c r="G69" s="156"/>
      <c r="H69" s="70">
        <f>G67*(J69/100)</f>
        <v>0</v>
      </c>
      <c r="I69" s="70" t="s">
        <v>1746</v>
      </c>
      <c r="J69" s="72"/>
      <c r="K69" s="157"/>
      <c r="L69" s="157"/>
      <c r="M69" s="73">
        <f>L67*(O69/100)</f>
        <v>0</v>
      </c>
      <c r="N69" s="73" t="s">
        <v>1746</v>
      </c>
      <c r="O69" s="75"/>
      <c r="P69" s="156"/>
      <c r="Q69" s="156"/>
      <c r="R69" s="70">
        <f>Q67*(T69/100)</f>
        <v>0</v>
      </c>
      <c r="S69" s="70" t="s">
        <v>1746</v>
      </c>
      <c r="T69" s="72"/>
      <c r="U69" s="157"/>
      <c r="V69" s="157"/>
      <c r="W69" s="73">
        <f>V67*(Y69/100)</f>
        <v>0</v>
      </c>
      <c r="X69" s="73" t="s">
        <v>1746</v>
      </c>
      <c r="Y69" s="75"/>
      <c r="Z69" s="156"/>
      <c r="AA69" s="156"/>
      <c r="AB69" s="70">
        <f>AA67*(AD69/100)</f>
        <v>0</v>
      </c>
      <c r="AC69" s="70" t="s">
        <v>1746</v>
      </c>
      <c r="AD69" s="72"/>
      <c r="AE69" s="157"/>
      <c r="AF69" s="157"/>
      <c r="AG69" s="73">
        <f>AF67*(AI69/100)</f>
        <v>0</v>
      </c>
      <c r="AH69" s="73" t="s">
        <v>1746</v>
      </c>
      <c r="AI69" s="75"/>
      <c r="AJ69" s="156"/>
      <c r="AK69" s="156"/>
      <c r="AL69" s="70">
        <f>AK67*(AN69/100)</f>
        <v>0</v>
      </c>
      <c r="AM69" s="70" t="s">
        <v>1746</v>
      </c>
      <c r="AN69" s="72"/>
    </row>
    <row r="70" spans="1:40" ht="15" customHeight="1">
      <c r="A70" s="155"/>
      <c r="B70" s="155"/>
      <c r="C70" s="158" t="s">
        <v>1814</v>
      </c>
      <c r="D70" s="68">
        <f t="shared" si="1"/>
        <v>0</v>
      </c>
      <c r="E70" s="68">
        <f>人员信息!H30</f>
        <v>16.552800000000001</v>
      </c>
      <c r="F70" s="156"/>
      <c r="G70" s="156"/>
      <c r="H70" s="70">
        <f>G70*(J70/100)</f>
        <v>0</v>
      </c>
      <c r="I70" s="71" t="s">
        <v>1744</v>
      </c>
      <c r="J70" s="72"/>
      <c r="K70" s="157"/>
      <c r="L70" s="157"/>
      <c r="M70" s="73">
        <f>L70*(O70/100)</f>
        <v>0</v>
      </c>
      <c r="N70" s="74" t="s">
        <v>1744</v>
      </c>
      <c r="O70" s="75"/>
      <c r="P70" s="156"/>
      <c r="Q70" s="156"/>
      <c r="R70" s="70">
        <f>Q70*(T70/100)</f>
        <v>0</v>
      </c>
      <c r="S70" s="71" t="s">
        <v>1744</v>
      </c>
      <c r="T70" s="72"/>
      <c r="U70" s="157"/>
      <c r="V70" s="157"/>
      <c r="W70" s="73">
        <f>V70*(Y70/100)</f>
        <v>0</v>
      </c>
      <c r="X70" s="74" t="s">
        <v>1744</v>
      </c>
      <c r="Y70" s="75"/>
      <c r="Z70" s="156"/>
      <c r="AA70" s="156"/>
      <c r="AB70" s="70">
        <f>AA70*(AD70/100)</f>
        <v>0</v>
      </c>
      <c r="AC70" s="71" t="s">
        <v>1744</v>
      </c>
      <c r="AD70" s="72"/>
      <c r="AE70" s="157"/>
      <c r="AF70" s="157"/>
      <c r="AG70" s="73">
        <f>AF70*(AI70/100)</f>
        <v>0</v>
      </c>
      <c r="AH70" s="74" t="s">
        <v>1744</v>
      </c>
      <c r="AI70" s="75"/>
      <c r="AJ70" s="156"/>
      <c r="AK70" s="156"/>
      <c r="AL70" s="70">
        <f>AK70*(AN70/100)</f>
        <v>0</v>
      </c>
      <c r="AM70" s="71" t="s">
        <v>1744</v>
      </c>
      <c r="AN70" s="72"/>
    </row>
    <row r="71" spans="1:40" ht="15" customHeight="1">
      <c r="A71" s="155"/>
      <c r="B71" s="155"/>
      <c r="C71" s="155"/>
      <c r="D71" s="68">
        <f t="shared" si="1"/>
        <v>0</v>
      </c>
      <c r="E71" s="68">
        <f>人员信息!H31</f>
        <v>10.659000000000001</v>
      </c>
      <c r="F71" s="156"/>
      <c r="G71" s="156"/>
      <c r="H71" s="70">
        <f>G70*(J71/100)</f>
        <v>0</v>
      </c>
      <c r="I71" s="70" t="s">
        <v>1745</v>
      </c>
      <c r="J71" s="72"/>
      <c r="K71" s="157"/>
      <c r="L71" s="157"/>
      <c r="M71" s="73">
        <f>L70*(O71/100)</f>
        <v>0</v>
      </c>
      <c r="N71" s="73" t="s">
        <v>1745</v>
      </c>
      <c r="O71" s="75"/>
      <c r="P71" s="156"/>
      <c r="Q71" s="156"/>
      <c r="R71" s="70">
        <f>Q70*(T71/100)</f>
        <v>0</v>
      </c>
      <c r="S71" s="70" t="s">
        <v>1745</v>
      </c>
      <c r="T71" s="72"/>
      <c r="U71" s="157"/>
      <c r="V71" s="157"/>
      <c r="W71" s="73">
        <f>V70*(Y71/100)</f>
        <v>0</v>
      </c>
      <c r="X71" s="73" t="s">
        <v>1745</v>
      </c>
      <c r="Y71" s="75"/>
      <c r="Z71" s="156"/>
      <c r="AA71" s="156"/>
      <c r="AB71" s="70">
        <f>AA70*(AD71/100)</f>
        <v>0</v>
      </c>
      <c r="AC71" s="70" t="s">
        <v>1745</v>
      </c>
      <c r="AD71" s="72"/>
      <c r="AE71" s="157"/>
      <c r="AF71" s="157"/>
      <c r="AG71" s="73">
        <f>AF70*(AI71/100)</f>
        <v>0</v>
      </c>
      <c r="AH71" s="73" t="s">
        <v>1745</v>
      </c>
      <c r="AI71" s="75"/>
      <c r="AJ71" s="156"/>
      <c r="AK71" s="156"/>
      <c r="AL71" s="70">
        <f>AK70*(AN71/100)</f>
        <v>0</v>
      </c>
      <c r="AM71" s="70" t="s">
        <v>1745</v>
      </c>
      <c r="AN71" s="72"/>
    </row>
    <row r="72" spans="1:40" ht="15" customHeight="1">
      <c r="A72" s="155"/>
      <c r="B72" s="155"/>
      <c r="C72" s="155"/>
      <c r="D72" s="68">
        <f t="shared" si="1"/>
        <v>0</v>
      </c>
      <c r="E72" s="76"/>
      <c r="F72" s="156"/>
      <c r="G72" s="156"/>
      <c r="H72" s="70">
        <f>G70*(J72/100)</f>
        <v>0</v>
      </c>
      <c r="I72" s="70" t="s">
        <v>1746</v>
      </c>
      <c r="J72" s="72"/>
      <c r="K72" s="157"/>
      <c r="L72" s="157"/>
      <c r="M72" s="73">
        <f>L70*(O72/100)</f>
        <v>0</v>
      </c>
      <c r="N72" s="73" t="s">
        <v>1746</v>
      </c>
      <c r="O72" s="75"/>
      <c r="P72" s="156"/>
      <c r="Q72" s="156"/>
      <c r="R72" s="70">
        <f>Q70*(T72/100)</f>
        <v>0</v>
      </c>
      <c r="S72" s="70" t="s">
        <v>1746</v>
      </c>
      <c r="T72" s="72"/>
      <c r="U72" s="157"/>
      <c r="V72" s="157"/>
      <c r="W72" s="73">
        <f>V70*(Y72/100)</f>
        <v>0</v>
      </c>
      <c r="X72" s="73" t="s">
        <v>1746</v>
      </c>
      <c r="Y72" s="75"/>
      <c r="Z72" s="156"/>
      <c r="AA72" s="156"/>
      <c r="AB72" s="70">
        <f>AA70*(AD72/100)</f>
        <v>0</v>
      </c>
      <c r="AC72" s="70" t="s">
        <v>1746</v>
      </c>
      <c r="AD72" s="72"/>
      <c r="AE72" s="157"/>
      <c r="AF72" s="157"/>
      <c r="AG72" s="73">
        <f>AF70*(AI72/100)</f>
        <v>0</v>
      </c>
      <c r="AH72" s="73" t="s">
        <v>1746</v>
      </c>
      <c r="AI72" s="75"/>
      <c r="AJ72" s="156"/>
      <c r="AK72" s="156"/>
      <c r="AL72" s="70">
        <f>AK70*(AN72/100)</f>
        <v>0</v>
      </c>
      <c r="AM72" s="70" t="s">
        <v>1746</v>
      </c>
      <c r="AN72" s="72"/>
    </row>
    <row r="73" spans="1:40" ht="15" customHeight="1">
      <c r="A73" s="155"/>
      <c r="B73" s="155"/>
      <c r="C73" s="158" t="s">
        <v>1815</v>
      </c>
      <c r="D73" s="68">
        <f t="shared" si="1"/>
        <v>0</v>
      </c>
      <c r="E73" s="68">
        <f>人员信息!H30</f>
        <v>16.552800000000001</v>
      </c>
      <c r="F73" s="156"/>
      <c r="G73" s="156"/>
      <c r="H73" s="70">
        <f>G73*J73/100</f>
        <v>0</v>
      </c>
      <c r="I73" s="71" t="s">
        <v>1744</v>
      </c>
      <c r="J73" s="72"/>
      <c r="K73" s="157"/>
      <c r="L73" s="157"/>
      <c r="M73" s="73">
        <f>L73*O73/100</f>
        <v>0</v>
      </c>
      <c r="N73" s="74" t="s">
        <v>1744</v>
      </c>
      <c r="O73" s="75"/>
      <c r="P73" s="156"/>
      <c r="Q73" s="156"/>
      <c r="R73" s="70">
        <f>Q73*T73/100</f>
        <v>0</v>
      </c>
      <c r="S73" s="71" t="s">
        <v>1744</v>
      </c>
      <c r="T73" s="72"/>
      <c r="U73" s="157"/>
      <c r="V73" s="157"/>
      <c r="W73" s="73">
        <f>V73*Y73/100</f>
        <v>0</v>
      </c>
      <c r="X73" s="74" t="s">
        <v>1744</v>
      </c>
      <c r="Y73" s="75"/>
      <c r="Z73" s="156"/>
      <c r="AA73" s="156"/>
      <c r="AB73" s="70">
        <f>AA73*AD73/100</f>
        <v>0</v>
      </c>
      <c r="AC73" s="71" t="s">
        <v>1744</v>
      </c>
      <c r="AD73" s="72"/>
      <c r="AE73" s="157"/>
      <c r="AF73" s="157"/>
      <c r="AG73" s="73">
        <f>AF73*AI73/100</f>
        <v>0</v>
      </c>
      <c r="AH73" s="74" t="s">
        <v>1744</v>
      </c>
      <c r="AI73" s="75"/>
      <c r="AJ73" s="156"/>
      <c r="AK73" s="156"/>
      <c r="AL73" s="70">
        <f>AK73*AN73/100</f>
        <v>0</v>
      </c>
      <c r="AM73" s="71" t="s">
        <v>1744</v>
      </c>
      <c r="AN73" s="72"/>
    </row>
    <row r="74" spans="1:40" ht="15" customHeight="1">
      <c r="A74" s="155"/>
      <c r="B74" s="155"/>
      <c r="C74" s="155"/>
      <c r="D74" s="68">
        <f t="shared" si="1"/>
        <v>0</v>
      </c>
      <c r="E74" s="68">
        <f>人员信息!H31</f>
        <v>10.659000000000001</v>
      </c>
      <c r="F74" s="156"/>
      <c r="G74" s="156"/>
      <c r="H74" s="70">
        <f>G73*J74/100</f>
        <v>0</v>
      </c>
      <c r="I74" s="70" t="s">
        <v>1745</v>
      </c>
      <c r="J74" s="72"/>
      <c r="K74" s="157"/>
      <c r="L74" s="157"/>
      <c r="M74" s="73">
        <f>L73*O74/100</f>
        <v>0</v>
      </c>
      <c r="N74" s="73" t="s">
        <v>1745</v>
      </c>
      <c r="O74" s="75"/>
      <c r="P74" s="156"/>
      <c r="Q74" s="156"/>
      <c r="R74" s="70">
        <f>Q73*T74/100</f>
        <v>0</v>
      </c>
      <c r="S74" s="70" t="s">
        <v>1745</v>
      </c>
      <c r="T74" s="72"/>
      <c r="U74" s="157"/>
      <c r="V74" s="157"/>
      <c r="W74" s="73">
        <f>V73*Y74/100</f>
        <v>0</v>
      </c>
      <c r="X74" s="73" t="s">
        <v>1745</v>
      </c>
      <c r="Y74" s="75"/>
      <c r="Z74" s="156"/>
      <c r="AA74" s="156"/>
      <c r="AB74" s="70">
        <f>AA73*AD74/100</f>
        <v>0</v>
      </c>
      <c r="AC74" s="70" t="s">
        <v>1745</v>
      </c>
      <c r="AD74" s="72"/>
      <c r="AE74" s="157"/>
      <c r="AF74" s="157"/>
      <c r="AG74" s="73">
        <f>AF73*AI74/100</f>
        <v>0</v>
      </c>
      <c r="AH74" s="73" t="s">
        <v>1745</v>
      </c>
      <c r="AI74" s="75"/>
      <c r="AJ74" s="156"/>
      <c r="AK74" s="156"/>
      <c r="AL74" s="70">
        <f>AK73*AN74/100</f>
        <v>0</v>
      </c>
      <c r="AM74" s="70" t="s">
        <v>1745</v>
      </c>
      <c r="AN74" s="72"/>
    </row>
    <row r="75" spans="1:40" ht="15" customHeight="1">
      <c r="A75" s="155"/>
      <c r="B75" s="155"/>
      <c r="C75" s="155"/>
      <c r="D75" s="68">
        <f t="shared" si="1"/>
        <v>0</v>
      </c>
      <c r="E75" s="76"/>
      <c r="F75" s="156"/>
      <c r="G75" s="156"/>
      <c r="H75" s="70">
        <f>G73*J75/100</f>
        <v>0</v>
      </c>
      <c r="I75" s="70" t="s">
        <v>1746</v>
      </c>
      <c r="J75" s="72"/>
      <c r="K75" s="157"/>
      <c r="L75" s="157"/>
      <c r="M75" s="73">
        <f>L73*O75/100</f>
        <v>0</v>
      </c>
      <c r="N75" s="73" t="s">
        <v>1746</v>
      </c>
      <c r="O75" s="75"/>
      <c r="P75" s="156"/>
      <c r="Q75" s="156"/>
      <c r="R75" s="70">
        <f>Q73*T75/100</f>
        <v>0</v>
      </c>
      <c r="S75" s="70" t="s">
        <v>1746</v>
      </c>
      <c r="T75" s="72"/>
      <c r="U75" s="157"/>
      <c r="V75" s="157"/>
      <c r="W75" s="73">
        <f>V73*Y75/100</f>
        <v>0</v>
      </c>
      <c r="X75" s="73" t="s">
        <v>1746</v>
      </c>
      <c r="Y75" s="75"/>
      <c r="Z75" s="156"/>
      <c r="AA75" s="156"/>
      <c r="AB75" s="70">
        <f>AA73*AD75/100</f>
        <v>0</v>
      </c>
      <c r="AC75" s="70" t="s">
        <v>1746</v>
      </c>
      <c r="AD75" s="72"/>
      <c r="AE75" s="157"/>
      <c r="AF75" s="157"/>
      <c r="AG75" s="73">
        <f>AF73*AI75/100</f>
        <v>0</v>
      </c>
      <c r="AH75" s="73" t="s">
        <v>1746</v>
      </c>
      <c r="AI75" s="75"/>
      <c r="AJ75" s="156"/>
      <c r="AK75" s="156"/>
      <c r="AL75" s="70">
        <f>AK73*AN75/100</f>
        <v>0</v>
      </c>
      <c r="AM75" s="70" t="s">
        <v>1746</v>
      </c>
      <c r="AN75" s="72"/>
    </row>
    <row r="76" spans="1:40" ht="15" customHeight="1">
      <c r="A76" s="155"/>
      <c r="B76" s="155"/>
      <c r="C76" s="158" t="s">
        <v>1816</v>
      </c>
      <c r="D76" s="68">
        <f t="shared" si="1"/>
        <v>0</v>
      </c>
      <c r="E76" s="68">
        <f>人员信息!H30</f>
        <v>16.552800000000001</v>
      </c>
      <c r="F76" s="156"/>
      <c r="G76" s="156"/>
      <c r="H76" s="70">
        <f>G76*J76/100</f>
        <v>0</v>
      </c>
      <c r="I76" s="71" t="s">
        <v>1744</v>
      </c>
      <c r="J76" s="72"/>
      <c r="K76" s="157"/>
      <c r="L76" s="157"/>
      <c r="M76" s="73">
        <f>L76*O76/100</f>
        <v>0</v>
      </c>
      <c r="N76" s="74" t="s">
        <v>1744</v>
      </c>
      <c r="O76" s="75"/>
      <c r="P76" s="156"/>
      <c r="Q76" s="156"/>
      <c r="R76" s="70">
        <f>Q76*T76/100</f>
        <v>0</v>
      </c>
      <c r="S76" s="71" t="s">
        <v>1744</v>
      </c>
      <c r="T76" s="72"/>
      <c r="U76" s="157"/>
      <c r="V76" s="157"/>
      <c r="W76" s="73">
        <f>V76*Y76/100</f>
        <v>0</v>
      </c>
      <c r="X76" s="74" t="s">
        <v>1744</v>
      </c>
      <c r="Y76" s="75"/>
      <c r="Z76" s="156"/>
      <c r="AA76" s="156"/>
      <c r="AB76" s="70">
        <f>AA76*AD76/100</f>
        <v>0</v>
      </c>
      <c r="AC76" s="71" t="s">
        <v>1744</v>
      </c>
      <c r="AD76" s="72"/>
      <c r="AE76" s="157"/>
      <c r="AF76" s="157"/>
      <c r="AG76" s="73">
        <f>AF76*AI76/100</f>
        <v>0</v>
      </c>
      <c r="AH76" s="74" t="s">
        <v>1744</v>
      </c>
      <c r="AI76" s="75"/>
      <c r="AJ76" s="156"/>
      <c r="AK76" s="156"/>
      <c r="AL76" s="70">
        <f>AK76*AN76/100</f>
        <v>0</v>
      </c>
      <c r="AM76" s="71" t="s">
        <v>1744</v>
      </c>
      <c r="AN76" s="72"/>
    </row>
    <row r="77" spans="1:40" ht="15" customHeight="1">
      <c r="A77" s="155"/>
      <c r="B77" s="155"/>
      <c r="C77" s="155"/>
      <c r="D77" s="68">
        <f t="shared" si="1"/>
        <v>0</v>
      </c>
      <c r="E77" s="68">
        <f>人员信息!E31</f>
        <v>21.318000000000001</v>
      </c>
      <c r="F77" s="156"/>
      <c r="G77" s="156"/>
      <c r="H77" s="70">
        <f>G76*J77/100</f>
        <v>0</v>
      </c>
      <c r="I77" s="70" t="s">
        <v>1745</v>
      </c>
      <c r="J77" s="72"/>
      <c r="K77" s="157"/>
      <c r="L77" s="157"/>
      <c r="M77" s="73">
        <f>L76*O77/100</f>
        <v>0</v>
      </c>
      <c r="N77" s="73" t="s">
        <v>1745</v>
      </c>
      <c r="O77" s="75"/>
      <c r="P77" s="156"/>
      <c r="Q77" s="156"/>
      <c r="R77" s="70">
        <f>Q76*T77/100</f>
        <v>0</v>
      </c>
      <c r="S77" s="70" t="s">
        <v>1745</v>
      </c>
      <c r="T77" s="72"/>
      <c r="U77" s="157"/>
      <c r="V77" s="157"/>
      <c r="W77" s="73">
        <f>V76*Y77/100</f>
        <v>0</v>
      </c>
      <c r="X77" s="73" t="s">
        <v>1745</v>
      </c>
      <c r="Y77" s="75"/>
      <c r="Z77" s="156"/>
      <c r="AA77" s="156"/>
      <c r="AB77" s="70">
        <f>AA76*AD77/100</f>
        <v>0</v>
      </c>
      <c r="AC77" s="70" t="s">
        <v>1745</v>
      </c>
      <c r="AD77" s="72"/>
      <c r="AE77" s="157"/>
      <c r="AF77" s="157"/>
      <c r="AG77" s="73">
        <f>AF76*AI77/100</f>
        <v>0</v>
      </c>
      <c r="AH77" s="73" t="s">
        <v>1745</v>
      </c>
      <c r="AI77" s="75"/>
      <c r="AJ77" s="156"/>
      <c r="AK77" s="156"/>
      <c r="AL77" s="70">
        <f>AK76*AN77/100</f>
        <v>0</v>
      </c>
      <c r="AM77" s="70" t="s">
        <v>1745</v>
      </c>
      <c r="AN77" s="72"/>
    </row>
    <row r="78" spans="1:40" ht="15" customHeight="1">
      <c r="A78" s="155"/>
      <c r="B78" s="155"/>
      <c r="C78" s="155"/>
      <c r="D78" s="68">
        <f t="shared" si="1"/>
        <v>0</v>
      </c>
      <c r="E78" s="76"/>
      <c r="F78" s="156"/>
      <c r="G78" s="156"/>
      <c r="H78" s="70">
        <f>G76*J78/100</f>
        <v>0</v>
      </c>
      <c r="I78" s="70" t="s">
        <v>1746</v>
      </c>
      <c r="J78" s="72"/>
      <c r="K78" s="157"/>
      <c r="L78" s="157"/>
      <c r="M78" s="73">
        <f>L76*O78/100</f>
        <v>0</v>
      </c>
      <c r="N78" s="73" t="s">
        <v>1746</v>
      </c>
      <c r="O78" s="75"/>
      <c r="P78" s="156"/>
      <c r="Q78" s="156"/>
      <c r="R78" s="70">
        <f>Q76*T78/100</f>
        <v>0</v>
      </c>
      <c r="S78" s="70" t="s">
        <v>1746</v>
      </c>
      <c r="T78" s="72"/>
      <c r="U78" s="157"/>
      <c r="V78" s="157"/>
      <c r="W78" s="73">
        <f>V76*Y78/100</f>
        <v>0</v>
      </c>
      <c r="X78" s="73" t="s">
        <v>1746</v>
      </c>
      <c r="Y78" s="75"/>
      <c r="Z78" s="156"/>
      <c r="AA78" s="156"/>
      <c r="AB78" s="70">
        <f>AA76*AD78/100</f>
        <v>0</v>
      </c>
      <c r="AC78" s="70" t="s">
        <v>1746</v>
      </c>
      <c r="AD78" s="72"/>
      <c r="AE78" s="157"/>
      <c r="AF78" s="157"/>
      <c r="AG78" s="73">
        <f>AF76*AI78/100</f>
        <v>0</v>
      </c>
      <c r="AH78" s="73" t="s">
        <v>1746</v>
      </c>
      <c r="AI78" s="75"/>
      <c r="AJ78" s="156"/>
      <c r="AK78" s="156"/>
      <c r="AL78" s="70">
        <f>AK76*AN78/100</f>
        <v>0</v>
      </c>
      <c r="AM78" s="70" t="s">
        <v>1746</v>
      </c>
      <c r="AN78" s="72"/>
    </row>
    <row r="79" spans="1:40" ht="15" customHeight="1">
      <c r="A79" s="155"/>
      <c r="B79" s="155"/>
      <c r="C79" s="158" t="s">
        <v>1817</v>
      </c>
      <c r="D79" s="68">
        <f t="shared" si="1"/>
        <v>0</v>
      </c>
      <c r="E79" s="68">
        <f>人员信息!H30</f>
        <v>16.552800000000001</v>
      </c>
      <c r="F79" s="156"/>
      <c r="G79" s="156"/>
      <c r="H79" s="70">
        <f>G79*J79/100</f>
        <v>0</v>
      </c>
      <c r="I79" s="71" t="s">
        <v>1744</v>
      </c>
      <c r="J79" s="72"/>
      <c r="K79" s="157"/>
      <c r="L79" s="157"/>
      <c r="M79" s="73">
        <f>L79*O79/100</f>
        <v>0</v>
      </c>
      <c r="N79" s="74" t="s">
        <v>1744</v>
      </c>
      <c r="O79" s="75"/>
      <c r="P79" s="156"/>
      <c r="Q79" s="156"/>
      <c r="R79" s="70">
        <f>Q79*T79/100</f>
        <v>0</v>
      </c>
      <c r="S79" s="71" t="s">
        <v>1744</v>
      </c>
      <c r="T79" s="72"/>
      <c r="U79" s="157"/>
      <c r="V79" s="157"/>
      <c r="W79" s="73">
        <f>V79*Y79/100</f>
        <v>0</v>
      </c>
      <c r="X79" s="74" t="s">
        <v>1744</v>
      </c>
      <c r="Y79" s="75"/>
      <c r="Z79" s="156"/>
      <c r="AA79" s="156"/>
      <c r="AB79" s="70">
        <f>AA79*AD79/100</f>
        <v>0</v>
      </c>
      <c r="AC79" s="71" t="s">
        <v>1744</v>
      </c>
      <c r="AD79" s="72"/>
      <c r="AE79" s="157"/>
      <c r="AF79" s="157"/>
      <c r="AG79" s="73">
        <f>AF79*AI79/100</f>
        <v>0</v>
      </c>
      <c r="AH79" s="74" t="s">
        <v>1744</v>
      </c>
      <c r="AI79" s="75"/>
      <c r="AJ79" s="156"/>
      <c r="AK79" s="156"/>
      <c r="AL79" s="70">
        <f>AK79*AN79/100</f>
        <v>0</v>
      </c>
      <c r="AM79" s="71" t="s">
        <v>1744</v>
      </c>
      <c r="AN79" s="72"/>
    </row>
    <row r="80" spans="1:40" ht="15" customHeight="1">
      <c r="A80" s="155"/>
      <c r="B80" s="155"/>
      <c r="C80" s="155"/>
      <c r="D80" s="68">
        <f t="shared" si="1"/>
        <v>0</v>
      </c>
      <c r="E80" s="68">
        <f>人员信息!H31</f>
        <v>10.659000000000001</v>
      </c>
      <c r="F80" s="156"/>
      <c r="G80" s="156"/>
      <c r="H80" s="70">
        <f>G79*J80/100</f>
        <v>0</v>
      </c>
      <c r="I80" s="70" t="s">
        <v>1745</v>
      </c>
      <c r="J80" s="72"/>
      <c r="K80" s="157"/>
      <c r="L80" s="157"/>
      <c r="M80" s="73">
        <f>L79*O80/100</f>
        <v>0</v>
      </c>
      <c r="N80" s="73" t="s">
        <v>1745</v>
      </c>
      <c r="O80" s="75"/>
      <c r="P80" s="156"/>
      <c r="Q80" s="156"/>
      <c r="R80" s="70">
        <f>Q79*T80/100</f>
        <v>0</v>
      </c>
      <c r="S80" s="70" t="s">
        <v>1745</v>
      </c>
      <c r="T80" s="72"/>
      <c r="U80" s="157"/>
      <c r="V80" s="157"/>
      <c r="W80" s="73">
        <f>V79*Y80/100</f>
        <v>0</v>
      </c>
      <c r="X80" s="73" t="s">
        <v>1745</v>
      </c>
      <c r="Y80" s="75"/>
      <c r="Z80" s="156"/>
      <c r="AA80" s="156"/>
      <c r="AB80" s="70">
        <f>AA79*AD80/100</f>
        <v>0</v>
      </c>
      <c r="AC80" s="70" t="s">
        <v>1745</v>
      </c>
      <c r="AD80" s="72"/>
      <c r="AE80" s="157"/>
      <c r="AF80" s="157"/>
      <c r="AG80" s="73">
        <f>AF79*AI80/100</f>
        <v>0</v>
      </c>
      <c r="AH80" s="73" t="s">
        <v>1745</v>
      </c>
      <c r="AI80" s="75"/>
      <c r="AJ80" s="156"/>
      <c r="AK80" s="156"/>
      <c r="AL80" s="70">
        <f>AK79*AN80/100</f>
        <v>0</v>
      </c>
      <c r="AM80" s="70" t="s">
        <v>1745</v>
      </c>
      <c r="AN80" s="72"/>
    </row>
    <row r="81" spans="1:40" ht="15" customHeight="1">
      <c r="A81" s="155"/>
      <c r="B81" s="155"/>
      <c r="C81" s="155"/>
      <c r="D81" s="68">
        <f t="shared" si="1"/>
        <v>0</v>
      </c>
      <c r="E81" s="76"/>
      <c r="F81" s="156"/>
      <c r="G81" s="156"/>
      <c r="H81" s="70">
        <f>G79*J81/100</f>
        <v>0</v>
      </c>
      <c r="I81" s="70" t="s">
        <v>1746</v>
      </c>
      <c r="J81" s="72"/>
      <c r="K81" s="157"/>
      <c r="L81" s="157"/>
      <c r="M81" s="73">
        <f>L79*O81/100</f>
        <v>0</v>
      </c>
      <c r="N81" s="73" t="s">
        <v>1746</v>
      </c>
      <c r="O81" s="75"/>
      <c r="P81" s="156"/>
      <c r="Q81" s="156"/>
      <c r="R81" s="70">
        <f>Q79*T81/100</f>
        <v>0</v>
      </c>
      <c r="S81" s="70" t="s">
        <v>1746</v>
      </c>
      <c r="T81" s="72"/>
      <c r="U81" s="157"/>
      <c r="V81" s="157"/>
      <c r="W81" s="73">
        <f>V79*Y81/100</f>
        <v>0</v>
      </c>
      <c r="X81" s="73" t="s">
        <v>1746</v>
      </c>
      <c r="Y81" s="75"/>
      <c r="Z81" s="156"/>
      <c r="AA81" s="156"/>
      <c r="AB81" s="70">
        <f>AA79*AD81/100</f>
        <v>0</v>
      </c>
      <c r="AC81" s="70" t="s">
        <v>1746</v>
      </c>
      <c r="AD81" s="72"/>
      <c r="AE81" s="157"/>
      <c r="AF81" s="157"/>
      <c r="AG81" s="73">
        <f>AF79*AI81/100</f>
        <v>0</v>
      </c>
      <c r="AH81" s="73" t="s">
        <v>1746</v>
      </c>
      <c r="AI81" s="75"/>
      <c r="AJ81" s="156"/>
      <c r="AK81" s="156"/>
      <c r="AL81" s="70">
        <f>AK79*AN81/100</f>
        <v>0</v>
      </c>
      <c r="AM81" s="70" t="s">
        <v>1746</v>
      </c>
      <c r="AN81" s="72"/>
    </row>
    <row r="82" spans="1:40" ht="15" customHeight="1">
      <c r="A82" s="155"/>
      <c r="B82" s="155"/>
      <c r="C82" s="158" t="s">
        <v>1818</v>
      </c>
      <c r="D82" s="68">
        <f t="shared" si="1"/>
        <v>0</v>
      </c>
      <c r="E82" s="68">
        <f>人员信息!H30</f>
        <v>16.552800000000001</v>
      </c>
      <c r="F82" s="156"/>
      <c r="G82" s="156"/>
      <c r="H82" s="70">
        <f>G82*J82/100</f>
        <v>0</v>
      </c>
      <c r="I82" s="71" t="s">
        <v>1744</v>
      </c>
      <c r="J82" s="72"/>
      <c r="K82" s="157"/>
      <c r="L82" s="157"/>
      <c r="M82" s="73">
        <f>L82*O82/100</f>
        <v>0</v>
      </c>
      <c r="N82" s="74" t="s">
        <v>1744</v>
      </c>
      <c r="O82" s="75"/>
      <c r="P82" s="156"/>
      <c r="Q82" s="156"/>
      <c r="R82" s="70">
        <f>Q82*T82/100</f>
        <v>0</v>
      </c>
      <c r="S82" s="71" t="s">
        <v>1744</v>
      </c>
      <c r="T82" s="72"/>
      <c r="U82" s="157"/>
      <c r="V82" s="157"/>
      <c r="W82" s="73">
        <f>V82*Y82/100</f>
        <v>0</v>
      </c>
      <c r="X82" s="74" t="s">
        <v>1744</v>
      </c>
      <c r="Y82" s="75"/>
      <c r="Z82" s="156"/>
      <c r="AA82" s="156"/>
      <c r="AB82" s="70">
        <f>AA82*AD82/100</f>
        <v>0</v>
      </c>
      <c r="AC82" s="71" t="s">
        <v>1744</v>
      </c>
      <c r="AD82" s="72"/>
      <c r="AE82" s="157"/>
      <c r="AF82" s="157"/>
      <c r="AG82" s="73">
        <f>AF82*AI82/100</f>
        <v>0</v>
      </c>
      <c r="AH82" s="74" t="s">
        <v>1744</v>
      </c>
      <c r="AI82" s="75"/>
      <c r="AJ82" s="156"/>
      <c r="AK82" s="156"/>
      <c r="AL82" s="70">
        <f>AK82*AN82/100</f>
        <v>0</v>
      </c>
      <c r="AM82" s="71" t="s">
        <v>1744</v>
      </c>
      <c r="AN82" s="72"/>
    </row>
    <row r="83" spans="1:40" ht="15" customHeight="1">
      <c r="A83" s="155"/>
      <c r="B83" s="155"/>
      <c r="C83" s="155"/>
      <c r="D83" s="68">
        <f t="shared" si="1"/>
        <v>0</v>
      </c>
      <c r="E83" s="68">
        <f>人员信息!H31</f>
        <v>10.659000000000001</v>
      </c>
      <c r="F83" s="156"/>
      <c r="G83" s="156"/>
      <c r="H83" s="70">
        <f>G82*J83/100</f>
        <v>0</v>
      </c>
      <c r="I83" s="70" t="s">
        <v>1745</v>
      </c>
      <c r="J83" s="72"/>
      <c r="K83" s="157"/>
      <c r="L83" s="157"/>
      <c r="M83" s="73">
        <f>L82*O83/100</f>
        <v>0</v>
      </c>
      <c r="N83" s="73" t="s">
        <v>1745</v>
      </c>
      <c r="O83" s="75"/>
      <c r="P83" s="156"/>
      <c r="Q83" s="156"/>
      <c r="R83" s="70">
        <f>Q82*T83/100</f>
        <v>0</v>
      </c>
      <c r="S83" s="70" t="s">
        <v>1745</v>
      </c>
      <c r="T83" s="72"/>
      <c r="U83" s="157"/>
      <c r="V83" s="157"/>
      <c r="W83" s="73">
        <f>V82*Y83/100</f>
        <v>0</v>
      </c>
      <c r="X83" s="73" t="s">
        <v>1745</v>
      </c>
      <c r="Y83" s="75"/>
      <c r="Z83" s="156"/>
      <c r="AA83" s="156"/>
      <c r="AB83" s="70">
        <f>AA82*AD83/100</f>
        <v>0</v>
      </c>
      <c r="AC83" s="70" t="s">
        <v>1745</v>
      </c>
      <c r="AD83" s="72"/>
      <c r="AE83" s="157"/>
      <c r="AF83" s="157"/>
      <c r="AG83" s="73">
        <f>AF82*AI83/100</f>
        <v>0</v>
      </c>
      <c r="AH83" s="73" t="s">
        <v>1745</v>
      </c>
      <c r="AI83" s="75"/>
      <c r="AJ83" s="156"/>
      <c r="AK83" s="156"/>
      <c r="AL83" s="70">
        <f>AK82*AN83/100</f>
        <v>0</v>
      </c>
      <c r="AM83" s="70" t="s">
        <v>1745</v>
      </c>
      <c r="AN83" s="72"/>
    </row>
    <row r="84" spans="1:40" ht="15" customHeight="1">
      <c r="A84" s="155"/>
      <c r="B84" s="155"/>
      <c r="C84" s="155"/>
      <c r="D84" s="68">
        <f t="shared" si="1"/>
        <v>0</v>
      </c>
      <c r="E84" s="76"/>
      <c r="F84" s="156"/>
      <c r="G84" s="156"/>
      <c r="H84" s="70">
        <f>G82*J84/100</f>
        <v>0</v>
      </c>
      <c r="I84" s="70" t="s">
        <v>1746</v>
      </c>
      <c r="J84" s="72"/>
      <c r="K84" s="157"/>
      <c r="L84" s="157"/>
      <c r="M84" s="73">
        <f>L82*O84/100</f>
        <v>0</v>
      </c>
      <c r="N84" s="73" t="s">
        <v>1746</v>
      </c>
      <c r="O84" s="75"/>
      <c r="P84" s="156"/>
      <c r="Q84" s="156"/>
      <c r="R84" s="70">
        <f>Q82*T84/100</f>
        <v>0</v>
      </c>
      <c r="S84" s="70" t="s">
        <v>1746</v>
      </c>
      <c r="T84" s="72"/>
      <c r="U84" s="157"/>
      <c r="V84" s="157"/>
      <c r="W84" s="73">
        <f>V82*Y84/100</f>
        <v>0</v>
      </c>
      <c r="X84" s="73" t="s">
        <v>1746</v>
      </c>
      <c r="Y84" s="75"/>
      <c r="Z84" s="156"/>
      <c r="AA84" s="156"/>
      <c r="AB84" s="70">
        <f>AA82*AD84/100</f>
        <v>0</v>
      </c>
      <c r="AC84" s="70" t="s">
        <v>1746</v>
      </c>
      <c r="AD84" s="72"/>
      <c r="AE84" s="157"/>
      <c r="AF84" s="157"/>
      <c r="AG84" s="73">
        <f>AF82*AI84/100</f>
        <v>0</v>
      </c>
      <c r="AH84" s="73" t="s">
        <v>1746</v>
      </c>
      <c r="AI84" s="75"/>
      <c r="AJ84" s="156"/>
      <c r="AK84" s="156"/>
      <c r="AL84" s="70">
        <f>AK82*AN84/100</f>
        <v>0</v>
      </c>
      <c r="AM84" s="70" t="s">
        <v>1746</v>
      </c>
      <c r="AN84" s="72"/>
    </row>
    <row r="85" spans="1:40" ht="15" customHeight="1">
      <c r="A85" s="155"/>
      <c r="B85" s="155"/>
      <c r="C85" s="158" t="s">
        <v>1819</v>
      </c>
      <c r="D85" s="68">
        <f t="shared" si="1"/>
        <v>0</v>
      </c>
      <c r="E85" s="68">
        <f>人员信息!H30</f>
        <v>16.552800000000001</v>
      </c>
      <c r="F85" s="156"/>
      <c r="G85" s="156"/>
      <c r="H85" s="70">
        <f>G85*J85/100</f>
        <v>0</v>
      </c>
      <c r="I85" s="71" t="s">
        <v>1744</v>
      </c>
      <c r="J85" s="72"/>
      <c r="K85" s="157"/>
      <c r="L85" s="157"/>
      <c r="M85" s="73">
        <f>L85*O85/100</f>
        <v>0</v>
      </c>
      <c r="N85" s="74" t="s">
        <v>1744</v>
      </c>
      <c r="O85" s="75"/>
      <c r="P85" s="156"/>
      <c r="Q85" s="156"/>
      <c r="R85" s="70">
        <f>Q85*T85/100</f>
        <v>0</v>
      </c>
      <c r="S85" s="71" t="s">
        <v>1744</v>
      </c>
      <c r="T85" s="72"/>
      <c r="U85" s="157"/>
      <c r="V85" s="157"/>
      <c r="W85" s="73">
        <f>V85*Y85/100</f>
        <v>0</v>
      </c>
      <c r="X85" s="74" t="s">
        <v>1744</v>
      </c>
      <c r="Y85" s="75"/>
      <c r="Z85" s="156"/>
      <c r="AA85" s="156"/>
      <c r="AB85" s="70">
        <f>AA85*AD85/100</f>
        <v>0</v>
      </c>
      <c r="AC85" s="71" t="s">
        <v>1744</v>
      </c>
      <c r="AD85" s="72"/>
      <c r="AE85" s="157"/>
      <c r="AF85" s="157"/>
      <c r="AG85" s="73">
        <f>AF85*AI85/100</f>
        <v>0</v>
      </c>
      <c r="AH85" s="74" t="s">
        <v>1744</v>
      </c>
      <c r="AI85" s="75"/>
      <c r="AJ85" s="156"/>
      <c r="AK85" s="156"/>
      <c r="AL85" s="70">
        <f>AK85*AN85/100</f>
        <v>0</v>
      </c>
      <c r="AM85" s="71" t="s">
        <v>1744</v>
      </c>
      <c r="AN85" s="72"/>
    </row>
    <row r="86" spans="1:40" ht="15" customHeight="1">
      <c r="A86" s="155"/>
      <c r="B86" s="155"/>
      <c r="C86" s="155"/>
      <c r="D86" s="68">
        <f t="shared" si="1"/>
        <v>0</v>
      </c>
      <c r="E86" s="68">
        <f>人员信息!H31</f>
        <v>10.659000000000001</v>
      </c>
      <c r="F86" s="156"/>
      <c r="G86" s="156"/>
      <c r="H86" s="70">
        <f>G85*J86/100</f>
        <v>0</v>
      </c>
      <c r="I86" s="70" t="s">
        <v>1745</v>
      </c>
      <c r="J86" s="72"/>
      <c r="K86" s="157"/>
      <c r="L86" s="157"/>
      <c r="M86" s="73">
        <f>L85*O86/100</f>
        <v>0</v>
      </c>
      <c r="N86" s="73" t="s">
        <v>1745</v>
      </c>
      <c r="O86" s="75"/>
      <c r="P86" s="156"/>
      <c r="Q86" s="156"/>
      <c r="R86" s="70">
        <f>Q85*T86/100</f>
        <v>0</v>
      </c>
      <c r="S86" s="70" t="s">
        <v>1745</v>
      </c>
      <c r="T86" s="72"/>
      <c r="U86" s="157"/>
      <c r="V86" s="157"/>
      <c r="W86" s="73">
        <f>V85*Y86/100</f>
        <v>0</v>
      </c>
      <c r="X86" s="73" t="s">
        <v>1745</v>
      </c>
      <c r="Y86" s="75"/>
      <c r="Z86" s="156"/>
      <c r="AA86" s="156"/>
      <c r="AB86" s="70">
        <f>AA85*AD86/100</f>
        <v>0</v>
      </c>
      <c r="AC86" s="70" t="s">
        <v>1745</v>
      </c>
      <c r="AD86" s="72"/>
      <c r="AE86" s="157"/>
      <c r="AF86" s="157"/>
      <c r="AG86" s="73">
        <f>AF85*AI86/100</f>
        <v>0</v>
      </c>
      <c r="AH86" s="73" t="s">
        <v>1745</v>
      </c>
      <c r="AI86" s="75"/>
      <c r="AJ86" s="156"/>
      <c r="AK86" s="156"/>
      <c r="AL86" s="70">
        <f>AK85*AN86/100</f>
        <v>0</v>
      </c>
      <c r="AM86" s="70" t="s">
        <v>1745</v>
      </c>
      <c r="AN86" s="72"/>
    </row>
    <row r="87" spans="1:40" ht="15" customHeight="1">
      <c r="A87" s="155"/>
      <c r="B87" s="155"/>
      <c r="C87" s="155"/>
      <c r="D87" s="68">
        <f t="shared" si="1"/>
        <v>0</v>
      </c>
      <c r="E87" s="76"/>
      <c r="F87" s="156"/>
      <c r="G87" s="156"/>
      <c r="H87" s="70">
        <f>G85*J87/100</f>
        <v>0</v>
      </c>
      <c r="I87" s="70" t="s">
        <v>1746</v>
      </c>
      <c r="J87" s="72"/>
      <c r="K87" s="157"/>
      <c r="L87" s="157"/>
      <c r="M87" s="73">
        <f>L85*O87/100</f>
        <v>0</v>
      </c>
      <c r="N87" s="73" t="s">
        <v>1746</v>
      </c>
      <c r="O87" s="75"/>
      <c r="P87" s="156"/>
      <c r="Q87" s="156"/>
      <c r="R87" s="70">
        <f>Q85*T87/100</f>
        <v>0</v>
      </c>
      <c r="S87" s="70" t="s">
        <v>1746</v>
      </c>
      <c r="T87" s="72"/>
      <c r="U87" s="157"/>
      <c r="V87" s="157"/>
      <c r="W87" s="73">
        <f>V85*Y87/100</f>
        <v>0</v>
      </c>
      <c r="X87" s="73" t="s">
        <v>1746</v>
      </c>
      <c r="Y87" s="75"/>
      <c r="Z87" s="156"/>
      <c r="AA87" s="156"/>
      <c r="AB87" s="70">
        <f>AA85*AD87/100</f>
        <v>0</v>
      </c>
      <c r="AC87" s="70" t="s">
        <v>1746</v>
      </c>
      <c r="AD87" s="72"/>
      <c r="AE87" s="157"/>
      <c r="AF87" s="157"/>
      <c r="AG87" s="73">
        <f>AF85*AI87/100</f>
        <v>0</v>
      </c>
      <c r="AH87" s="73" t="s">
        <v>1746</v>
      </c>
      <c r="AI87" s="75"/>
      <c r="AJ87" s="156"/>
      <c r="AK87" s="156"/>
      <c r="AL87" s="70">
        <f>AK85*AN87/100</f>
        <v>0</v>
      </c>
      <c r="AM87" s="70" t="s">
        <v>1746</v>
      </c>
      <c r="AN87" s="72"/>
    </row>
    <row r="88" spans="1:40" ht="15" customHeight="1">
      <c r="A88" s="161" t="s">
        <v>154</v>
      </c>
      <c r="B88" s="161"/>
      <c r="C88" s="161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  <c r="X88" s="161"/>
      <c r="Y88" s="161"/>
      <c r="Z88" s="117"/>
      <c r="AA88" s="117"/>
      <c r="AB88" s="117"/>
      <c r="AC88" s="117"/>
      <c r="AD88" s="117"/>
      <c r="AE88" s="117"/>
      <c r="AF88" s="117"/>
      <c r="AG88" s="117"/>
      <c r="AH88" s="117"/>
      <c r="AI88" s="117"/>
      <c r="AJ88" s="117"/>
      <c r="AK88" s="117"/>
      <c r="AL88" s="117"/>
      <c r="AM88" s="117"/>
      <c r="AN88" s="117"/>
    </row>
    <row r="89" spans="1:40" ht="15" customHeight="1">
      <c r="A89" s="161" t="s">
        <v>155</v>
      </c>
      <c r="B89" s="161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17"/>
      <c r="AA89" s="117"/>
      <c r="AB89" s="117"/>
      <c r="AC89" s="117"/>
      <c r="AD89" s="117"/>
      <c r="AE89" s="117"/>
      <c r="AF89" s="117"/>
      <c r="AG89" s="117"/>
      <c r="AH89" s="117"/>
      <c r="AI89" s="117"/>
      <c r="AJ89" s="117"/>
      <c r="AK89" s="117"/>
      <c r="AL89" s="117"/>
      <c r="AM89" s="117"/>
      <c r="AN89" s="117"/>
    </row>
    <row r="90" spans="1:40" ht="15" customHeight="1">
      <c r="A90" s="100"/>
      <c r="B90" s="100"/>
      <c r="C90" s="100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</row>
    <row r="91" spans="1:40" ht="15" customHeight="1">
      <c r="A91" s="103" t="s">
        <v>1859</v>
      </c>
      <c r="B91" s="103" t="s">
        <v>1860</v>
      </c>
      <c r="C91" s="103"/>
      <c r="D91" s="104" t="s">
        <v>1790</v>
      </c>
      <c r="E91" s="104" t="s">
        <v>1791</v>
      </c>
      <c r="F91" s="104" t="s">
        <v>1789</v>
      </c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</row>
    <row r="92" spans="1:40" ht="15" customHeight="1">
      <c r="A92" s="104">
        <v>100</v>
      </c>
      <c r="B92" s="104">
        <v>110</v>
      </c>
      <c r="C92" s="104" t="s">
        <v>1861</v>
      </c>
      <c r="D92" s="104">
        <v>88</v>
      </c>
      <c r="E92" s="104">
        <v>126</v>
      </c>
      <c r="F92" s="104">
        <v>190</v>
      </c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</row>
    <row r="93" spans="1:40" ht="15" customHeight="1">
      <c r="A93" s="104">
        <v>80</v>
      </c>
      <c r="B93" s="104">
        <v>100</v>
      </c>
      <c r="C93" s="104" t="s">
        <v>1862</v>
      </c>
      <c r="D93" s="105"/>
      <c r="E93" s="105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</row>
    <row r="94" spans="1:40" ht="15" customHeight="1">
      <c r="A94" s="104">
        <v>70</v>
      </c>
      <c r="B94" s="104">
        <v>100</v>
      </c>
      <c r="C94" s="104" t="s">
        <v>1863</v>
      </c>
      <c r="D94" s="105"/>
      <c r="E94" s="105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</row>
    <row r="95" spans="1:40" ht="15" customHeight="1">
      <c r="A95" s="104">
        <v>90</v>
      </c>
      <c r="B95" s="104">
        <v>110</v>
      </c>
      <c r="C95" s="104" t="s">
        <v>1864</v>
      </c>
      <c r="D95" s="105"/>
      <c r="E95" s="105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</row>
    <row r="96" spans="1:40" ht="15" customHeight="1">
      <c r="A96" s="104">
        <v>80</v>
      </c>
      <c r="B96" s="104">
        <v>90</v>
      </c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</row>
    <row r="97" spans="1:37" ht="15" customHeight="1">
      <c r="A97" s="104">
        <v>111</v>
      </c>
      <c r="B97" s="104">
        <v>139</v>
      </c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</row>
    <row r="98" spans="1:37" ht="15" customHeight="1">
      <c r="A98" s="106">
        <v>70</v>
      </c>
      <c r="B98" s="106">
        <v>85</v>
      </c>
      <c r="C98" s="106"/>
      <c r="D98" s="107"/>
      <c r="E98" s="107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</row>
  </sheetData>
  <mergeCells count="432">
    <mergeCell ref="C85:C87"/>
    <mergeCell ref="F85:F87"/>
    <mergeCell ref="G85:G87"/>
    <mergeCell ref="K85:K87"/>
    <mergeCell ref="L85:L87"/>
    <mergeCell ref="P79:P81"/>
    <mergeCell ref="Q79:Q81"/>
    <mergeCell ref="C82:C84"/>
    <mergeCell ref="F82:F84"/>
    <mergeCell ref="G82:G84"/>
    <mergeCell ref="K82:K84"/>
    <mergeCell ref="L82:L84"/>
    <mergeCell ref="V76:V78"/>
    <mergeCell ref="U79:U81"/>
    <mergeCell ref="V79:V81"/>
    <mergeCell ref="U82:U84"/>
    <mergeCell ref="V82:V84"/>
    <mergeCell ref="U85:U87"/>
    <mergeCell ref="V85:V87"/>
    <mergeCell ref="P85:P87"/>
    <mergeCell ref="Q85:Q87"/>
    <mergeCell ref="U67:U69"/>
    <mergeCell ref="V67:V69"/>
    <mergeCell ref="U70:U72"/>
    <mergeCell ref="V70:V72"/>
    <mergeCell ref="U73:U75"/>
    <mergeCell ref="V73:V75"/>
    <mergeCell ref="A88:AN88"/>
    <mergeCell ref="A89:AN89"/>
    <mergeCell ref="P67:P69"/>
    <mergeCell ref="Q67:Q69"/>
    <mergeCell ref="C70:C72"/>
    <mergeCell ref="F70:F72"/>
    <mergeCell ref="G70:G72"/>
    <mergeCell ref="K70:K72"/>
    <mergeCell ref="L70:L72"/>
    <mergeCell ref="P70:P72"/>
    <mergeCell ref="Q70:Q72"/>
    <mergeCell ref="C67:C69"/>
    <mergeCell ref="F67:F69"/>
    <mergeCell ref="G67:G69"/>
    <mergeCell ref="K67:K69"/>
    <mergeCell ref="L67:L69"/>
    <mergeCell ref="P73:P75"/>
    <mergeCell ref="U76:U78"/>
    <mergeCell ref="U52:U54"/>
    <mergeCell ref="V52:V54"/>
    <mergeCell ref="U55:U57"/>
    <mergeCell ref="V55:V57"/>
    <mergeCell ref="U58:U60"/>
    <mergeCell ref="V58:V60"/>
    <mergeCell ref="U61:U63"/>
    <mergeCell ref="V61:V63"/>
    <mergeCell ref="U64:U66"/>
    <mergeCell ref="V64:V66"/>
    <mergeCell ref="U37:U39"/>
    <mergeCell ref="V37:V39"/>
    <mergeCell ref="U40:U42"/>
    <mergeCell ref="V40:V42"/>
    <mergeCell ref="U43:U45"/>
    <mergeCell ref="V43:V45"/>
    <mergeCell ref="U46:U48"/>
    <mergeCell ref="V46:V48"/>
    <mergeCell ref="U49:U51"/>
    <mergeCell ref="V49:V51"/>
    <mergeCell ref="U25:U27"/>
    <mergeCell ref="V25:V27"/>
    <mergeCell ref="U28:U30"/>
    <mergeCell ref="V28:V30"/>
    <mergeCell ref="U16:U18"/>
    <mergeCell ref="U31:U33"/>
    <mergeCell ref="V31:V33"/>
    <mergeCell ref="U34:U36"/>
    <mergeCell ref="V34:V36"/>
    <mergeCell ref="U13:U15"/>
    <mergeCell ref="V13:V15"/>
    <mergeCell ref="Z4:Z6"/>
    <mergeCell ref="Z10:Z12"/>
    <mergeCell ref="U4:U6"/>
    <mergeCell ref="V16:V18"/>
    <mergeCell ref="U19:U21"/>
    <mergeCell ref="V19:V21"/>
    <mergeCell ref="U22:U24"/>
    <mergeCell ref="V22:V24"/>
    <mergeCell ref="P4:P6"/>
    <mergeCell ref="Q4:Q6"/>
    <mergeCell ref="P7:P9"/>
    <mergeCell ref="Q7:Q9"/>
    <mergeCell ref="P10:P12"/>
    <mergeCell ref="V4:V6"/>
    <mergeCell ref="U7:U9"/>
    <mergeCell ref="V7:V9"/>
    <mergeCell ref="U10:U12"/>
    <mergeCell ref="V10:V12"/>
    <mergeCell ref="K4:K6"/>
    <mergeCell ref="L4:L6"/>
    <mergeCell ref="K7:K9"/>
    <mergeCell ref="L7:L9"/>
    <mergeCell ref="K10:K12"/>
    <mergeCell ref="L10:L12"/>
    <mergeCell ref="K16:K18"/>
    <mergeCell ref="L16:L18"/>
    <mergeCell ref="K13:K15"/>
    <mergeCell ref="A25:A45"/>
    <mergeCell ref="B25:B45"/>
    <mergeCell ref="C25:C27"/>
    <mergeCell ref="F25:F27"/>
    <mergeCell ref="G25:G27"/>
    <mergeCell ref="K25:K27"/>
    <mergeCell ref="L25:L27"/>
    <mergeCell ref="K19:K21"/>
    <mergeCell ref="L19:L21"/>
    <mergeCell ref="K22:K24"/>
    <mergeCell ref="A4:A24"/>
    <mergeCell ref="F4:F6"/>
    <mergeCell ref="G4:G6"/>
    <mergeCell ref="F7:F9"/>
    <mergeCell ref="G7:G9"/>
    <mergeCell ref="C10:C12"/>
    <mergeCell ref="F10:F12"/>
    <mergeCell ref="C19:C21"/>
    <mergeCell ref="F19:F21"/>
    <mergeCell ref="G19:G21"/>
    <mergeCell ref="C22:C24"/>
    <mergeCell ref="F22:F24"/>
    <mergeCell ref="G22:G24"/>
    <mergeCell ref="G10:G12"/>
    <mergeCell ref="C13:C15"/>
    <mergeCell ref="F13:F15"/>
    <mergeCell ref="G13:G15"/>
    <mergeCell ref="C16:C18"/>
    <mergeCell ref="F16:F18"/>
    <mergeCell ref="G16:G18"/>
    <mergeCell ref="P25:P27"/>
    <mergeCell ref="Q25:Q27"/>
    <mergeCell ref="Q10:Q12"/>
    <mergeCell ref="P13:P15"/>
    <mergeCell ref="Q13:Q15"/>
    <mergeCell ref="P16:P18"/>
    <mergeCell ref="Q16:Q18"/>
    <mergeCell ref="L13:L15"/>
    <mergeCell ref="L22:L24"/>
    <mergeCell ref="P19:P21"/>
    <mergeCell ref="Q19:Q21"/>
    <mergeCell ref="C28:C30"/>
    <mergeCell ref="F28:F30"/>
    <mergeCell ref="G28:G30"/>
    <mergeCell ref="P22:P24"/>
    <mergeCell ref="Q22:Q24"/>
    <mergeCell ref="B4:B24"/>
    <mergeCell ref="A67:A87"/>
    <mergeCell ref="B67:B87"/>
    <mergeCell ref="C4:C6"/>
    <mergeCell ref="C7:C9"/>
    <mergeCell ref="K28:K30"/>
    <mergeCell ref="L28:L30"/>
    <mergeCell ref="P28:P30"/>
    <mergeCell ref="Q28:Q30"/>
    <mergeCell ref="C31:C33"/>
    <mergeCell ref="F31:F33"/>
    <mergeCell ref="G31:G33"/>
    <mergeCell ref="K31:K33"/>
    <mergeCell ref="L31:L33"/>
    <mergeCell ref="P31:P33"/>
    <mergeCell ref="Q31:Q33"/>
    <mergeCell ref="P34:P36"/>
    <mergeCell ref="Q34:Q36"/>
    <mergeCell ref="C37:C39"/>
    <mergeCell ref="F37:F39"/>
    <mergeCell ref="G37:G39"/>
    <mergeCell ref="K37:K39"/>
    <mergeCell ref="L37:L39"/>
    <mergeCell ref="P37:P39"/>
    <mergeCell ref="Q37:Q39"/>
    <mergeCell ref="C34:C36"/>
    <mergeCell ref="F34:F36"/>
    <mergeCell ref="G34:G36"/>
    <mergeCell ref="K34:K36"/>
    <mergeCell ref="L34:L36"/>
    <mergeCell ref="P40:P42"/>
    <mergeCell ref="Q40:Q42"/>
    <mergeCell ref="C43:C45"/>
    <mergeCell ref="F43:F45"/>
    <mergeCell ref="G43:G45"/>
    <mergeCell ref="K43:K45"/>
    <mergeCell ref="L43:L45"/>
    <mergeCell ref="P43:P45"/>
    <mergeCell ref="Q43:Q45"/>
    <mergeCell ref="C40:C42"/>
    <mergeCell ref="F40:F42"/>
    <mergeCell ref="G40:G42"/>
    <mergeCell ref="K40:K42"/>
    <mergeCell ref="L40:L42"/>
    <mergeCell ref="A46:A66"/>
    <mergeCell ref="B46:B66"/>
    <mergeCell ref="C46:C48"/>
    <mergeCell ref="F46:F48"/>
    <mergeCell ref="G46:G48"/>
    <mergeCell ref="K46:K48"/>
    <mergeCell ref="L46:L48"/>
    <mergeCell ref="P46:P48"/>
    <mergeCell ref="Q46:Q48"/>
    <mergeCell ref="C49:C51"/>
    <mergeCell ref="F49:F51"/>
    <mergeCell ref="G49:G51"/>
    <mergeCell ref="K49:K51"/>
    <mergeCell ref="L49:L51"/>
    <mergeCell ref="P49:P51"/>
    <mergeCell ref="Q49:Q51"/>
    <mergeCell ref="C52:C54"/>
    <mergeCell ref="F52:F54"/>
    <mergeCell ref="G52:G54"/>
    <mergeCell ref="K52:K54"/>
    <mergeCell ref="L52:L54"/>
    <mergeCell ref="P52:P54"/>
    <mergeCell ref="Q52:Q54"/>
    <mergeCell ref="P55:P57"/>
    <mergeCell ref="Q55:Q57"/>
    <mergeCell ref="C58:C60"/>
    <mergeCell ref="F58:F60"/>
    <mergeCell ref="G58:G60"/>
    <mergeCell ref="K58:K60"/>
    <mergeCell ref="L58:L60"/>
    <mergeCell ref="P58:P60"/>
    <mergeCell ref="Q58:Q60"/>
    <mergeCell ref="C55:C57"/>
    <mergeCell ref="F55:F57"/>
    <mergeCell ref="G55:G57"/>
    <mergeCell ref="K55:K57"/>
    <mergeCell ref="L55:L57"/>
    <mergeCell ref="P61:P63"/>
    <mergeCell ref="Q61:Q63"/>
    <mergeCell ref="C64:C66"/>
    <mergeCell ref="F64:F66"/>
    <mergeCell ref="G64:G66"/>
    <mergeCell ref="K64:K66"/>
    <mergeCell ref="L64:L66"/>
    <mergeCell ref="P64:P66"/>
    <mergeCell ref="Q64:Q66"/>
    <mergeCell ref="C61:C63"/>
    <mergeCell ref="F61:F63"/>
    <mergeCell ref="G61:G63"/>
    <mergeCell ref="K61:K63"/>
    <mergeCell ref="L61:L63"/>
    <mergeCell ref="Q73:Q75"/>
    <mergeCell ref="C76:C78"/>
    <mergeCell ref="F76:F78"/>
    <mergeCell ref="G76:G78"/>
    <mergeCell ref="K76:K78"/>
    <mergeCell ref="L76:L78"/>
    <mergeCell ref="P76:P78"/>
    <mergeCell ref="Q76:Q78"/>
    <mergeCell ref="C73:C75"/>
    <mergeCell ref="F73:F75"/>
    <mergeCell ref="G73:G75"/>
    <mergeCell ref="K73:K75"/>
    <mergeCell ref="L73:L75"/>
    <mergeCell ref="P82:P84"/>
    <mergeCell ref="Q82:Q84"/>
    <mergeCell ref="C79:C81"/>
    <mergeCell ref="F79:F81"/>
    <mergeCell ref="G79:G81"/>
    <mergeCell ref="K79:K81"/>
    <mergeCell ref="L79:L81"/>
    <mergeCell ref="AA4:AA6"/>
    <mergeCell ref="AE4:AE6"/>
    <mergeCell ref="AA10:AA12"/>
    <mergeCell ref="AE10:AE12"/>
    <mergeCell ref="Z16:Z18"/>
    <mergeCell ref="AA16:AA18"/>
    <mergeCell ref="AE16:AE18"/>
    <mergeCell ref="Z22:Z24"/>
    <mergeCell ref="AA22:AA24"/>
    <mergeCell ref="AE22:AE24"/>
    <mergeCell ref="Z28:Z30"/>
    <mergeCell ref="AA28:AA30"/>
    <mergeCell ref="AE28:AE30"/>
    <mergeCell ref="Z34:Z36"/>
    <mergeCell ref="AA34:AA36"/>
    <mergeCell ref="AE34:AE36"/>
    <mergeCell ref="Z40:Z42"/>
    <mergeCell ref="AF4:AF6"/>
    <mergeCell ref="AJ4:AJ6"/>
    <mergeCell ref="AK4:AK6"/>
    <mergeCell ref="Z7:Z9"/>
    <mergeCell ref="AA7:AA9"/>
    <mergeCell ref="AE7:AE9"/>
    <mergeCell ref="AF7:AF9"/>
    <mergeCell ref="AJ7:AJ9"/>
    <mergeCell ref="AK7:AK9"/>
    <mergeCell ref="AF10:AF12"/>
    <mergeCell ref="AJ10:AJ12"/>
    <mergeCell ref="AK10:AK12"/>
    <mergeCell ref="Z13:Z15"/>
    <mergeCell ref="AA13:AA15"/>
    <mergeCell ref="AE13:AE15"/>
    <mergeCell ref="AF13:AF15"/>
    <mergeCell ref="AJ13:AJ15"/>
    <mergeCell ref="AK13:AK15"/>
    <mergeCell ref="AF16:AF18"/>
    <mergeCell ref="AJ16:AJ18"/>
    <mergeCell ref="AK16:AK18"/>
    <mergeCell ref="Z19:Z21"/>
    <mergeCell ref="AA19:AA21"/>
    <mergeCell ref="AE19:AE21"/>
    <mergeCell ref="AF19:AF21"/>
    <mergeCell ref="AJ19:AJ21"/>
    <mergeCell ref="AK19:AK21"/>
    <mergeCell ref="AF22:AF24"/>
    <mergeCell ref="AJ22:AJ24"/>
    <mergeCell ref="AK22:AK24"/>
    <mergeCell ref="Z25:Z27"/>
    <mergeCell ref="AA25:AA27"/>
    <mergeCell ref="AE25:AE27"/>
    <mergeCell ref="AF25:AF27"/>
    <mergeCell ref="AJ25:AJ27"/>
    <mergeCell ref="AK25:AK27"/>
    <mergeCell ref="AF28:AF30"/>
    <mergeCell ref="AJ28:AJ30"/>
    <mergeCell ref="AK28:AK30"/>
    <mergeCell ref="Z31:Z33"/>
    <mergeCell ref="AA31:AA33"/>
    <mergeCell ref="AE31:AE33"/>
    <mergeCell ref="AF31:AF33"/>
    <mergeCell ref="AJ31:AJ33"/>
    <mergeCell ref="AK31:AK33"/>
    <mergeCell ref="AF34:AF36"/>
    <mergeCell ref="AJ34:AJ36"/>
    <mergeCell ref="AK34:AK36"/>
    <mergeCell ref="Z37:Z39"/>
    <mergeCell ref="AA37:AA39"/>
    <mergeCell ref="AE37:AE39"/>
    <mergeCell ref="AF37:AF39"/>
    <mergeCell ref="AJ37:AJ39"/>
    <mergeCell ref="AK37:AK39"/>
    <mergeCell ref="AA40:AA42"/>
    <mergeCell ref="AE40:AE42"/>
    <mergeCell ref="AF40:AF42"/>
    <mergeCell ref="AJ40:AJ42"/>
    <mergeCell ref="AK40:AK42"/>
    <mergeCell ref="Z43:Z45"/>
    <mergeCell ref="AA43:AA45"/>
    <mergeCell ref="AE43:AE45"/>
    <mergeCell ref="AF43:AF45"/>
    <mergeCell ref="AJ43:AJ45"/>
    <mergeCell ref="AK43:AK45"/>
    <mergeCell ref="Z46:Z48"/>
    <mergeCell ref="AA46:AA48"/>
    <mergeCell ref="AE46:AE48"/>
    <mergeCell ref="AF46:AF48"/>
    <mergeCell ref="AJ46:AJ48"/>
    <mergeCell ref="AK46:AK48"/>
    <mergeCell ref="Z49:Z51"/>
    <mergeCell ref="AA49:AA51"/>
    <mergeCell ref="AE49:AE51"/>
    <mergeCell ref="AF49:AF51"/>
    <mergeCell ref="AJ49:AJ51"/>
    <mergeCell ref="AK49:AK51"/>
    <mergeCell ref="Z52:Z54"/>
    <mergeCell ref="AA52:AA54"/>
    <mergeCell ref="AE52:AE54"/>
    <mergeCell ref="AF52:AF54"/>
    <mergeCell ref="AJ52:AJ54"/>
    <mergeCell ref="AK52:AK54"/>
    <mergeCell ref="Z55:Z57"/>
    <mergeCell ref="AA55:AA57"/>
    <mergeCell ref="AE55:AE57"/>
    <mergeCell ref="AF55:AF57"/>
    <mergeCell ref="AJ55:AJ57"/>
    <mergeCell ref="AK55:AK57"/>
    <mergeCell ref="Z58:Z60"/>
    <mergeCell ref="AA58:AA60"/>
    <mergeCell ref="AE58:AE60"/>
    <mergeCell ref="AF58:AF60"/>
    <mergeCell ref="AJ58:AJ60"/>
    <mergeCell ref="AK58:AK60"/>
    <mergeCell ref="Z61:Z63"/>
    <mergeCell ref="AA61:AA63"/>
    <mergeCell ref="AE61:AE63"/>
    <mergeCell ref="AF61:AF63"/>
    <mergeCell ref="AJ61:AJ63"/>
    <mergeCell ref="AK61:AK63"/>
    <mergeCell ref="Z64:Z66"/>
    <mergeCell ref="AA64:AA66"/>
    <mergeCell ref="AE64:AE66"/>
    <mergeCell ref="AF64:AF66"/>
    <mergeCell ref="AJ64:AJ66"/>
    <mergeCell ref="AK64:AK66"/>
    <mergeCell ref="Z67:Z69"/>
    <mergeCell ref="AA67:AA69"/>
    <mergeCell ref="AE67:AE69"/>
    <mergeCell ref="AF67:AF69"/>
    <mergeCell ref="AJ67:AJ69"/>
    <mergeCell ref="AK67:AK69"/>
    <mergeCell ref="AJ79:AJ81"/>
    <mergeCell ref="AK79:AK81"/>
    <mergeCell ref="Z70:Z72"/>
    <mergeCell ref="AA70:AA72"/>
    <mergeCell ref="AE70:AE72"/>
    <mergeCell ref="AF70:AF72"/>
    <mergeCell ref="AJ70:AJ72"/>
    <mergeCell ref="AK70:AK72"/>
    <mergeCell ref="Z73:Z75"/>
    <mergeCell ref="AA73:AA75"/>
    <mergeCell ref="AE73:AE75"/>
    <mergeCell ref="AF73:AF75"/>
    <mergeCell ref="AJ73:AJ75"/>
    <mergeCell ref="AK73:AK75"/>
    <mergeCell ref="A1:AN1"/>
    <mergeCell ref="A2:AN2"/>
    <mergeCell ref="Z82:Z84"/>
    <mergeCell ref="AA82:AA84"/>
    <mergeCell ref="AE82:AE84"/>
    <mergeCell ref="AF82:AF84"/>
    <mergeCell ref="AJ82:AJ84"/>
    <mergeCell ref="AK82:AK84"/>
    <mergeCell ref="Z85:Z87"/>
    <mergeCell ref="AA85:AA87"/>
    <mergeCell ref="AE85:AE87"/>
    <mergeCell ref="AF85:AF87"/>
    <mergeCell ref="AJ85:AJ87"/>
    <mergeCell ref="AK85:AK87"/>
    <mergeCell ref="Z76:Z78"/>
    <mergeCell ref="AA76:AA78"/>
    <mergeCell ref="AE76:AE78"/>
    <mergeCell ref="AF76:AF78"/>
    <mergeCell ref="AJ76:AJ78"/>
    <mergeCell ref="AK76:AK78"/>
    <mergeCell ref="Z79:Z81"/>
    <mergeCell ref="AA79:AA81"/>
    <mergeCell ref="AE79:AE81"/>
    <mergeCell ref="AF79:AF81"/>
  </mergeCells>
  <phoneticPr fontId="15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All_Xu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316871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4ABF-B742-461E-8ADE-249A7B65A8D3}">
  <sheetPr codeName="Sheet3"/>
  <dimension ref="A1:AD98"/>
  <sheetViews>
    <sheetView zoomScale="150" zoomScaleNormal="150" workbookViewId="0">
      <pane xSplit="1" ySplit="39" topLeftCell="B40" activePane="bottomRight" state="frozen"/>
      <selection pane="topRight" activeCell="B1" sqref="B1"/>
      <selection pane="bottomLeft" activeCell="A40" sqref="A40"/>
      <selection pane="bottomRight" activeCell="E92" sqref="E92"/>
    </sheetView>
  </sheetViews>
  <sheetFormatPr defaultColWidth="10.375" defaultRowHeight="15.7"/>
  <cols>
    <col min="1" max="1" width="5.875" style="82" customWidth="1"/>
    <col min="2" max="2" width="10.375" style="80"/>
    <col min="3" max="20" width="10.375" style="79"/>
    <col min="21" max="16384" width="10.375" style="82"/>
  </cols>
  <sheetData>
    <row r="1" spans="1:30" s="79" customFormat="1">
      <c r="B1" s="80"/>
    </row>
    <row r="2" spans="1:30">
      <c r="A2" s="78" t="s">
        <v>1765</v>
      </c>
      <c r="B2" s="81" t="s">
        <v>1766</v>
      </c>
      <c r="C2" s="168" t="s">
        <v>1767</v>
      </c>
      <c r="D2" s="169"/>
      <c r="E2" s="169"/>
      <c r="F2" s="169"/>
      <c r="G2" s="169"/>
      <c r="H2" s="169"/>
      <c r="I2" s="170"/>
      <c r="J2" s="78" t="s">
        <v>1765</v>
      </c>
      <c r="K2" s="81" t="s">
        <v>1766</v>
      </c>
      <c r="L2" s="168" t="s">
        <v>1768</v>
      </c>
      <c r="M2" s="169"/>
      <c r="N2" s="169"/>
      <c r="O2" s="169"/>
      <c r="P2" s="169"/>
      <c r="Q2" s="169"/>
      <c r="R2" s="170"/>
    </row>
    <row r="3" spans="1:30" s="84" customFormat="1" ht="15" customHeight="1">
      <c r="A3" s="171" t="s">
        <v>257</v>
      </c>
      <c r="B3" s="94" t="s">
        <v>1820</v>
      </c>
      <c r="C3" s="83"/>
      <c r="D3" s="83"/>
      <c r="E3" s="83"/>
      <c r="F3" s="83"/>
      <c r="G3" s="83"/>
      <c r="H3" s="83"/>
      <c r="I3" s="83"/>
      <c r="J3" s="173" t="s">
        <v>257</v>
      </c>
      <c r="K3" s="94" t="s">
        <v>1820</v>
      </c>
      <c r="L3" s="83"/>
      <c r="M3" s="83"/>
      <c r="N3" s="83"/>
      <c r="O3" s="83"/>
      <c r="P3" s="83"/>
      <c r="Q3" s="83"/>
      <c r="R3" s="83"/>
      <c r="T3" s="79"/>
      <c r="U3" s="82"/>
      <c r="V3" s="82"/>
      <c r="W3" s="82"/>
      <c r="X3" s="82"/>
      <c r="Y3" s="82"/>
      <c r="Z3" s="82"/>
      <c r="AA3" s="82"/>
      <c r="AB3" s="82"/>
      <c r="AC3" s="82"/>
      <c r="AD3" s="82"/>
    </row>
    <row r="4" spans="1:30" s="84" customFormat="1" ht="15" customHeight="1">
      <c r="A4" s="172"/>
      <c r="B4" s="94" t="s">
        <v>1793</v>
      </c>
      <c r="C4" s="83"/>
      <c r="D4" s="83"/>
      <c r="E4" s="83"/>
      <c r="F4" s="83"/>
      <c r="G4" s="83"/>
      <c r="H4" s="83"/>
      <c r="I4" s="83"/>
      <c r="J4" s="172"/>
      <c r="K4" s="94" t="s">
        <v>1793</v>
      </c>
      <c r="L4" s="83"/>
      <c r="M4" s="83"/>
      <c r="N4" s="83"/>
      <c r="O4" s="83"/>
      <c r="P4" s="83"/>
      <c r="Q4" s="83"/>
      <c r="R4" s="83"/>
      <c r="T4" s="79"/>
      <c r="U4" s="82"/>
    </row>
    <row r="5" spans="1:30" s="84" customFormat="1" ht="15" customHeight="1">
      <c r="A5" s="172"/>
      <c r="B5" s="94" t="s">
        <v>1794</v>
      </c>
      <c r="C5" s="83"/>
      <c r="D5" s="83"/>
      <c r="E5" s="83"/>
      <c r="F5" s="83"/>
      <c r="G5" s="83"/>
      <c r="H5" s="83"/>
      <c r="I5" s="83"/>
      <c r="J5" s="172"/>
      <c r="K5" s="94" t="s">
        <v>1794</v>
      </c>
      <c r="L5" s="83"/>
      <c r="M5" s="83"/>
      <c r="N5" s="83"/>
      <c r="O5" s="83"/>
      <c r="P5" s="83"/>
      <c r="Q5" s="83"/>
      <c r="R5" s="83"/>
      <c r="T5" s="79"/>
      <c r="U5" s="82"/>
    </row>
    <row r="6" spans="1:30" s="84" customFormat="1" ht="15" customHeight="1">
      <c r="A6" s="172"/>
      <c r="B6" s="94" t="s">
        <v>1795</v>
      </c>
      <c r="C6" s="83"/>
      <c r="D6" s="83"/>
      <c r="E6" s="83"/>
      <c r="F6" s="83"/>
      <c r="G6" s="83"/>
      <c r="H6" s="83"/>
      <c r="I6" s="83"/>
      <c r="J6" s="172"/>
      <c r="K6" s="94" t="s">
        <v>1795</v>
      </c>
      <c r="L6" s="83"/>
      <c r="M6" s="83"/>
      <c r="N6" s="83"/>
      <c r="O6" s="83"/>
      <c r="P6" s="83"/>
      <c r="Q6" s="83"/>
      <c r="R6" s="83"/>
      <c r="T6" s="79"/>
      <c r="U6" s="82"/>
    </row>
    <row r="7" spans="1:30" s="84" customFormat="1" ht="15" customHeight="1">
      <c r="A7" s="172"/>
      <c r="B7" s="94" t="s">
        <v>1796</v>
      </c>
      <c r="C7" s="83"/>
      <c r="D7" s="83"/>
      <c r="E7" s="83"/>
      <c r="F7" s="83"/>
      <c r="G7" s="83"/>
      <c r="H7" s="83"/>
      <c r="I7" s="83"/>
      <c r="J7" s="172"/>
      <c r="K7" s="94" t="s">
        <v>1796</v>
      </c>
      <c r="L7" s="83"/>
      <c r="M7" s="83"/>
      <c r="N7" s="83"/>
      <c r="O7" s="83"/>
      <c r="P7" s="83"/>
      <c r="Q7" s="83"/>
      <c r="R7" s="83"/>
      <c r="T7" s="79"/>
      <c r="U7" s="82"/>
    </row>
    <row r="8" spans="1:30" s="84" customFormat="1" ht="15" customHeight="1">
      <c r="A8" s="172"/>
      <c r="B8" s="94" t="s">
        <v>1797</v>
      </c>
      <c r="C8" s="83"/>
      <c r="D8" s="83"/>
      <c r="E8" s="83"/>
      <c r="F8" s="83"/>
      <c r="G8" s="83"/>
      <c r="H8" s="83"/>
      <c r="I8" s="83"/>
      <c r="J8" s="172"/>
      <c r="K8" s="94" t="s">
        <v>1797</v>
      </c>
      <c r="L8" s="83"/>
      <c r="M8" s="83"/>
      <c r="N8" s="83"/>
      <c r="O8" s="83"/>
      <c r="P8" s="83"/>
      <c r="Q8" s="83"/>
      <c r="R8" s="83"/>
      <c r="T8" s="79"/>
      <c r="U8" s="82"/>
    </row>
    <row r="9" spans="1:30" s="84" customFormat="1" ht="15" customHeight="1">
      <c r="A9" s="172"/>
      <c r="B9" s="94" t="s">
        <v>1798</v>
      </c>
      <c r="C9" s="83"/>
      <c r="D9" s="83"/>
      <c r="E9" s="83"/>
      <c r="F9" s="83"/>
      <c r="G9" s="83"/>
      <c r="H9" s="83"/>
      <c r="I9" s="83"/>
      <c r="J9" s="172"/>
      <c r="K9" s="94" t="s">
        <v>1798</v>
      </c>
      <c r="L9" s="83"/>
      <c r="M9" s="83"/>
      <c r="N9" s="83"/>
      <c r="O9" s="83"/>
      <c r="P9" s="83"/>
      <c r="Q9" s="83"/>
      <c r="R9" s="83"/>
      <c r="T9" s="79"/>
      <c r="U9" s="82"/>
    </row>
    <row r="10" spans="1:30" s="84" customFormat="1" ht="15" customHeight="1">
      <c r="A10" s="171" t="s">
        <v>1758</v>
      </c>
      <c r="B10" s="94" t="s">
        <v>1821</v>
      </c>
      <c r="C10" s="83"/>
      <c r="D10" s="83"/>
      <c r="E10" s="83"/>
      <c r="F10" s="83"/>
      <c r="G10" s="83"/>
      <c r="H10" s="83"/>
      <c r="I10" s="83"/>
      <c r="J10" s="173" t="s">
        <v>1758</v>
      </c>
      <c r="K10" s="94" t="s">
        <v>1821</v>
      </c>
      <c r="L10" s="83"/>
      <c r="M10" s="83"/>
      <c r="N10" s="83"/>
      <c r="O10" s="83"/>
      <c r="P10" s="83"/>
      <c r="Q10" s="83"/>
      <c r="R10" s="83"/>
      <c r="T10" s="79"/>
      <c r="U10" s="82"/>
    </row>
    <row r="11" spans="1:30" s="84" customFormat="1" ht="15" customHeight="1">
      <c r="A11" s="172"/>
      <c r="B11" s="94" t="s">
        <v>1800</v>
      </c>
      <c r="C11" s="83"/>
      <c r="D11" s="83"/>
      <c r="E11" s="83"/>
      <c r="F11" s="83"/>
      <c r="G11" s="83"/>
      <c r="H11" s="83"/>
      <c r="I11" s="83"/>
      <c r="J11" s="172"/>
      <c r="K11" s="94" t="s">
        <v>1800</v>
      </c>
      <c r="L11" s="83"/>
      <c r="M11" s="83"/>
      <c r="N11" s="83"/>
      <c r="O11" s="83"/>
      <c r="P11" s="83"/>
      <c r="Q11" s="83"/>
      <c r="R11" s="83"/>
      <c r="T11" s="79"/>
      <c r="U11" s="82"/>
    </row>
    <row r="12" spans="1:30" s="84" customFormat="1" ht="15" customHeight="1">
      <c r="A12" s="172"/>
      <c r="B12" s="94" t="s">
        <v>1801</v>
      </c>
      <c r="C12" s="83"/>
      <c r="D12" s="83"/>
      <c r="E12" s="83"/>
      <c r="F12" s="83"/>
      <c r="G12" s="83"/>
      <c r="H12" s="83"/>
      <c r="I12" s="83"/>
      <c r="J12" s="172"/>
      <c r="K12" s="94" t="s">
        <v>1801</v>
      </c>
      <c r="L12" s="83"/>
      <c r="M12" s="83"/>
      <c r="N12" s="83"/>
      <c r="O12" s="83"/>
      <c r="P12" s="83"/>
      <c r="Q12" s="83"/>
      <c r="R12" s="83"/>
      <c r="T12" s="79"/>
      <c r="U12" s="82"/>
    </row>
    <row r="13" spans="1:30" s="84" customFormat="1" ht="15" customHeight="1">
      <c r="A13" s="172"/>
      <c r="B13" s="94" t="s">
        <v>1802</v>
      </c>
      <c r="C13" s="83"/>
      <c r="D13" s="83"/>
      <c r="E13" s="83"/>
      <c r="F13" s="83"/>
      <c r="G13" s="83"/>
      <c r="H13" s="83"/>
      <c r="I13" s="83"/>
      <c r="J13" s="172"/>
      <c r="K13" s="94" t="s">
        <v>1802</v>
      </c>
      <c r="L13" s="83"/>
      <c r="M13" s="83"/>
      <c r="N13" s="83"/>
      <c r="O13" s="83"/>
      <c r="P13" s="83"/>
      <c r="Q13" s="83"/>
      <c r="R13" s="83"/>
      <c r="T13" s="79"/>
      <c r="U13" s="82"/>
    </row>
    <row r="14" spans="1:30" s="84" customFormat="1" ht="15" customHeight="1">
      <c r="A14" s="172"/>
      <c r="B14" s="94" t="s">
        <v>1803</v>
      </c>
      <c r="C14" s="83"/>
      <c r="D14" s="83"/>
      <c r="E14" s="83"/>
      <c r="F14" s="83"/>
      <c r="G14" s="83"/>
      <c r="H14" s="83"/>
      <c r="I14" s="83"/>
      <c r="J14" s="172"/>
      <c r="K14" s="94" t="s">
        <v>1803</v>
      </c>
      <c r="L14" s="83"/>
      <c r="M14" s="83"/>
      <c r="N14" s="83"/>
      <c r="O14" s="83"/>
      <c r="P14" s="83"/>
      <c r="Q14" s="83"/>
      <c r="R14" s="83"/>
      <c r="T14" s="79"/>
      <c r="U14" s="82"/>
    </row>
    <row r="15" spans="1:30" s="84" customFormat="1" ht="15" customHeight="1">
      <c r="A15" s="172"/>
      <c r="B15" s="94" t="s">
        <v>1804</v>
      </c>
      <c r="C15" s="83"/>
      <c r="D15" s="83"/>
      <c r="E15" s="83"/>
      <c r="F15" s="83"/>
      <c r="G15" s="83"/>
      <c r="H15" s="83"/>
      <c r="I15" s="83"/>
      <c r="J15" s="172"/>
      <c r="K15" s="94" t="s">
        <v>1804</v>
      </c>
      <c r="L15" s="83"/>
      <c r="M15" s="83"/>
      <c r="N15" s="83"/>
      <c r="O15" s="83"/>
      <c r="P15" s="83"/>
      <c r="Q15" s="83"/>
      <c r="R15" s="83"/>
      <c r="T15" s="79"/>
      <c r="U15" s="82"/>
    </row>
    <row r="16" spans="1:30" s="84" customFormat="1" ht="15" customHeight="1">
      <c r="A16" s="172"/>
      <c r="B16" s="94" t="s">
        <v>1805</v>
      </c>
      <c r="C16" s="83"/>
      <c r="D16" s="83"/>
      <c r="E16" s="83"/>
      <c r="F16" s="83"/>
      <c r="G16" s="83"/>
      <c r="H16" s="83"/>
      <c r="I16" s="83"/>
      <c r="J16" s="172"/>
      <c r="K16" s="94" t="s">
        <v>1805</v>
      </c>
      <c r="L16" s="83"/>
      <c r="M16" s="83"/>
      <c r="N16" s="83"/>
      <c r="O16" s="83"/>
      <c r="P16" s="83"/>
      <c r="Q16" s="83"/>
      <c r="R16" s="83"/>
      <c r="T16" s="79"/>
      <c r="U16" s="82"/>
    </row>
    <row r="17" spans="1:21" s="84" customFormat="1" ht="15" customHeight="1">
      <c r="A17" s="171" t="s">
        <v>1759</v>
      </c>
      <c r="B17" s="94" t="s">
        <v>1822</v>
      </c>
      <c r="C17" s="78"/>
      <c r="D17" s="78"/>
      <c r="E17" s="78"/>
      <c r="F17" s="78"/>
      <c r="G17" s="78"/>
      <c r="H17" s="78"/>
      <c r="I17" s="78"/>
      <c r="J17" s="171" t="s">
        <v>259</v>
      </c>
      <c r="K17" s="94" t="s">
        <v>1824</v>
      </c>
      <c r="L17" s="78"/>
      <c r="M17" s="78"/>
      <c r="N17" s="78"/>
      <c r="O17" s="78"/>
      <c r="P17" s="78"/>
      <c r="Q17" s="78"/>
      <c r="R17" s="78"/>
      <c r="U17" s="82"/>
    </row>
    <row r="18" spans="1:21" s="84" customFormat="1" ht="15" customHeight="1">
      <c r="A18" s="172"/>
      <c r="B18" s="94" t="s">
        <v>1807</v>
      </c>
      <c r="C18" s="78"/>
      <c r="D18" s="78"/>
      <c r="E18" s="78"/>
      <c r="F18" s="78"/>
      <c r="G18" s="78"/>
      <c r="H18" s="78"/>
      <c r="I18" s="78"/>
      <c r="J18" s="172"/>
      <c r="K18" s="94" t="s">
        <v>1825</v>
      </c>
      <c r="L18" s="78"/>
      <c r="M18" s="78"/>
      <c r="N18" s="78"/>
      <c r="O18" s="78"/>
      <c r="P18" s="78"/>
      <c r="Q18" s="78"/>
      <c r="R18" s="78"/>
      <c r="U18" s="82"/>
    </row>
    <row r="19" spans="1:21" s="84" customFormat="1" ht="15" customHeight="1">
      <c r="A19" s="172"/>
      <c r="B19" s="94" t="s">
        <v>1808</v>
      </c>
      <c r="C19" s="78"/>
      <c r="D19" s="78"/>
      <c r="E19" s="78"/>
      <c r="F19" s="78"/>
      <c r="G19" s="78"/>
      <c r="H19" s="78"/>
      <c r="I19" s="78"/>
      <c r="J19" s="172"/>
      <c r="K19" s="94" t="s">
        <v>1826</v>
      </c>
      <c r="L19" s="78"/>
      <c r="M19" s="78"/>
      <c r="N19" s="78"/>
      <c r="O19" s="78"/>
      <c r="P19" s="78"/>
      <c r="Q19" s="78"/>
      <c r="R19" s="78"/>
      <c r="U19" s="82"/>
    </row>
    <row r="20" spans="1:21" s="84" customFormat="1" ht="15" customHeight="1">
      <c r="A20" s="172"/>
      <c r="B20" s="94" t="s">
        <v>1809</v>
      </c>
      <c r="C20" s="78"/>
      <c r="D20" s="78"/>
      <c r="E20" s="78"/>
      <c r="F20" s="78"/>
      <c r="G20" s="78"/>
      <c r="H20" s="78"/>
      <c r="I20" s="78"/>
      <c r="J20" s="172"/>
      <c r="K20" s="94" t="s">
        <v>1827</v>
      </c>
      <c r="L20" s="78"/>
      <c r="M20" s="78"/>
      <c r="N20" s="78"/>
      <c r="O20" s="78"/>
      <c r="P20" s="78"/>
      <c r="Q20" s="78"/>
      <c r="R20" s="78"/>
      <c r="U20" s="82"/>
    </row>
    <row r="21" spans="1:21" s="84" customFormat="1" ht="15" customHeight="1">
      <c r="A21" s="172"/>
      <c r="B21" s="94" t="s">
        <v>1810</v>
      </c>
      <c r="C21" s="78"/>
      <c r="D21" s="78"/>
      <c r="E21" s="78"/>
      <c r="F21" s="78"/>
      <c r="G21" s="78"/>
      <c r="H21" s="78"/>
      <c r="I21" s="78"/>
      <c r="J21" s="172"/>
      <c r="K21" s="94" t="s">
        <v>1828</v>
      </c>
      <c r="L21" s="78"/>
      <c r="M21" s="78"/>
      <c r="N21" s="78"/>
      <c r="O21" s="78"/>
      <c r="P21" s="78"/>
      <c r="Q21" s="78"/>
      <c r="R21" s="78"/>
      <c r="U21" s="82"/>
    </row>
    <row r="22" spans="1:21" s="84" customFormat="1" ht="15" customHeight="1">
      <c r="A22" s="172"/>
      <c r="B22" s="94" t="s">
        <v>1811</v>
      </c>
      <c r="C22" s="78"/>
      <c r="D22" s="78"/>
      <c r="E22" s="78"/>
      <c r="F22" s="78"/>
      <c r="G22" s="78"/>
      <c r="H22" s="78"/>
      <c r="I22" s="78"/>
      <c r="J22" s="172"/>
      <c r="K22" s="94" t="s">
        <v>1829</v>
      </c>
      <c r="L22" s="78"/>
      <c r="M22" s="78"/>
      <c r="N22" s="78"/>
      <c r="O22" s="78"/>
      <c r="P22" s="78"/>
      <c r="Q22" s="78"/>
      <c r="R22" s="78"/>
      <c r="U22" s="82"/>
    </row>
    <row r="23" spans="1:21" s="84" customFormat="1" ht="15" customHeight="1">
      <c r="A23" s="172"/>
      <c r="B23" s="94" t="s">
        <v>1812</v>
      </c>
      <c r="C23" s="78"/>
      <c r="D23" s="78"/>
      <c r="E23" s="78"/>
      <c r="F23" s="78"/>
      <c r="G23" s="78"/>
      <c r="H23" s="78"/>
      <c r="I23" s="78"/>
      <c r="J23" s="172"/>
      <c r="K23" s="94" t="s">
        <v>1830</v>
      </c>
      <c r="L23" s="78"/>
      <c r="M23" s="78"/>
      <c r="N23" s="78"/>
      <c r="O23" s="78"/>
      <c r="P23" s="78"/>
      <c r="Q23" s="78"/>
      <c r="R23" s="78"/>
      <c r="U23" s="82"/>
    </row>
    <row r="24" spans="1:21">
      <c r="A24" s="171" t="s">
        <v>255</v>
      </c>
      <c r="B24" s="94" t="s">
        <v>1823</v>
      </c>
      <c r="C24" s="78"/>
      <c r="D24" s="78"/>
      <c r="E24" s="78"/>
      <c r="F24" s="78"/>
      <c r="G24" s="78"/>
      <c r="H24" s="78"/>
      <c r="I24" s="78"/>
      <c r="J24" s="171" t="s">
        <v>1764</v>
      </c>
      <c r="K24" s="94" t="s">
        <v>1831</v>
      </c>
      <c r="L24" s="78"/>
      <c r="M24" s="78"/>
      <c r="N24" s="78"/>
      <c r="O24" s="78"/>
      <c r="P24" s="78"/>
      <c r="Q24" s="78"/>
      <c r="R24" s="78"/>
    </row>
    <row r="25" spans="1:21">
      <c r="A25" s="172"/>
      <c r="B25" s="94" t="s">
        <v>1814</v>
      </c>
      <c r="C25" s="78"/>
      <c r="D25" s="78"/>
      <c r="E25" s="78"/>
      <c r="F25" s="78"/>
      <c r="G25" s="78"/>
      <c r="H25" s="78"/>
      <c r="I25" s="78"/>
      <c r="J25" s="172"/>
      <c r="K25" s="94" t="s">
        <v>1832</v>
      </c>
      <c r="L25" s="78"/>
      <c r="M25" s="78"/>
      <c r="N25" s="78"/>
      <c r="O25" s="78"/>
      <c r="P25" s="78"/>
      <c r="Q25" s="78"/>
      <c r="R25" s="78"/>
    </row>
    <row r="26" spans="1:21">
      <c r="A26" s="172"/>
      <c r="B26" s="94" t="s">
        <v>1815</v>
      </c>
      <c r="C26" s="78"/>
      <c r="D26" s="78"/>
      <c r="E26" s="78"/>
      <c r="F26" s="78"/>
      <c r="G26" s="78"/>
      <c r="H26" s="78"/>
      <c r="I26" s="78"/>
      <c r="J26" s="172"/>
      <c r="K26" s="94" t="s">
        <v>1833</v>
      </c>
      <c r="L26" s="78"/>
      <c r="M26" s="78"/>
      <c r="N26" s="78"/>
      <c r="O26" s="78"/>
      <c r="P26" s="78"/>
      <c r="Q26" s="78"/>
      <c r="R26" s="78"/>
    </row>
    <row r="27" spans="1:21">
      <c r="A27" s="172"/>
      <c r="B27" s="94" t="s">
        <v>1816</v>
      </c>
      <c r="C27" s="78"/>
      <c r="D27" s="78"/>
      <c r="E27" s="78"/>
      <c r="F27" s="78"/>
      <c r="G27" s="78"/>
      <c r="H27" s="78"/>
      <c r="I27" s="78"/>
      <c r="J27" s="172"/>
      <c r="K27" s="94" t="s">
        <v>1834</v>
      </c>
      <c r="L27" s="78"/>
      <c r="M27" s="78"/>
      <c r="N27" s="78"/>
      <c r="O27" s="78"/>
      <c r="P27" s="78"/>
      <c r="Q27" s="78"/>
      <c r="R27" s="78"/>
    </row>
    <row r="28" spans="1:21">
      <c r="A28" s="172"/>
      <c r="B28" s="94" t="s">
        <v>1817</v>
      </c>
      <c r="C28" s="78"/>
      <c r="D28" s="78"/>
      <c r="E28" s="78"/>
      <c r="F28" s="78"/>
      <c r="G28" s="78"/>
      <c r="H28" s="78"/>
      <c r="I28" s="78"/>
      <c r="J28" s="172"/>
      <c r="K28" s="94" t="s">
        <v>1835</v>
      </c>
      <c r="L28" s="78"/>
      <c r="M28" s="78"/>
      <c r="N28" s="78"/>
      <c r="O28" s="78"/>
      <c r="P28" s="78"/>
      <c r="Q28" s="78"/>
      <c r="R28" s="78"/>
    </row>
    <row r="29" spans="1:21">
      <c r="A29" s="172"/>
      <c r="B29" s="94" t="s">
        <v>1818</v>
      </c>
      <c r="C29" s="78"/>
      <c r="D29" s="78"/>
      <c r="E29" s="78"/>
      <c r="F29" s="78"/>
      <c r="G29" s="78"/>
      <c r="H29" s="78"/>
      <c r="I29" s="78"/>
      <c r="J29" s="172"/>
      <c r="K29" s="94" t="s">
        <v>1836</v>
      </c>
      <c r="L29" s="78"/>
      <c r="M29" s="78"/>
      <c r="N29" s="78"/>
      <c r="O29" s="78"/>
      <c r="P29" s="78"/>
      <c r="Q29" s="78"/>
      <c r="R29" s="78"/>
    </row>
    <row r="30" spans="1:21">
      <c r="A30" s="172"/>
      <c r="B30" s="94" t="s">
        <v>1819</v>
      </c>
      <c r="C30" s="78"/>
      <c r="D30" s="78"/>
      <c r="E30" s="78"/>
      <c r="F30" s="78"/>
      <c r="G30" s="78"/>
      <c r="H30" s="78"/>
      <c r="I30" s="78"/>
      <c r="J30" s="172"/>
      <c r="K30" s="94" t="s">
        <v>1837</v>
      </c>
      <c r="L30" s="78"/>
      <c r="M30" s="78"/>
      <c r="N30" s="78"/>
      <c r="O30" s="78"/>
      <c r="P30" s="78"/>
      <c r="Q30" s="78"/>
      <c r="R30" s="78"/>
    </row>
    <row r="31" spans="1:21">
      <c r="J31" s="171" t="s">
        <v>255</v>
      </c>
      <c r="K31" s="94" t="s">
        <v>1823</v>
      </c>
      <c r="L31" s="78"/>
      <c r="M31" s="78"/>
      <c r="N31" s="78"/>
      <c r="O31" s="78"/>
      <c r="P31" s="78"/>
      <c r="Q31" s="78"/>
      <c r="R31" s="78"/>
    </row>
    <row r="32" spans="1:21">
      <c r="J32" s="172"/>
      <c r="K32" s="94" t="s">
        <v>1814</v>
      </c>
      <c r="L32" s="78"/>
      <c r="M32" s="78"/>
      <c r="N32" s="78"/>
      <c r="O32" s="78"/>
      <c r="P32" s="78"/>
      <c r="Q32" s="78"/>
      <c r="R32" s="78"/>
    </row>
    <row r="33" spans="1:20">
      <c r="J33" s="172"/>
      <c r="K33" s="94" t="s">
        <v>1815</v>
      </c>
      <c r="L33" s="78"/>
      <c r="M33" s="78"/>
      <c r="N33" s="78"/>
      <c r="O33" s="78"/>
      <c r="P33" s="78"/>
      <c r="Q33" s="78"/>
      <c r="R33" s="78"/>
    </row>
    <row r="34" spans="1:20">
      <c r="J34" s="172"/>
      <c r="K34" s="94" t="s">
        <v>1816</v>
      </c>
      <c r="L34" s="78"/>
      <c r="M34" s="78"/>
      <c r="N34" s="78"/>
      <c r="O34" s="78"/>
      <c r="P34" s="78"/>
      <c r="Q34" s="78"/>
      <c r="R34" s="78"/>
    </row>
    <row r="35" spans="1:20">
      <c r="J35" s="172"/>
      <c r="K35" s="94" t="s">
        <v>1817</v>
      </c>
      <c r="L35" s="78"/>
      <c r="M35" s="78"/>
      <c r="N35" s="78"/>
      <c r="O35" s="78"/>
      <c r="P35" s="78"/>
      <c r="Q35" s="78"/>
      <c r="R35" s="78"/>
    </row>
    <row r="36" spans="1:20">
      <c r="J36" s="172"/>
      <c r="K36" s="94" t="s">
        <v>1818</v>
      </c>
      <c r="L36" s="78"/>
      <c r="M36" s="78"/>
      <c r="N36" s="78"/>
      <c r="O36" s="78"/>
      <c r="P36" s="78"/>
      <c r="Q36" s="78"/>
      <c r="R36" s="78"/>
    </row>
    <row r="37" spans="1:20">
      <c r="J37" s="172"/>
      <c r="K37" s="94" t="s">
        <v>1819</v>
      </c>
      <c r="L37" s="78"/>
      <c r="M37" s="78"/>
      <c r="N37" s="78"/>
      <c r="O37" s="78"/>
      <c r="P37" s="78"/>
      <c r="Q37" s="78"/>
      <c r="R37" s="78"/>
    </row>
    <row r="38" spans="1:20">
      <c r="A38" s="174" t="s">
        <v>270</v>
      </c>
      <c r="B38" s="174"/>
      <c r="C38" s="174"/>
      <c r="D38" s="174"/>
      <c r="E38" s="174"/>
      <c r="F38" s="174"/>
      <c r="G38" s="174"/>
      <c r="H38" s="174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0">
      <c r="A39" s="22" t="s">
        <v>305</v>
      </c>
      <c r="B39" s="81" t="s">
        <v>285</v>
      </c>
      <c r="C39" s="22" t="s">
        <v>307</v>
      </c>
      <c r="D39" s="23" t="s">
        <v>289</v>
      </c>
      <c r="E39" s="23" t="s">
        <v>290</v>
      </c>
      <c r="F39" s="23" t="s">
        <v>10</v>
      </c>
      <c r="G39" s="23" t="s">
        <v>14</v>
      </c>
      <c r="H39" s="23" t="s">
        <v>291</v>
      </c>
      <c r="I39" s="23" t="s">
        <v>1742</v>
      </c>
      <c r="J39" s="23" t="s">
        <v>308</v>
      </c>
      <c r="K39" s="23" t="s">
        <v>309</v>
      </c>
      <c r="L39" s="23" t="s">
        <v>310</v>
      </c>
      <c r="M39" s="23" t="s">
        <v>311</v>
      </c>
      <c r="N39" s="23" t="s">
        <v>297</v>
      </c>
      <c r="O39" s="23" t="s">
        <v>298</v>
      </c>
      <c r="P39" s="23" t="s">
        <v>299</v>
      </c>
      <c r="Q39" s="23" t="s">
        <v>300</v>
      </c>
      <c r="R39" s="23" t="s">
        <v>301</v>
      </c>
      <c r="S39" s="23" t="s">
        <v>312</v>
      </c>
      <c r="T39" s="23" t="s">
        <v>304</v>
      </c>
    </row>
    <row r="40" spans="1:20">
      <c r="A40" s="176" t="s">
        <v>1865</v>
      </c>
      <c r="B40" s="104" t="s">
        <v>279</v>
      </c>
      <c r="C40" s="108"/>
      <c r="D40" s="108"/>
      <c r="E40" s="109"/>
      <c r="F40" s="109"/>
      <c r="G40" s="109"/>
      <c r="H40" s="109"/>
      <c r="I40" s="108">
        <v>75</v>
      </c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</row>
    <row r="41" spans="1:20" ht="31.4">
      <c r="A41" s="163"/>
      <c r="B41" s="104" t="s">
        <v>232</v>
      </c>
      <c r="C41" s="108"/>
      <c r="D41" s="108"/>
      <c r="E41" s="109"/>
      <c r="F41" s="109"/>
      <c r="G41" s="109"/>
      <c r="H41" s="109"/>
      <c r="I41" s="108">
        <v>25</v>
      </c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</row>
    <row r="42" spans="1:20" ht="31.4">
      <c r="A42" s="163"/>
      <c r="B42" s="104" t="s">
        <v>236</v>
      </c>
      <c r="C42" s="108"/>
      <c r="D42" s="108"/>
      <c r="E42" s="109"/>
      <c r="F42" s="109"/>
      <c r="G42" s="109"/>
      <c r="H42" s="109"/>
      <c r="I42" s="108">
        <v>30</v>
      </c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</row>
    <row r="43" spans="1:20" ht="31.4">
      <c r="A43" s="163"/>
      <c r="B43" s="104" t="s">
        <v>241</v>
      </c>
      <c r="C43" s="108"/>
      <c r="D43" s="108"/>
      <c r="E43" s="109"/>
      <c r="F43" s="109"/>
      <c r="G43" s="109"/>
      <c r="H43" s="109"/>
      <c r="I43" s="108">
        <v>10</v>
      </c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</row>
    <row r="44" spans="1:20" ht="31.4">
      <c r="A44" s="163"/>
      <c r="B44" s="104" t="s">
        <v>244</v>
      </c>
      <c r="C44" s="108"/>
      <c r="D44" s="108"/>
      <c r="E44" s="109"/>
      <c r="F44" s="109"/>
      <c r="G44" s="109"/>
      <c r="H44" s="109"/>
      <c r="I44" s="108">
        <v>32</v>
      </c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</row>
    <row r="45" spans="1:20" ht="31.4">
      <c r="A45" s="163"/>
      <c r="B45" s="104" t="s">
        <v>246</v>
      </c>
      <c r="C45" s="108"/>
      <c r="D45" s="108"/>
      <c r="E45" s="109"/>
      <c r="F45" s="109"/>
      <c r="G45" s="109"/>
      <c r="H45" s="109"/>
      <c r="I45" s="108">
        <v>80</v>
      </c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</row>
    <row r="46" spans="1:20">
      <c r="A46" s="163"/>
      <c r="B46" s="104" t="s">
        <v>248</v>
      </c>
      <c r="C46" s="108"/>
      <c r="D46" s="108"/>
      <c r="E46" s="109"/>
      <c r="F46" s="109"/>
      <c r="G46" s="109"/>
      <c r="H46" s="109"/>
      <c r="I46" s="108">
        <v>21</v>
      </c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</row>
    <row r="47" spans="1:20">
      <c r="A47" s="163"/>
      <c r="B47" s="104" t="s">
        <v>281</v>
      </c>
      <c r="C47" s="108"/>
      <c r="D47" s="108"/>
      <c r="E47" s="109"/>
      <c r="F47" s="109"/>
      <c r="G47" s="109"/>
      <c r="H47" s="109"/>
      <c r="I47" s="108">
        <v>75</v>
      </c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</row>
    <row r="48" spans="1:20">
      <c r="A48" s="163"/>
      <c r="B48" s="104" t="s">
        <v>1866</v>
      </c>
      <c r="C48" s="108"/>
      <c r="D48" s="108"/>
      <c r="E48" s="109"/>
      <c r="F48" s="109"/>
      <c r="G48" s="109"/>
      <c r="H48" s="109"/>
      <c r="I48" s="108">
        <v>76.8</v>
      </c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</row>
    <row r="49" spans="1:20" s="85" customFormat="1">
      <c r="A49" s="163"/>
      <c r="B49" s="104" t="s">
        <v>233</v>
      </c>
      <c r="C49" s="108"/>
      <c r="D49" s="108"/>
      <c r="E49" s="109"/>
      <c r="F49" s="109"/>
      <c r="G49" s="109"/>
      <c r="H49" s="109"/>
      <c r="I49" s="108">
        <v>65</v>
      </c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</row>
    <row r="50" spans="1:20" ht="31.4">
      <c r="A50" s="163"/>
      <c r="B50" s="110" t="s">
        <v>283</v>
      </c>
      <c r="C50" s="111"/>
      <c r="D50" s="111"/>
      <c r="E50" s="111"/>
      <c r="F50" s="111">
        <v>12.2</v>
      </c>
      <c r="G50" s="111">
        <v>0.8</v>
      </c>
      <c r="H50" s="112"/>
      <c r="I50" s="111">
        <v>76.8</v>
      </c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</row>
    <row r="51" spans="1:20">
      <c r="A51" s="163"/>
      <c r="B51" s="104" t="s">
        <v>237</v>
      </c>
      <c r="C51" s="108"/>
      <c r="D51" s="108"/>
      <c r="E51" s="108"/>
      <c r="F51" s="108"/>
      <c r="G51" s="109"/>
      <c r="H51" s="109"/>
      <c r="I51" s="108">
        <v>23</v>
      </c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</row>
    <row r="52" spans="1:20">
      <c r="A52" s="163"/>
      <c r="B52" s="104" t="s">
        <v>242</v>
      </c>
      <c r="C52" s="108"/>
      <c r="D52" s="108"/>
      <c r="E52" s="108"/>
      <c r="F52" s="108"/>
      <c r="G52" s="109"/>
      <c r="H52" s="109"/>
      <c r="I52" s="108">
        <v>50</v>
      </c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</row>
    <row r="53" spans="1:20" ht="31.4">
      <c r="A53" s="163"/>
      <c r="B53" s="104" t="s">
        <v>1867</v>
      </c>
      <c r="C53" s="108"/>
      <c r="D53" s="108"/>
      <c r="E53" s="108"/>
      <c r="F53" s="108">
        <v>7.1</v>
      </c>
      <c r="G53" s="108">
        <v>10.1</v>
      </c>
      <c r="H53" s="108"/>
      <c r="I53" s="108">
        <v>51.7</v>
      </c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</row>
    <row r="54" spans="1:20">
      <c r="A54" s="163"/>
      <c r="B54" s="104" t="s">
        <v>245</v>
      </c>
      <c r="C54" s="108"/>
      <c r="D54" s="108"/>
      <c r="E54" s="108"/>
      <c r="F54" s="108"/>
      <c r="G54" s="109"/>
      <c r="H54" s="109"/>
      <c r="I54" s="108">
        <v>50</v>
      </c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</row>
    <row r="55" spans="1:20">
      <c r="A55" s="163"/>
      <c r="B55" s="104" t="s">
        <v>1868</v>
      </c>
      <c r="C55" s="108"/>
      <c r="D55" s="108"/>
      <c r="E55" s="108"/>
      <c r="F55" s="108">
        <v>12.3</v>
      </c>
      <c r="G55" s="108">
        <v>2.5</v>
      </c>
      <c r="H55" s="108"/>
      <c r="I55" s="108">
        <v>65.099999999999994</v>
      </c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</row>
    <row r="56" spans="1:20">
      <c r="A56" s="163"/>
      <c r="B56" s="104" t="s">
        <v>230</v>
      </c>
      <c r="C56" s="108"/>
      <c r="D56" s="108"/>
      <c r="E56" s="108"/>
      <c r="F56" s="108"/>
      <c r="G56" s="109"/>
      <c r="H56" s="109"/>
      <c r="I56" s="108">
        <v>20</v>
      </c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</row>
    <row r="57" spans="1:20">
      <c r="A57" s="163"/>
      <c r="B57" s="104" t="s">
        <v>234</v>
      </c>
      <c r="C57" s="108"/>
      <c r="D57" s="108"/>
      <c r="E57" s="108"/>
      <c r="F57" s="108"/>
      <c r="G57" s="109"/>
      <c r="H57" s="109"/>
      <c r="I57" s="108">
        <v>18</v>
      </c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</row>
    <row r="58" spans="1:20">
      <c r="A58" s="163"/>
      <c r="B58" s="104" t="s">
        <v>238</v>
      </c>
      <c r="C58" s="108"/>
      <c r="D58" s="108"/>
      <c r="E58" s="108"/>
      <c r="F58" s="108"/>
      <c r="G58" s="109"/>
      <c r="H58" s="109"/>
      <c r="I58" s="108">
        <v>18</v>
      </c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</row>
    <row r="59" spans="1:20">
      <c r="A59" s="163"/>
      <c r="B59" s="104" t="s">
        <v>243</v>
      </c>
      <c r="C59" s="108"/>
      <c r="D59" s="108"/>
      <c r="E59" s="108"/>
      <c r="F59" s="108"/>
      <c r="G59" s="109"/>
      <c r="H59" s="109"/>
      <c r="I59" s="108">
        <v>38</v>
      </c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</row>
    <row r="60" spans="1:20">
      <c r="A60" s="163"/>
      <c r="B60" s="104" t="s">
        <v>282</v>
      </c>
      <c r="C60" s="108"/>
      <c r="D60" s="108"/>
      <c r="E60" s="108"/>
      <c r="F60" s="108"/>
      <c r="G60" s="109"/>
      <c r="H60" s="109"/>
      <c r="I60" s="108">
        <v>80</v>
      </c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</row>
    <row r="61" spans="1:20" ht="31.4">
      <c r="A61" s="163"/>
      <c r="B61" s="104" t="s">
        <v>247</v>
      </c>
      <c r="C61" s="108"/>
      <c r="D61" s="108"/>
      <c r="E61" s="108"/>
      <c r="F61" s="108"/>
      <c r="G61" s="109"/>
      <c r="H61" s="109"/>
      <c r="I61" s="108">
        <v>45</v>
      </c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</row>
    <row r="62" spans="1:20" s="85" customFormat="1" ht="31.4">
      <c r="A62" s="163"/>
      <c r="B62" s="104" t="s">
        <v>249</v>
      </c>
      <c r="C62" s="108"/>
      <c r="D62" s="108"/>
      <c r="E62" s="108"/>
      <c r="F62" s="108"/>
      <c r="G62" s="109"/>
      <c r="H62" s="109"/>
      <c r="I62" s="108">
        <v>60</v>
      </c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</row>
    <row r="63" spans="1:20">
      <c r="A63" s="164"/>
      <c r="B63" s="110" t="s">
        <v>280</v>
      </c>
      <c r="C63" s="111"/>
      <c r="D63" s="111"/>
      <c r="E63" s="111"/>
      <c r="F63" s="111">
        <v>14</v>
      </c>
      <c r="G63" s="111">
        <v>10.3</v>
      </c>
      <c r="H63" s="112"/>
      <c r="I63" s="111">
        <v>55.1</v>
      </c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</row>
    <row r="64" spans="1:20">
      <c r="A64" s="162" t="s">
        <v>1869</v>
      </c>
      <c r="B64" s="104" t="s">
        <v>1870</v>
      </c>
      <c r="C64" s="108"/>
      <c r="D64" s="108"/>
      <c r="E64" s="108"/>
      <c r="F64" s="108">
        <v>0.6</v>
      </c>
      <c r="G64" s="108">
        <v>0.1</v>
      </c>
      <c r="H64" s="108"/>
      <c r="I64" s="108">
        <v>3.2</v>
      </c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</row>
    <row r="65" spans="1:20">
      <c r="A65" s="163"/>
      <c r="B65" s="104" t="s">
        <v>1871</v>
      </c>
      <c r="C65" s="108"/>
      <c r="D65" s="108"/>
      <c r="E65" s="108"/>
      <c r="F65" s="108">
        <v>1.3</v>
      </c>
      <c r="G65" s="108">
        <v>0.5</v>
      </c>
      <c r="H65" s="108"/>
      <c r="I65" s="108">
        <v>2</v>
      </c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</row>
    <row r="66" spans="1:20">
      <c r="A66" s="163"/>
      <c r="B66" s="104" t="s">
        <v>1788</v>
      </c>
      <c r="C66" s="108"/>
      <c r="D66" s="108"/>
      <c r="E66" s="108"/>
      <c r="F66" s="108">
        <v>1.9</v>
      </c>
      <c r="G66" s="108">
        <v>0.2</v>
      </c>
      <c r="H66" s="108"/>
      <c r="I66" s="108">
        <v>2.4</v>
      </c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</row>
    <row r="67" spans="1:20">
      <c r="A67" s="163"/>
      <c r="B67" s="104" t="s">
        <v>1776</v>
      </c>
      <c r="C67" s="108"/>
      <c r="D67" s="108"/>
      <c r="E67" s="108"/>
      <c r="F67" s="108">
        <v>2.7</v>
      </c>
      <c r="G67" s="108">
        <v>0.1</v>
      </c>
      <c r="H67" s="108"/>
      <c r="I67" s="108">
        <v>4.0999999999999996</v>
      </c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</row>
    <row r="68" spans="1:20">
      <c r="A68" s="163"/>
      <c r="B68" s="104" t="s">
        <v>1872</v>
      </c>
      <c r="C68" s="108"/>
      <c r="D68" s="108"/>
      <c r="E68" s="108"/>
      <c r="F68" s="108">
        <v>0.3</v>
      </c>
      <c r="G68" s="108">
        <v>0.2</v>
      </c>
      <c r="H68" s="108"/>
      <c r="I68" s="108">
        <v>2.4</v>
      </c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</row>
    <row r="69" spans="1:20">
      <c r="A69" s="164"/>
      <c r="B69" s="104" t="s">
        <v>1873</v>
      </c>
      <c r="C69" s="108"/>
      <c r="D69" s="108"/>
      <c r="E69" s="108"/>
      <c r="F69" s="108">
        <v>2.6</v>
      </c>
      <c r="G69" s="108">
        <v>0.3</v>
      </c>
      <c r="H69" s="108"/>
      <c r="I69" s="108">
        <v>4.5</v>
      </c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</row>
    <row r="70" spans="1:20">
      <c r="A70" s="162" t="s">
        <v>1874</v>
      </c>
      <c r="B70" s="104" t="s">
        <v>1875</v>
      </c>
      <c r="C70" s="108"/>
      <c r="D70" s="108"/>
      <c r="E70" s="108"/>
      <c r="F70" s="108">
        <v>15.8</v>
      </c>
      <c r="G70" s="108">
        <v>9.1</v>
      </c>
      <c r="H70" s="108"/>
      <c r="I70" s="108">
        <v>3.4</v>
      </c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</row>
    <row r="71" spans="1:20">
      <c r="A71" s="163"/>
      <c r="B71" s="104" t="s">
        <v>231</v>
      </c>
      <c r="C71" s="108"/>
      <c r="D71" s="108"/>
      <c r="E71" s="108"/>
      <c r="F71" s="108">
        <v>20</v>
      </c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</row>
    <row r="72" spans="1:20">
      <c r="A72" s="163"/>
      <c r="B72" s="104" t="s">
        <v>1876</v>
      </c>
      <c r="C72" s="108"/>
      <c r="D72" s="108"/>
      <c r="E72" s="108"/>
      <c r="F72" s="108"/>
      <c r="G72" s="108">
        <v>99.9</v>
      </c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</row>
    <row r="73" spans="1:20" ht="31.4">
      <c r="A73" s="163"/>
      <c r="B73" s="104" t="s">
        <v>235</v>
      </c>
      <c r="C73" s="108"/>
      <c r="D73" s="108"/>
      <c r="E73" s="108"/>
      <c r="F73" s="108">
        <v>25</v>
      </c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</row>
    <row r="74" spans="1:20">
      <c r="A74" s="163"/>
      <c r="B74" s="104" t="s">
        <v>239</v>
      </c>
      <c r="C74" s="108"/>
      <c r="D74" s="108"/>
      <c r="E74" s="108"/>
      <c r="F74" s="108" t="s">
        <v>240</v>
      </c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</row>
    <row r="75" spans="1:20">
      <c r="A75" s="163"/>
      <c r="B75" s="104" t="s">
        <v>1772</v>
      </c>
      <c r="C75" s="108"/>
      <c r="D75" s="108"/>
      <c r="E75" s="108"/>
      <c r="F75" s="108">
        <v>13.1</v>
      </c>
      <c r="G75" s="108">
        <v>8.6</v>
      </c>
      <c r="H75" s="108"/>
      <c r="I75" s="108">
        <v>2.4</v>
      </c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</row>
    <row r="76" spans="1:20">
      <c r="A76" s="163"/>
      <c r="B76" s="104" t="s">
        <v>1771</v>
      </c>
      <c r="C76" s="108"/>
      <c r="D76" s="108"/>
      <c r="E76" s="108"/>
      <c r="F76" s="108">
        <v>3.6</v>
      </c>
      <c r="G76" s="108">
        <v>4.4000000000000004</v>
      </c>
      <c r="H76" s="108"/>
      <c r="I76" s="108">
        <v>5</v>
      </c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</row>
    <row r="77" spans="1:20">
      <c r="A77" s="163"/>
      <c r="B77" s="104" t="s">
        <v>1877</v>
      </c>
      <c r="C77" s="108"/>
      <c r="D77" s="108"/>
      <c r="E77" s="108"/>
      <c r="F77" s="108">
        <v>21.3</v>
      </c>
      <c r="G77" s="108">
        <v>2.5</v>
      </c>
      <c r="H77" s="108"/>
      <c r="I77" s="108">
        <v>1.3</v>
      </c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</row>
    <row r="78" spans="1:20">
      <c r="A78" s="163"/>
      <c r="B78" s="104" t="s">
        <v>1878</v>
      </c>
      <c r="C78" s="108"/>
      <c r="D78" s="108"/>
      <c r="E78" s="108"/>
      <c r="F78" s="108">
        <v>17.7</v>
      </c>
      <c r="G78" s="108">
        <v>4.0999999999999996</v>
      </c>
      <c r="H78" s="108"/>
      <c r="I78" s="108">
        <v>7.7</v>
      </c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</row>
    <row r="79" spans="1:20">
      <c r="A79" s="163"/>
      <c r="B79" s="104" t="s">
        <v>1879</v>
      </c>
      <c r="C79" s="108"/>
      <c r="D79" s="108"/>
      <c r="E79" s="108"/>
      <c r="F79" s="108">
        <v>18.5</v>
      </c>
      <c r="G79" s="108">
        <v>7.3</v>
      </c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</row>
    <row r="80" spans="1:20">
      <c r="A80" s="163"/>
      <c r="B80" s="104" t="s">
        <v>1782</v>
      </c>
      <c r="C80" s="108"/>
      <c r="D80" s="108"/>
      <c r="E80" s="108"/>
      <c r="F80" s="108">
        <v>45.6</v>
      </c>
      <c r="G80" s="108">
        <v>40</v>
      </c>
      <c r="H80" s="108"/>
      <c r="I80" s="108">
        <v>1.9</v>
      </c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</row>
    <row r="81" spans="1:20">
      <c r="A81" s="163"/>
      <c r="B81" s="104" t="s">
        <v>1880</v>
      </c>
      <c r="C81" s="108"/>
      <c r="D81" s="108"/>
      <c r="E81" s="108"/>
      <c r="F81" s="108">
        <v>14.2</v>
      </c>
      <c r="G81" s="108">
        <v>8</v>
      </c>
      <c r="H81" s="113"/>
      <c r="I81" s="108">
        <v>10</v>
      </c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</row>
    <row r="82" spans="1:20">
      <c r="A82" s="163"/>
      <c r="B82" s="104" t="s">
        <v>1881</v>
      </c>
      <c r="C82" s="108"/>
      <c r="D82" s="108"/>
      <c r="E82" s="108"/>
      <c r="F82" s="108">
        <v>10.199999999999999</v>
      </c>
      <c r="G82" s="108">
        <v>14.5</v>
      </c>
      <c r="H82" s="114"/>
      <c r="I82" s="108">
        <v>16.399999999999999</v>
      </c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</row>
    <row r="83" spans="1:20">
      <c r="A83" s="164"/>
      <c r="B83" s="104" t="s">
        <v>1783</v>
      </c>
      <c r="C83" s="108"/>
      <c r="D83" s="108"/>
      <c r="E83" s="108"/>
      <c r="F83" s="108">
        <v>27.3</v>
      </c>
      <c r="G83" s="108">
        <v>6.7</v>
      </c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</row>
    <row r="84" spans="1:20">
      <c r="A84" s="115" t="s">
        <v>1882</v>
      </c>
      <c r="B84" s="104" t="s">
        <v>1883</v>
      </c>
      <c r="C84" s="108"/>
      <c r="D84" s="108"/>
      <c r="E84" s="108"/>
      <c r="F84" s="108">
        <v>1.8</v>
      </c>
      <c r="G84" s="108">
        <v>0.2</v>
      </c>
      <c r="H84" s="108"/>
      <c r="I84" s="115">
        <v>27.8</v>
      </c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</row>
    <row r="85" spans="1:20">
      <c r="A85" s="162" t="s">
        <v>1884</v>
      </c>
      <c r="B85" s="104" t="s">
        <v>1785</v>
      </c>
      <c r="C85" s="108"/>
      <c r="D85" s="108"/>
      <c r="E85" s="108"/>
      <c r="F85" s="108">
        <v>1.8</v>
      </c>
      <c r="G85" s="108">
        <v>4.5</v>
      </c>
      <c r="H85" s="108"/>
      <c r="I85" s="108">
        <v>7.4</v>
      </c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</row>
    <row r="86" spans="1:20">
      <c r="A86" s="165"/>
      <c r="B86" s="104" t="s">
        <v>1885</v>
      </c>
      <c r="C86" s="108"/>
      <c r="D86" s="108"/>
      <c r="E86" s="108"/>
      <c r="F86" s="108">
        <v>27</v>
      </c>
      <c r="G86" s="108">
        <v>14.2</v>
      </c>
      <c r="H86" s="108"/>
      <c r="I86" s="108">
        <v>8.8000000000000007</v>
      </c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</row>
    <row r="87" spans="1:20">
      <c r="A87" s="165"/>
      <c r="B87" s="104" t="s">
        <v>1886</v>
      </c>
      <c r="C87" s="108"/>
      <c r="D87" s="108"/>
      <c r="E87" s="108"/>
      <c r="F87" s="108">
        <v>12.9</v>
      </c>
      <c r="G87" s="108">
        <v>7</v>
      </c>
      <c r="H87" s="108"/>
      <c r="I87" s="108">
        <v>9.1</v>
      </c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</row>
    <row r="88" spans="1:20">
      <c r="A88" s="165"/>
      <c r="B88" s="104" t="s">
        <v>1839</v>
      </c>
      <c r="C88" s="108"/>
      <c r="D88" s="108"/>
      <c r="E88" s="108"/>
      <c r="F88" s="108">
        <v>0.8</v>
      </c>
      <c r="G88" s="108">
        <v>0.2</v>
      </c>
      <c r="H88" s="108"/>
      <c r="I88" s="108">
        <v>5.3</v>
      </c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</row>
    <row r="89" spans="1:20" ht="31.4">
      <c r="A89" s="166"/>
      <c r="B89" s="104" t="s">
        <v>1887</v>
      </c>
      <c r="C89" s="108"/>
      <c r="D89" s="108"/>
      <c r="E89" s="108"/>
      <c r="F89" s="108">
        <v>22.2</v>
      </c>
      <c r="G89" s="108">
        <v>47.1</v>
      </c>
      <c r="H89" s="108"/>
      <c r="I89" s="108">
        <v>26.2</v>
      </c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</row>
    <row r="90" spans="1:20">
      <c r="A90" s="115"/>
      <c r="B90" s="104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</row>
    <row r="91" spans="1:20">
      <c r="A91" s="115"/>
      <c r="B91" s="104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</row>
    <row r="92" spans="1:20">
      <c r="A92" s="115"/>
      <c r="B92" s="104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</row>
    <row r="93" spans="1:20">
      <c r="A93" s="115"/>
      <c r="B93" s="104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</row>
    <row r="94" spans="1:20">
      <c r="A94" s="115"/>
      <c r="B94" s="104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</row>
    <row r="95" spans="1:20">
      <c r="A95" s="115"/>
      <c r="B95" s="104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</row>
    <row r="96" spans="1:20">
      <c r="A96" s="167" t="s">
        <v>250</v>
      </c>
      <c r="B96" s="167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</row>
    <row r="97" spans="1:20">
      <c r="A97" s="167" t="s">
        <v>251</v>
      </c>
      <c r="B97" s="167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67"/>
    </row>
    <row r="98" spans="1:20">
      <c r="A98" s="167" t="s">
        <v>252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67"/>
    </row>
  </sheetData>
  <mergeCells count="19">
    <mergeCell ref="J31:J37"/>
    <mergeCell ref="A38:T38"/>
    <mergeCell ref="A40:A63"/>
    <mergeCell ref="A64:A69"/>
    <mergeCell ref="A24:A30"/>
    <mergeCell ref="J3:J9"/>
    <mergeCell ref="J10:J16"/>
    <mergeCell ref="J17:J23"/>
    <mergeCell ref="J24:J30"/>
    <mergeCell ref="C2:I2"/>
    <mergeCell ref="L2:R2"/>
    <mergeCell ref="A3:A9"/>
    <mergeCell ref="A10:A16"/>
    <mergeCell ref="A17:A23"/>
    <mergeCell ref="A70:A83"/>
    <mergeCell ref="A85:A89"/>
    <mergeCell ref="A96:T96"/>
    <mergeCell ref="A97:T97"/>
    <mergeCell ref="A98:T98"/>
  </mergeCells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Xui_One1_1" altText="">
                <anchor moveWithCells="1" sizeWithCells="1">
                  <from>
                    <xdr:col>2</xdr:col>
                    <xdr:colOff>9053</xdr:colOff>
                    <xdr:row>2</xdr:row>
                    <xdr:rowOff>9053</xdr:rowOff>
                  </from>
                  <to>
                    <xdr:col>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5" name="Button 82">
              <controlPr defaultSize="0" print="0" autoFill="0" autoPict="0" macro="[0]!Xui_One1_2" altText="">
                <anchor moveWithCells="1" sizeWithCells="1">
                  <from>
                    <xdr:col>3</xdr:col>
                    <xdr:colOff>9053</xdr:colOff>
                    <xdr:row>2</xdr:row>
                    <xdr:rowOff>9053</xdr:rowOff>
                  </from>
                  <to>
                    <xdr:col>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6" name="Button 83">
              <controlPr defaultSize="0" print="0" autoFill="0" autoPict="0" macro="[0]!Xui_One1_3" altText="">
                <anchor moveWithCells="1" sizeWithCells="1">
                  <from>
                    <xdr:col>4</xdr:col>
                    <xdr:colOff>9053</xdr:colOff>
                    <xdr:row>2</xdr:row>
                    <xdr:rowOff>9053</xdr:rowOff>
                  </from>
                  <to>
                    <xdr:col>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Xui_One1_4" altText="">
                <anchor moveWithCells="1" sizeWithCells="1">
                  <from>
                    <xdr:col>5</xdr:col>
                    <xdr:colOff>9053</xdr:colOff>
                    <xdr:row>2</xdr:row>
                    <xdr:rowOff>9053</xdr:rowOff>
                  </from>
                  <to>
                    <xdr:col>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" name="Button 85">
              <controlPr defaultSize="0" print="0" autoFill="0" autoPict="0" macro="[0]!Xui_One2_1" altText="">
                <anchor moveWithCells="1" sizeWithCells="1">
                  <from>
                    <xdr:col>2</xdr:col>
                    <xdr:colOff>9053</xdr:colOff>
                    <xdr:row>3</xdr:row>
                    <xdr:rowOff>9053</xdr:rowOff>
                  </from>
                  <to>
                    <xdr:col>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9" name="Button 86">
              <controlPr defaultSize="0" print="0" autoFill="0" autoPict="0" macro="[0]!Xui_One3_1" altText="">
                <anchor moveWithCells="1" sizeWithCells="1">
                  <from>
                    <xdr:col>2</xdr:col>
                    <xdr:colOff>9053</xdr:colOff>
                    <xdr:row>4</xdr:row>
                    <xdr:rowOff>9053</xdr:rowOff>
                  </from>
                  <to>
                    <xdr:col>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0" name="Button 87">
              <controlPr defaultSize="0" print="0" autoFill="0" autoPict="0" macro="[0]!Xui_One4_1" altText="">
                <anchor moveWithCells="1" sizeWithCells="1">
                  <from>
                    <xdr:col>2</xdr:col>
                    <xdr:colOff>9053</xdr:colOff>
                    <xdr:row>5</xdr:row>
                    <xdr:rowOff>9053</xdr:rowOff>
                  </from>
                  <to>
                    <xdr:col>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" name="Button 88">
              <controlPr defaultSize="0" print="0" autoFill="0" autoPict="0" macro="[0]!Xui_One5_1" altText="">
                <anchor moveWithCells="1" sizeWithCells="1">
                  <from>
                    <xdr:col>2</xdr:col>
                    <xdr:colOff>9053</xdr:colOff>
                    <xdr:row>6</xdr:row>
                    <xdr:rowOff>9053</xdr:rowOff>
                  </from>
                  <to>
                    <xdr:col>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2" name="Button 89">
              <controlPr defaultSize="0" print="0" autoFill="0" autoPict="0" macro="[0]!Xui_One6_1" altText="">
                <anchor moveWithCells="1" sizeWithCells="1">
                  <from>
                    <xdr:col>2</xdr:col>
                    <xdr:colOff>9053</xdr:colOff>
                    <xdr:row>7</xdr:row>
                    <xdr:rowOff>9053</xdr:rowOff>
                  </from>
                  <to>
                    <xdr:col>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3" name="Button 90">
              <controlPr defaultSize="0" print="0" autoFill="0" autoPict="0" macro="[0]!Xui_One7_1" altText="">
                <anchor moveWithCells="1" sizeWithCells="1">
                  <from>
                    <xdr:col>2</xdr:col>
                    <xdr:colOff>9053</xdr:colOff>
                    <xdr:row>8</xdr:row>
                    <xdr:rowOff>9053</xdr:rowOff>
                  </from>
                  <to>
                    <xdr:col>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4" name="Button 91">
              <controlPr defaultSize="0" print="0" autoFill="0" autoPict="0" macro="[0]!Xui_Two8_1" altText="">
                <anchor moveWithCells="1" sizeWithCells="1">
                  <from>
                    <xdr:col>2</xdr:col>
                    <xdr:colOff>9053</xdr:colOff>
                    <xdr:row>9</xdr:row>
                    <xdr:rowOff>9053</xdr:rowOff>
                  </from>
                  <to>
                    <xdr:col>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5" name="Button 92">
              <controlPr defaultSize="0" print="0" autoFill="0" autoPict="0" macro="[0]!Xui_Two9_1" altText="">
                <anchor moveWithCells="1" sizeWithCells="1">
                  <from>
                    <xdr:col>2</xdr:col>
                    <xdr:colOff>9053</xdr:colOff>
                    <xdr:row>10</xdr:row>
                    <xdr:rowOff>9053</xdr:rowOff>
                  </from>
                  <to>
                    <xdr:col>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Xui_Two10_1" altText="">
                <anchor moveWithCells="1" sizeWithCells="1">
                  <from>
                    <xdr:col>2</xdr:col>
                    <xdr:colOff>9053</xdr:colOff>
                    <xdr:row>11</xdr:row>
                    <xdr:rowOff>9053</xdr:rowOff>
                  </from>
                  <to>
                    <xdr:col>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7" name="Button 94">
              <controlPr defaultSize="0" print="0" autoFill="0" autoPict="0" macro="[0]!Xui_Two11_1" altText="">
                <anchor moveWithCells="1" sizeWithCells="1">
                  <from>
                    <xdr:col>2</xdr:col>
                    <xdr:colOff>9053</xdr:colOff>
                    <xdr:row>12</xdr:row>
                    <xdr:rowOff>9053</xdr:rowOff>
                  </from>
                  <to>
                    <xdr:col>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8" name="Button 95">
              <controlPr defaultSize="0" print="0" autoFill="0" autoPict="0" macro="[0]!Xui_Two12_1" altText="">
                <anchor moveWithCells="1" sizeWithCells="1">
                  <from>
                    <xdr:col>2</xdr:col>
                    <xdr:colOff>9053</xdr:colOff>
                    <xdr:row>13</xdr:row>
                    <xdr:rowOff>9053</xdr:rowOff>
                  </from>
                  <to>
                    <xdr:col>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9" name="Button 96">
              <controlPr defaultSize="0" print="0" autoFill="0" autoPict="0" macro="[0]!Xui_Two13_1" altText="">
                <anchor moveWithCells="1" sizeWithCells="1">
                  <from>
                    <xdr:col>2</xdr:col>
                    <xdr:colOff>9053</xdr:colOff>
                    <xdr:row>14</xdr:row>
                    <xdr:rowOff>9053</xdr:rowOff>
                  </from>
                  <to>
                    <xdr:col>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20" name="Button 97">
              <controlPr defaultSize="0" print="0" autoFill="0" autoPict="0" macro="[0]!Xui_Two14_1" altText="">
                <anchor moveWithCells="1" sizeWithCells="1">
                  <from>
                    <xdr:col>2</xdr:col>
                    <xdr:colOff>9053</xdr:colOff>
                    <xdr:row>15</xdr:row>
                    <xdr:rowOff>9053</xdr:rowOff>
                  </from>
                  <to>
                    <xdr:col>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1" name="Button 98">
              <controlPr defaultSize="0" print="0" autoFill="0" autoPict="0" macro="[0]!Xui_Three15_1" altText="">
                <anchor moveWithCells="1" sizeWithCells="1">
                  <from>
                    <xdr:col>2</xdr:col>
                    <xdr:colOff>9053</xdr:colOff>
                    <xdr:row>16</xdr:row>
                    <xdr:rowOff>9053</xdr:rowOff>
                  </from>
                  <to>
                    <xdr:col>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22" name="Button 99">
              <controlPr defaultSize="0" print="0" autoFill="0" autoPict="0" macro="[0]!Xui_Three16_1" altText="">
                <anchor moveWithCells="1" sizeWithCells="1">
                  <from>
                    <xdr:col>2</xdr:col>
                    <xdr:colOff>9053</xdr:colOff>
                    <xdr:row>17</xdr:row>
                    <xdr:rowOff>9053</xdr:rowOff>
                  </from>
                  <to>
                    <xdr:col>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Xui_Three17_1" altText="">
                <anchor moveWithCells="1" sizeWithCells="1">
                  <from>
                    <xdr:col>2</xdr:col>
                    <xdr:colOff>9053</xdr:colOff>
                    <xdr:row>18</xdr:row>
                    <xdr:rowOff>9053</xdr:rowOff>
                  </from>
                  <to>
                    <xdr:col>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Xui_Three18_1" altText="">
                <anchor moveWithCells="1" sizeWithCells="1">
                  <from>
                    <xdr:col>2</xdr:col>
                    <xdr:colOff>9053</xdr:colOff>
                    <xdr:row>19</xdr:row>
                    <xdr:rowOff>9053</xdr:rowOff>
                  </from>
                  <to>
                    <xdr:col>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Xui_Three19_1" altText="">
                <anchor moveWithCells="1" sizeWithCells="1">
                  <from>
                    <xdr:col>2</xdr:col>
                    <xdr:colOff>9053</xdr:colOff>
                    <xdr:row>20</xdr:row>
                    <xdr:rowOff>9053</xdr:rowOff>
                  </from>
                  <to>
                    <xdr:col>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Xui_Three20_1" altText="">
                <anchor moveWithCells="1" sizeWithCells="1">
                  <from>
                    <xdr:col>2</xdr:col>
                    <xdr:colOff>9053</xdr:colOff>
                    <xdr:row>21</xdr:row>
                    <xdr:rowOff>9053</xdr:rowOff>
                  </from>
                  <to>
                    <xdr:col>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Xui_Three21_1" altText="">
                <anchor moveWithCells="1" sizeWithCells="1">
                  <from>
                    <xdr:col>2</xdr:col>
                    <xdr:colOff>9053</xdr:colOff>
                    <xdr:row>22</xdr:row>
                    <xdr:rowOff>9053</xdr:rowOff>
                  </from>
                  <to>
                    <xdr:col>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Xui_Four22_1" altText="">
                <anchor moveWithCells="1" sizeWithCells="1">
                  <from>
                    <xdr:col>2</xdr:col>
                    <xdr:colOff>9053</xdr:colOff>
                    <xdr:row>23</xdr:row>
                    <xdr:rowOff>9053</xdr:rowOff>
                  </from>
                  <to>
                    <xdr:col>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Xui_Four23_1" altText="">
                <anchor moveWithCells="1" sizeWithCells="1">
                  <from>
                    <xdr:col>2</xdr:col>
                    <xdr:colOff>9053</xdr:colOff>
                    <xdr:row>24</xdr:row>
                    <xdr:rowOff>9053</xdr:rowOff>
                  </from>
                  <to>
                    <xdr:col>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0" name="Button 107">
              <controlPr defaultSize="0" print="0" autoFill="0" autoPict="0" macro="[0]!Xui_Four24_1" altText="">
                <anchor moveWithCells="1" sizeWithCells="1">
                  <from>
                    <xdr:col>2</xdr:col>
                    <xdr:colOff>9053</xdr:colOff>
                    <xdr:row>25</xdr:row>
                    <xdr:rowOff>9053</xdr:rowOff>
                  </from>
                  <to>
                    <xdr:col>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1" name="Button 108">
              <controlPr defaultSize="0" print="0" autoFill="0" autoPict="0" macro="[0]!Xui_Four25_1" altText="">
                <anchor moveWithCells="1" sizeWithCells="1">
                  <from>
                    <xdr:col>2</xdr:col>
                    <xdr:colOff>9053</xdr:colOff>
                    <xdr:row>26</xdr:row>
                    <xdr:rowOff>9053</xdr:rowOff>
                  </from>
                  <to>
                    <xdr:col>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2" name="Button 109">
              <controlPr defaultSize="0" print="0" autoFill="0" autoPict="0" macro="[0]!Xui_Four26_1" altText="">
                <anchor moveWithCells="1" sizeWithCells="1">
                  <from>
                    <xdr:col>2</xdr:col>
                    <xdr:colOff>9053</xdr:colOff>
                    <xdr:row>27</xdr:row>
                    <xdr:rowOff>9053</xdr:rowOff>
                  </from>
                  <to>
                    <xdr:col>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3" name="Button 110">
              <controlPr defaultSize="0" print="0" autoFill="0" autoPict="0" macro="[0]!Xui_Four27_1" altText="">
                <anchor moveWithCells="1" sizeWithCells="1">
                  <from>
                    <xdr:col>2</xdr:col>
                    <xdr:colOff>9053</xdr:colOff>
                    <xdr:row>28</xdr:row>
                    <xdr:rowOff>9053</xdr:rowOff>
                  </from>
                  <to>
                    <xdr:col>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4" name="Button 111">
              <controlPr defaultSize="0" print="0" autoFill="0" autoPict="0" macro="[0]!Xui_Four28_1" altText="">
                <anchor moveWithCells="1" sizeWithCells="1">
                  <from>
                    <xdr:col>2</xdr:col>
                    <xdr:colOff>9053</xdr:colOff>
                    <xdr:row>29</xdr:row>
                    <xdr:rowOff>9053</xdr:rowOff>
                  </from>
                  <to>
                    <xdr:col>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5" name="Button 112">
              <controlPr defaultSize="0" print="0" autoFill="0" autoPict="0" macro="[0]!Xui_One2_2" altText="">
                <anchor moveWithCells="1" sizeWithCells="1">
                  <from>
                    <xdr:col>3</xdr:col>
                    <xdr:colOff>9053</xdr:colOff>
                    <xdr:row>3</xdr:row>
                    <xdr:rowOff>9053</xdr:rowOff>
                  </from>
                  <to>
                    <xdr:col>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6" name="Button 113">
              <controlPr defaultSize="0" print="0" autoFill="0" autoPict="0" macro="[0]!Xui_One3_2" altText="">
                <anchor moveWithCells="1" sizeWithCells="1">
                  <from>
                    <xdr:col>3</xdr:col>
                    <xdr:colOff>9053</xdr:colOff>
                    <xdr:row>4</xdr:row>
                    <xdr:rowOff>9053</xdr:rowOff>
                  </from>
                  <to>
                    <xdr:col>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7" name="Button 114">
              <controlPr defaultSize="0" print="0" autoFill="0" autoPict="0" macro="[0]!Xui_One4_2" altText="">
                <anchor moveWithCells="1" sizeWithCells="1">
                  <from>
                    <xdr:col>3</xdr:col>
                    <xdr:colOff>9053</xdr:colOff>
                    <xdr:row>5</xdr:row>
                    <xdr:rowOff>9053</xdr:rowOff>
                  </from>
                  <to>
                    <xdr:col>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" name="Button 115">
              <controlPr defaultSize="0" print="0" autoFill="0" autoPict="0" macro="[0]!Xui_One5_2" altText="">
                <anchor moveWithCells="1" sizeWithCells="1">
                  <from>
                    <xdr:col>3</xdr:col>
                    <xdr:colOff>9053</xdr:colOff>
                    <xdr:row>6</xdr:row>
                    <xdr:rowOff>9053</xdr:rowOff>
                  </from>
                  <to>
                    <xdr:col>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39" name="Button 116">
              <controlPr defaultSize="0" print="0" autoFill="0" autoPict="0" macro="[0]!Xui_One6_2" altText="">
                <anchor moveWithCells="1" sizeWithCells="1">
                  <from>
                    <xdr:col>3</xdr:col>
                    <xdr:colOff>9053</xdr:colOff>
                    <xdr:row>7</xdr:row>
                    <xdr:rowOff>9053</xdr:rowOff>
                  </from>
                  <to>
                    <xdr:col>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40" name="Button 117">
              <controlPr defaultSize="0" print="0" autoFill="0" autoPict="0" macro="[0]!Xui_One7_2" altText="">
                <anchor moveWithCells="1" sizeWithCells="1">
                  <from>
                    <xdr:col>3</xdr:col>
                    <xdr:colOff>9053</xdr:colOff>
                    <xdr:row>8</xdr:row>
                    <xdr:rowOff>9053</xdr:rowOff>
                  </from>
                  <to>
                    <xdr:col>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41" name="Button 118">
              <controlPr defaultSize="0" print="0" autoFill="0" autoPict="0" macro="[0]!Xui_Two8_2" altText="">
                <anchor moveWithCells="1" sizeWithCells="1">
                  <from>
                    <xdr:col>3</xdr:col>
                    <xdr:colOff>9053</xdr:colOff>
                    <xdr:row>9</xdr:row>
                    <xdr:rowOff>9053</xdr:rowOff>
                  </from>
                  <to>
                    <xdr:col>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42" name="Button 119">
              <controlPr defaultSize="0" print="0" autoFill="0" autoPict="0" macro="[0]!Xui_Two9_2" altText="">
                <anchor moveWithCells="1" sizeWithCells="1">
                  <from>
                    <xdr:col>3</xdr:col>
                    <xdr:colOff>9053</xdr:colOff>
                    <xdr:row>10</xdr:row>
                    <xdr:rowOff>9053</xdr:rowOff>
                  </from>
                  <to>
                    <xdr:col>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43" name="Button 120">
              <controlPr defaultSize="0" print="0" autoFill="0" autoPict="0" macro="[0]!Xui_Two10_2" altText="">
                <anchor moveWithCells="1" sizeWithCells="1">
                  <from>
                    <xdr:col>3</xdr:col>
                    <xdr:colOff>9053</xdr:colOff>
                    <xdr:row>11</xdr:row>
                    <xdr:rowOff>9053</xdr:rowOff>
                  </from>
                  <to>
                    <xdr:col>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44" name="Button 121">
              <controlPr defaultSize="0" print="0" autoFill="0" autoPict="0" macro="[0]!Xui_Two11_2" altText="">
                <anchor moveWithCells="1" sizeWithCells="1">
                  <from>
                    <xdr:col>3</xdr:col>
                    <xdr:colOff>9053</xdr:colOff>
                    <xdr:row>12</xdr:row>
                    <xdr:rowOff>9053</xdr:rowOff>
                  </from>
                  <to>
                    <xdr:col>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45" name="Button 122">
              <controlPr defaultSize="0" print="0" autoFill="0" autoPict="0" macro="[0]!Xui_Two12_2" altText="">
                <anchor moveWithCells="1" sizeWithCells="1">
                  <from>
                    <xdr:col>3</xdr:col>
                    <xdr:colOff>9053</xdr:colOff>
                    <xdr:row>13</xdr:row>
                    <xdr:rowOff>9053</xdr:rowOff>
                  </from>
                  <to>
                    <xdr:col>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46" name="Button 123">
              <controlPr defaultSize="0" print="0" autoFill="0" autoPict="0" macro="[0]!Xui_Two13_2" altText="">
                <anchor moveWithCells="1" sizeWithCells="1">
                  <from>
                    <xdr:col>3</xdr:col>
                    <xdr:colOff>9053</xdr:colOff>
                    <xdr:row>14</xdr:row>
                    <xdr:rowOff>9053</xdr:rowOff>
                  </from>
                  <to>
                    <xdr:col>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47" name="Button 124">
              <controlPr defaultSize="0" print="0" autoFill="0" autoPict="0" macro="[0]!Xui_Two14_2" altText="">
                <anchor moveWithCells="1" sizeWithCells="1">
                  <from>
                    <xdr:col>3</xdr:col>
                    <xdr:colOff>9053</xdr:colOff>
                    <xdr:row>15</xdr:row>
                    <xdr:rowOff>9053</xdr:rowOff>
                  </from>
                  <to>
                    <xdr:col>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48" name="Button 125">
              <controlPr defaultSize="0" print="0" autoFill="0" autoPict="0" macro="[0]!Xui_Three15_2" altText="">
                <anchor moveWithCells="1" sizeWithCells="1">
                  <from>
                    <xdr:col>3</xdr:col>
                    <xdr:colOff>9053</xdr:colOff>
                    <xdr:row>16</xdr:row>
                    <xdr:rowOff>9053</xdr:rowOff>
                  </from>
                  <to>
                    <xdr:col>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49" name="Button 126">
              <controlPr defaultSize="0" print="0" autoFill="0" autoPict="0" macro="[0]!Xui_Three16_2" altText="">
                <anchor moveWithCells="1" sizeWithCells="1">
                  <from>
                    <xdr:col>3</xdr:col>
                    <xdr:colOff>9053</xdr:colOff>
                    <xdr:row>17</xdr:row>
                    <xdr:rowOff>9053</xdr:rowOff>
                  </from>
                  <to>
                    <xdr:col>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50" name="Button 127">
              <controlPr defaultSize="0" print="0" autoFill="0" autoPict="0" macro="[0]!Xui_Three17_2" altText="">
                <anchor moveWithCells="1" sizeWithCells="1">
                  <from>
                    <xdr:col>3</xdr:col>
                    <xdr:colOff>9053</xdr:colOff>
                    <xdr:row>18</xdr:row>
                    <xdr:rowOff>9053</xdr:rowOff>
                  </from>
                  <to>
                    <xdr:col>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51" name="Button 128">
              <controlPr defaultSize="0" print="0" autoFill="0" autoPict="0" macro="[0]!Xui_Three18_2" altText="">
                <anchor moveWithCells="1" sizeWithCells="1">
                  <from>
                    <xdr:col>3</xdr:col>
                    <xdr:colOff>9053</xdr:colOff>
                    <xdr:row>19</xdr:row>
                    <xdr:rowOff>9053</xdr:rowOff>
                  </from>
                  <to>
                    <xdr:col>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52" name="Button 129">
              <controlPr defaultSize="0" print="0" autoFill="0" autoPict="0" macro="[0]!Xui_Three19_2" altText="">
                <anchor moveWithCells="1" sizeWithCells="1">
                  <from>
                    <xdr:col>3</xdr:col>
                    <xdr:colOff>9053</xdr:colOff>
                    <xdr:row>20</xdr:row>
                    <xdr:rowOff>9053</xdr:rowOff>
                  </from>
                  <to>
                    <xdr:col>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53" name="Button 130">
              <controlPr defaultSize="0" print="0" autoFill="0" autoPict="0" macro="[0]!Xui_Three20_2" altText="">
                <anchor moveWithCells="1" sizeWithCells="1">
                  <from>
                    <xdr:col>3</xdr:col>
                    <xdr:colOff>9053</xdr:colOff>
                    <xdr:row>21</xdr:row>
                    <xdr:rowOff>9053</xdr:rowOff>
                  </from>
                  <to>
                    <xdr:col>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54" name="Button 131">
              <controlPr defaultSize="0" print="0" autoFill="0" autoPict="0" macro="[0]!Xui_Three21_2" altText="">
                <anchor moveWithCells="1" sizeWithCells="1">
                  <from>
                    <xdr:col>3</xdr:col>
                    <xdr:colOff>9053</xdr:colOff>
                    <xdr:row>22</xdr:row>
                    <xdr:rowOff>9053</xdr:rowOff>
                  </from>
                  <to>
                    <xdr:col>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55" name="Button 132">
              <controlPr defaultSize="0" print="0" autoFill="0" autoPict="0" macro="[0]!Xui_Four22_2" altText="">
                <anchor moveWithCells="1" sizeWithCells="1">
                  <from>
                    <xdr:col>3</xdr:col>
                    <xdr:colOff>9053</xdr:colOff>
                    <xdr:row>23</xdr:row>
                    <xdr:rowOff>9053</xdr:rowOff>
                  </from>
                  <to>
                    <xdr:col>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56" name="Button 133">
              <controlPr defaultSize="0" print="0" autoFill="0" autoPict="0" macro="[0]!Xui_Four23_2" altText="">
                <anchor moveWithCells="1" sizeWithCells="1">
                  <from>
                    <xdr:col>3</xdr:col>
                    <xdr:colOff>9053</xdr:colOff>
                    <xdr:row>24</xdr:row>
                    <xdr:rowOff>9053</xdr:rowOff>
                  </from>
                  <to>
                    <xdr:col>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57" name="Button 134">
              <controlPr defaultSize="0" print="0" autoFill="0" autoPict="0" macro="[0]!Xui_Four24_2" altText="">
                <anchor moveWithCells="1" sizeWithCells="1">
                  <from>
                    <xdr:col>3</xdr:col>
                    <xdr:colOff>9053</xdr:colOff>
                    <xdr:row>25</xdr:row>
                    <xdr:rowOff>9053</xdr:rowOff>
                  </from>
                  <to>
                    <xdr:col>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58" name="Button 135">
              <controlPr defaultSize="0" print="0" autoFill="0" autoPict="0" macro="[0]!Xui_Four25_2" altText="">
                <anchor moveWithCells="1" sizeWithCells="1">
                  <from>
                    <xdr:col>3</xdr:col>
                    <xdr:colOff>9053</xdr:colOff>
                    <xdr:row>26</xdr:row>
                    <xdr:rowOff>9053</xdr:rowOff>
                  </from>
                  <to>
                    <xdr:col>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59" name="Button 136">
              <controlPr defaultSize="0" print="0" autoFill="0" autoPict="0" macro="[0]!Xui_Four26_2" altText="">
                <anchor moveWithCells="1" sizeWithCells="1">
                  <from>
                    <xdr:col>3</xdr:col>
                    <xdr:colOff>9053</xdr:colOff>
                    <xdr:row>27</xdr:row>
                    <xdr:rowOff>9053</xdr:rowOff>
                  </from>
                  <to>
                    <xdr:col>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60" name="Button 137">
              <controlPr defaultSize="0" print="0" autoFill="0" autoPict="0" macro="[0]!Xui_Four27_2" altText="">
                <anchor moveWithCells="1" sizeWithCells="1">
                  <from>
                    <xdr:col>3</xdr:col>
                    <xdr:colOff>9053</xdr:colOff>
                    <xdr:row>28</xdr:row>
                    <xdr:rowOff>9053</xdr:rowOff>
                  </from>
                  <to>
                    <xdr:col>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61" name="Button 138">
              <controlPr defaultSize="0" print="0" autoFill="0" autoPict="0" macro="[0]!Xui_Four28_2" altText="">
                <anchor moveWithCells="1" sizeWithCells="1">
                  <from>
                    <xdr:col>3</xdr:col>
                    <xdr:colOff>9053</xdr:colOff>
                    <xdr:row>29</xdr:row>
                    <xdr:rowOff>9053</xdr:rowOff>
                  </from>
                  <to>
                    <xdr:col>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62" name="Button 139">
              <controlPr defaultSize="0" print="0" autoFill="0" autoPict="0" macro="[0]!Xui_One2_3" altText="">
                <anchor moveWithCells="1" sizeWithCells="1">
                  <from>
                    <xdr:col>4</xdr:col>
                    <xdr:colOff>9053</xdr:colOff>
                    <xdr:row>3</xdr:row>
                    <xdr:rowOff>9053</xdr:rowOff>
                  </from>
                  <to>
                    <xdr:col>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63" name="Button 140">
              <controlPr defaultSize="0" print="0" autoFill="0" autoPict="0" macro="[0]!Xui_One3_3" altText="">
                <anchor moveWithCells="1" sizeWithCells="1">
                  <from>
                    <xdr:col>4</xdr:col>
                    <xdr:colOff>9053</xdr:colOff>
                    <xdr:row>4</xdr:row>
                    <xdr:rowOff>9053</xdr:rowOff>
                  </from>
                  <to>
                    <xdr:col>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64" name="Button 141">
              <controlPr defaultSize="0" print="0" autoFill="0" autoPict="0" macro="[0]!Xui_One4_3" altText="">
                <anchor moveWithCells="1" sizeWithCells="1">
                  <from>
                    <xdr:col>4</xdr:col>
                    <xdr:colOff>9053</xdr:colOff>
                    <xdr:row>5</xdr:row>
                    <xdr:rowOff>9053</xdr:rowOff>
                  </from>
                  <to>
                    <xdr:col>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65" name="Button 142">
              <controlPr defaultSize="0" print="0" autoFill="0" autoPict="0" macro="[0]!Xui_One5_3" altText="">
                <anchor moveWithCells="1" sizeWithCells="1">
                  <from>
                    <xdr:col>4</xdr:col>
                    <xdr:colOff>9053</xdr:colOff>
                    <xdr:row>6</xdr:row>
                    <xdr:rowOff>9053</xdr:rowOff>
                  </from>
                  <to>
                    <xdr:col>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6" name="Button 143">
              <controlPr defaultSize="0" print="0" autoFill="0" autoPict="0" macro="[0]!Xui_One6_3" altText="">
                <anchor moveWithCells="1" sizeWithCells="1">
                  <from>
                    <xdr:col>4</xdr:col>
                    <xdr:colOff>9053</xdr:colOff>
                    <xdr:row>7</xdr:row>
                    <xdr:rowOff>9053</xdr:rowOff>
                  </from>
                  <to>
                    <xdr:col>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67" name="Button 144">
              <controlPr defaultSize="0" print="0" autoFill="0" autoPict="0" macro="[0]!Xui_One7_3" altText="">
                <anchor moveWithCells="1" sizeWithCells="1">
                  <from>
                    <xdr:col>4</xdr:col>
                    <xdr:colOff>9053</xdr:colOff>
                    <xdr:row>8</xdr:row>
                    <xdr:rowOff>9053</xdr:rowOff>
                  </from>
                  <to>
                    <xdr:col>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68" name="Button 145">
              <controlPr defaultSize="0" print="0" autoFill="0" autoPict="0" macro="[0]!Xui_Two8_3" altText="">
                <anchor moveWithCells="1" sizeWithCells="1">
                  <from>
                    <xdr:col>4</xdr:col>
                    <xdr:colOff>9053</xdr:colOff>
                    <xdr:row>9</xdr:row>
                    <xdr:rowOff>9053</xdr:rowOff>
                  </from>
                  <to>
                    <xdr:col>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69" name="Button 146">
              <controlPr defaultSize="0" print="0" autoFill="0" autoPict="0" macro="[0]!Xui_Two9_3" altText="">
                <anchor moveWithCells="1" sizeWithCells="1">
                  <from>
                    <xdr:col>4</xdr:col>
                    <xdr:colOff>9053</xdr:colOff>
                    <xdr:row>10</xdr:row>
                    <xdr:rowOff>9053</xdr:rowOff>
                  </from>
                  <to>
                    <xdr:col>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70" name="Button 147">
              <controlPr defaultSize="0" print="0" autoFill="0" autoPict="0" macro="[0]!Xui_Two10_3" altText="">
                <anchor moveWithCells="1" sizeWithCells="1">
                  <from>
                    <xdr:col>4</xdr:col>
                    <xdr:colOff>9053</xdr:colOff>
                    <xdr:row>11</xdr:row>
                    <xdr:rowOff>9053</xdr:rowOff>
                  </from>
                  <to>
                    <xdr:col>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71" name="Button 148">
              <controlPr defaultSize="0" print="0" autoFill="0" autoPict="0" macro="[0]!Xui_Two11_3" altText="">
                <anchor moveWithCells="1" sizeWithCells="1">
                  <from>
                    <xdr:col>4</xdr:col>
                    <xdr:colOff>9053</xdr:colOff>
                    <xdr:row>12</xdr:row>
                    <xdr:rowOff>9053</xdr:rowOff>
                  </from>
                  <to>
                    <xdr:col>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72" name="Button 149">
              <controlPr defaultSize="0" print="0" autoFill="0" autoPict="0" macro="[0]!Xui_Two12_3" altText="">
                <anchor moveWithCells="1" sizeWithCells="1">
                  <from>
                    <xdr:col>4</xdr:col>
                    <xdr:colOff>9053</xdr:colOff>
                    <xdr:row>13</xdr:row>
                    <xdr:rowOff>9053</xdr:rowOff>
                  </from>
                  <to>
                    <xdr:col>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73" name="Button 150">
              <controlPr defaultSize="0" print="0" autoFill="0" autoPict="0" macro="[0]!Xui_Two13_3" altText="">
                <anchor moveWithCells="1" sizeWithCells="1">
                  <from>
                    <xdr:col>4</xdr:col>
                    <xdr:colOff>9053</xdr:colOff>
                    <xdr:row>14</xdr:row>
                    <xdr:rowOff>9053</xdr:rowOff>
                  </from>
                  <to>
                    <xdr:col>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74" name="Button 151">
              <controlPr defaultSize="0" print="0" autoFill="0" autoPict="0" macro="[0]!Xui_Two14_3" altText="">
                <anchor moveWithCells="1" sizeWithCells="1">
                  <from>
                    <xdr:col>4</xdr:col>
                    <xdr:colOff>9053</xdr:colOff>
                    <xdr:row>15</xdr:row>
                    <xdr:rowOff>9053</xdr:rowOff>
                  </from>
                  <to>
                    <xdr:col>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75" name="Button 152">
              <controlPr defaultSize="0" print="0" autoFill="0" autoPict="0" macro="[0]!Xui_Three15_3" altText="">
                <anchor moveWithCells="1" sizeWithCells="1">
                  <from>
                    <xdr:col>4</xdr:col>
                    <xdr:colOff>9053</xdr:colOff>
                    <xdr:row>16</xdr:row>
                    <xdr:rowOff>9053</xdr:rowOff>
                  </from>
                  <to>
                    <xdr:col>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76" name="Button 153">
              <controlPr defaultSize="0" print="0" autoFill="0" autoPict="0" macro="[0]!Xui_Three16_3" altText="">
                <anchor moveWithCells="1" sizeWithCells="1">
                  <from>
                    <xdr:col>4</xdr:col>
                    <xdr:colOff>9053</xdr:colOff>
                    <xdr:row>17</xdr:row>
                    <xdr:rowOff>9053</xdr:rowOff>
                  </from>
                  <to>
                    <xdr:col>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77" name="Button 154">
              <controlPr defaultSize="0" print="0" autoFill="0" autoPict="0" macro="[0]!Xui_Three17_3" altText="">
                <anchor moveWithCells="1" sizeWithCells="1">
                  <from>
                    <xdr:col>4</xdr:col>
                    <xdr:colOff>9053</xdr:colOff>
                    <xdr:row>18</xdr:row>
                    <xdr:rowOff>9053</xdr:rowOff>
                  </from>
                  <to>
                    <xdr:col>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78" name="Button 155">
              <controlPr defaultSize="0" print="0" autoFill="0" autoPict="0" macro="[0]!Xui_Three18_3" altText="">
                <anchor moveWithCells="1" sizeWithCells="1">
                  <from>
                    <xdr:col>4</xdr:col>
                    <xdr:colOff>9053</xdr:colOff>
                    <xdr:row>19</xdr:row>
                    <xdr:rowOff>9053</xdr:rowOff>
                  </from>
                  <to>
                    <xdr:col>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79" name="Button 156">
              <controlPr defaultSize="0" print="0" autoFill="0" autoPict="0" macro="[0]!Xui_Three19_3" altText="">
                <anchor moveWithCells="1" sizeWithCells="1">
                  <from>
                    <xdr:col>4</xdr:col>
                    <xdr:colOff>9053</xdr:colOff>
                    <xdr:row>20</xdr:row>
                    <xdr:rowOff>9053</xdr:rowOff>
                  </from>
                  <to>
                    <xdr:col>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80" name="Button 157">
              <controlPr defaultSize="0" print="0" autoFill="0" autoPict="0" macro="[0]!Xui_Three20_3" altText="">
                <anchor moveWithCells="1" sizeWithCells="1">
                  <from>
                    <xdr:col>4</xdr:col>
                    <xdr:colOff>9053</xdr:colOff>
                    <xdr:row>21</xdr:row>
                    <xdr:rowOff>9053</xdr:rowOff>
                  </from>
                  <to>
                    <xdr:col>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81" name="Button 158">
              <controlPr defaultSize="0" print="0" autoFill="0" autoPict="0" macro="[0]!Xui_Three21_3" altText="">
                <anchor moveWithCells="1" sizeWithCells="1">
                  <from>
                    <xdr:col>4</xdr:col>
                    <xdr:colOff>9053</xdr:colOff>
                    <xdr:row>22</xdr:row>
                    <xdr:rowOff>9053</xdr:rowOff>
                  </from>
                  <to>
                    <xdr:col>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82" name="Button 159">
              <controlPr defaultSize="0" print="0" autoFill="0" autoPict="0" macro="[0]!Xui_Four22_3" altText="">
                <anchor moveWithCells="1" sizeWithCells="1">
                  <from>
                    <xdr:col>4</xdr:col>
                    <xdr:colOff>9053</xdr:colOff>
                    <xdr:row>23</xdr:row>
                    <xdr:rowOff>9053</xdr:rowOff>
                  </from>
                  <to>
                    <xdr:col>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83" name="Button 160">
              <controlPr defaultSize="0" print="0" autoFill="0" autoPict="0" macro="[0]!Xui_Four23_3" altText="">
                <anchor moveWithCells="1" sizeWithCells="1">
                  <from>
                    <xdr:col>4</xdr:col>
                    <xdr:colOff>9053</xdr:colOff>
                    <xdr:row>24</xdr:row>
                    <xdr:rowOff>9053</xdr:rowOff>
                  </from>
                  <to>
                    <xdr:col>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84" name="Button 161">
              <controlPr defaultSize="0" print="0" autoFill="0" autoPict="0" macro="[0]!Xui_Four24_3" altText="">
                <anchor moveWithCells="1" sizeWithCells="1">
                  <from>
                    <xdr:col>4</xdr:col>
                    <xdr:colOff>9053</xdr:colOff>
                    <xdr:row>25</xdr:row>
                    <xdr:rowOff>9053</xdr:rowOff>
                  </from>
                  <to>
                    <xdr:col>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85" name="Button 162">
              <controlPr defaultSize="0" print="0" autoFill="0" autoPict="0" macro="[0]!Xui_Four25_3" altText="">
                <anchor moveWithCells="1" sizeWithCells="1">
                  <from>
                    <xdr:col>4</xdr:col>
                    <xdr:colOff>9053</xdr:colOff>
                    <xdr:row>26</xdr:row>
                    <xdr:rowOff>9053</xdr:rowOff>
                  </from>
                  <to>
                    <xdr:col>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86" name="Button 163">
              <controlPr defaultSize="0" print="0" autoFill="0" autoPict="0" macro="[0]!Xui_Four26_3" altText="">
                <anchor moveWithCells="1" sizeWithCells="1">
                  <from>
                    <xdr:col>4</xdr:col>
                    <xdr:colOff>9053</xdr:colOff>
                    <xdr:row>27</xdr:row>
                    <xdr:rowOff>9053</xdr:rowOff>
                  </from>
                  <to>
                    <xdr:col>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87" name="Button 164">
              <controlPr defaultSize="0" print="0" autoFill="0" autoPict="0" macro="[0]!Xui_Four27_3" altText="">
                <anchor moveWithCells="1" sizeWithCells="1">
                  <from>
                    <xdr:col>4</xdr:col>
                    <xdr:colOff>9053</xdr:colOff>
                    <xdr:row>28</xdr:row>
                    <xdr:rowOff>9053</xdr:rowOff>
                  </from>
                  <to>
                    <xdr:col>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8" name="Button 165">
              <controlPr defaultSize="0" print="0" autoFill="0" autoPict="0" macro="[0]!Xui_Four28_3" altText="">
                <anchor moveWithCells="1" sizeWithCells="1">
                  <from>
                    <xdr:col>4</xdr:col>
                    <xdr:colOff>9053</xdr:colOff>
                    <xdr:row>29</xdr:row>
                    <xdr:rowOff>9053</xdr:rowOff>
                  </from>
                  <to>
                    <xdr:col>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89" name="Button 166">
              <controlPr defaultSize="0" print="0" autoFill="0" autoPict="0" macro="[0]!Xui_One2_4" altText="">
                <anchor moveWithCells="1" sizeWithCells="1">
                  <from>
                    <xdr:col>5</xdr:col>
                    <xdr:colOff>9053</xdr:colOff>
                    <xdr:row>3</xdr:row>
                    <xdr:rowOff>9053</xdr:rowOff>
                  </from>
                  <to>
                    <xdr:col>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90" name="Button 167">
              <controlPr defaultSize="0" print="0" autoFill="0" autoPict="0" macro="[0]!Xui_One3_4" altText="">
                <anchor moveWithCells="1" sizeWithCells="1">
                  <from>
                    <xdr:col>5</xdr:col>
                    <xdr:colOff>9053</xdr:colOff>
                    <xdr:row>4</xdr:row>
                    <xdr:rowOff>9053</xdr:rowOff>
                  </from>
                  <to>
                    <xdr:col>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91" name="Button 168">
              <controlPr defaultSize="0" print="0" autoFill="0" autoPict="0" macro="[0]!Xui_One4_4" altText="">
                <anchor moveWithCells="1" sizeWithCells="1">
                  <from>
                    <xdr:col>5</xdr:col>
                    <xdr:colOff>9053</xdr:colOff>
                    <xdr:row>5</xdr:row>
                    <xdr:rowOff>9053</xdr:rowOff>
                  </from>
                  <to>
                    <xdr:col>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92" name="Button 169">
              <controlPr defaultSize="0" print="0" autoFill="0" autoPict="0" macro="[0]!Xui_One5_4" altText="">
                <anchor moveWithCells="1" sizeWithCells="1">
                  <from>
                    <xdr:col>5</xdr:col>
                    <xdr:colOff>9053</xdr:colOff>
                    <xdr:row>6</xdr:row>
                    <xdr:rowOff>9053</xdr:rowOff>
                  </from>
                  <to>
                    <xdr:col>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93" name="Button 170">
              <controlPr defaultSize="0" print="0" autoFill="0" autoPict="0" macro="[0]!Xui_One6_4" altText="">
                <anchor moveWithCells="1" sizeWithCells="1">
                  <from>
                    <xdr:col>5</xdr:col>
                    <xdr:colOff>9053</xdr:colOff>
                    <xdr:row>7</xdr:row>
                    <xdr:rowOff>9053</xdr:rowOff>
                  </from>
                  <to>
                    <xdr:col>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94" name="Button 171">
              <controlPr defaultSize="0" print="0" autoFill="0" autoPict="0" macro="[0]!Xui_One7_4" altText="">
                <anchor moveWithCells="1" sizeWithCells="1">
                  <from>
                    <xdr:col>5</xdr:col>
                    <xdr:colOff>9053</xdr:colOff>
                    <xdr:row>8</xdr:row>
                    <xdr:rowOff>9053</xdr:rowOff>
                  </from>
                  <to>
                    <xdr:col>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95" name="Button 172">
              <controlPr defaultSize="0" print="0" autoFill="0" autoPict="0" macro="[0]!Xui_Two8_4" altText="">
                <anchor moveWithCells="1" sizeWithCells="1">
                  <from>
                    <xdr:col>5</xdr:col>
                    <xdr:colOff>9053</xdr:colOff>
                    <xdr:row>9</xdr:row>
                    <xdr:rowOff>9053</xdr:rowOff>
                  </from>
                  <to>
                    <xdr:col>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96" name="Button 173">
              <controlPr defaultSize="0" print="0" autoFill="0" autoPict="0" macro="[0]!Xui_Two9_4" altText="">
                <anchor moveWithCells="1" sizeWithCells="1">
                  <from>
                    <xdr:col>5</xdr:col>
                    <xdr:colOff>9053</xdr:colOff>
                    <xdr:row>10</xdr:row>
                    <xdr:rowOff>9053</xdr:rowOff>
                  </from>
                  <to>
                    <xdr:col>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97" name="Button 174">
              <controlPr defaultSize="0" print="0" autoFill="0" autoPict="0" macro="[0]!Xui_Two10_4" altText="">
                <anchor moveWithCells="1" sizeWithCells="1">
                  <from>
                    <xdr:col>5</xdr:col>
                    <xdr:colOff>9053</xdr:colOff>
                    <xdr:row>11</xdr:row>
                    <xdr:rowOff>9053</xdr:rowOff>
                  </from>
                  <to>
                    <xdr:col>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98" name="Button 175">
              <controlPr defaultSize="0" print="0" autoFill="0" autoPict="0" macro="[0]!Xui_Two11_4" altText="">
                <anchor moveWithCells="1" sizeWithCells="1">
                  <from>
                    <xdr:col>5</xdr:col>
                    <xdr:colOff>9053</xdr:colOff>
                    <xdr:row>12</xdr:row>
                    <xdr:rowOff>9053</xdr:rowOff>
                  </from>
                  <to>
                    <xdr:col>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99" name="Button 176">
              <controlPr defaultSize="0" print="0" autoFill="0" autoPict="0" macro="[0]!Xui_Two12_4" altText="">
                <anchor moveWithCells="1" sizeWithCells="1">
                  <from>
                    <xdr:col>5</xdr:col>
                    <xdr:colOff>9053</xdr:colOff>
                    <xdr:row>13</xdr:row>
                    <xdr:rowOff>9053</xdr:rowOff>
                  </from>
                  <to>
                    <xdr:col>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00" name="Button 177">
              <controlPr defaultSize="0" print="0" autoFill="0" autoPict="0" macro="[0]!Xui_Two13_4" altText="">
                <anchor moveWithCells="1" sizeWithCells="1">
                  <from>
                    <xdr:col>5</xdr:col>
                    <xdr:colOff>9053</xdr:colOff>
                    <xdr:row>14</xdr:row>
                    <xdr:rowOff>9053</xdr:rowOff>
                  </from>
                  <to>
                    <xdr:col>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1" name="Button 178">
              <controlPr defaultSize="0" print="0" autoFill="0" autoPict="0" macro="[0]!Xui_Two14_4" altText="">
                <anchor moveWithCells="1" sizeWithCells="1">
                  <from>
                    <xdr:col>5</xdr:col>
                    <xdr:colOff>9053</xdr:colOff>
                    <xdr:row>15</xdr:row>
                    <xdr:rowOff>9053</xdr:rowOff>
                  </from>
                  <to>
                    <xdr:col>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02" name="Button 179">
              <controlPr defaultSize="0" print="0" autoFill="0" autoPict="0" macro="[0]!Xui_Three15_4" altText="">
                <anchor moveWithCells="1" sizeWithCells="1">
                  <from>
                    <xdr:col>5</xdr:col>
                    <xdr:colOff>9053</xdr:colOff>
                    <xdr:row>16</xdr:row>
                    <xdr:rowOff>9053</xdr:rowOff>
                  </from>
                  <to>
                    <xdr:col>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03" name="Button 180">
              <controlPr defaultSize="0" print="0" autoFill="0" autoPict="0" macro="[0]!Xui_Three16_4" altText="">
                <anchor moveWithCells="1" sizeWithCells="1">
                  <from>
                    <xdr:col>5</xdr:col>
                    <xdr:colOff>9053</xdr:colOff>
                    <xdr:row>17</xdr:row>
                    <xdr:rowOff>9053</xdr:rowOff>
                  </from>
                  <to>
                    <xdr:col>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04" name="Button 181">
              <controlPr defaultSize="0" print="0" autoFill="0" autoPict="0" macro="[0]!Xui_Three17_4" altText="">
                <anchor moveWithCells="1" sizeWithCells="1">
                  <from>
                    <xdr:col>5</xdr:col>
                    <xdr:colOff>9053</xdr:colOff>
                    <xdr:row>18</xdr:row>
                    <xdr:rowOff>9053</xdr:rowOff>
                  </from>
                  <to>
                    <xdr:col>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05" name="Button 182">
              <controlPr defaultSize="0" print="0" autoFill="0" autoPict="0" macro="[0]!Xui_Three18_4" altText="">
                <anchor moveWithCells="1" sizeWithCells="1">
                  <from>
                    <xdr:col>5</xdr:col>
                    <xdr:colOff>9053</xdr:colOff>
                    <xdr:row>19</xdr:row>
                    <xdr:rowOff>9053</xdr:rowOff>
                  </from>
                  <to>
                    <xdr:col>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06" name="Button 183">
              <controlPr defaultSize="0" print="0" autoFill="0" autoPict="0" macro="[0]!Xui_Three19_4" altText="">
                <anchor moveWithCells="1" sizeWithCells="1">
                  <from>
                    <xdr:col>5</xdr:col>
                    <xdr:colOff>9053</xdr:colOff>
                    <xdr:row>20</xdr:row>
                    <xdr:rowOff>9053</xdr:rowOff>
                  </from>
                  <to>
                    <xdr:col>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07" name="Button 184">
              <controlPr defaultSize="0" print="0" autoFill="0" autoPict="0" macro="[0]!Xui_Three20_4" altText="">
                <anchor moveWithCells="1" sizeWithCells="1">
                  <from>
                    <xdr:col>5</xdr:col>
                    <xdr:colOff>9053</xdr:colOff>
                    <xdr:row>21</xdr:row>
                    <xdr:rowOff>9053</xdr:rowOff>
                  </from>
                  <to>
                    <xdr:col>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08" name="Button 185">
              <controlPr defaultSize="0" print="0" autoFill="0" autoPict="0" macro="[0]!Xui_Three21_4" altText="">
                <anchor moveWithCells="1" sizeWithCells="1">
                  <from>
                    <xdr:col>5</xdr:col>
                    <xdr:colOff>9053</xdr:colOff>
                    <xdr:row>22</xdr:row>
                    <xdr:rowOff>9053</xdr:rowOff>
                  </from>
                  <to>
                    <xdr:col>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09" name="Button 186">
              <controlPr defaultSize="0" print="0" autoFill="0" autoPict="0" macro="[0]!Xui_Four22_4" altText="">
                <anchor moveWithCells="1" sizeWithCells="1">
                  <from>
                    <xdr:col>5</xdr:col>
                    <xdr:colOff>9053</xdr:colOff>
                    <xdr:row>23</xdr:row>
                    <xdr:rowOff>9053</xdr:rowOff>
                  </from>
                  <to>
                    <xdr:col>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10" name="Button 187">
              <controlPr defaultSize="0" print="0" autoFill="0" autoPict="0" macro="[0]!Xui_Four23_4" altText="">
                <anchor moveWithCells="1" sizeWithCells="1">
                  <from>
                    <xdr:col>5</xdr:col>
                    <xdr:colOff>9053</xdr:colOff>
                    <xdr:row>24</xdr:row>
                    <xdr:rowOff>9053</xdr:rowOff>
                  </from>
                  <to>
                    <xdr:col>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11" name="Button 188">
              <controlPr defaultSize="0" print="0" autoFill="0" autoPict="0" macro="[0]!Xui_Four24_4" altText="">
                <anchor moveWithCells="1" sizeWithCells="1">
                  <from>
                    <xdr:col>5</xdr:col>
                    <xdr:colOff>9053</xdr:colOff>
                    <xdr:row>25</xdr:row>
                    <xdr:rowOff>9053</xdr:rowOff>
                  </from>
                  <to>
                    <xdr:col>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12" name="Button 189">
              <controlPr defaultSize="0" print="0" autoFill="0" autoPict="0" macro="[0]!Xui_Four25_4" altText="">
                <anchor moveWithCells="1" sizeWithCells="1">
                  <from>
                    <xdr:col>5</xdr:col>
                    <xdr:colOff>9053</xdr:colOff>
                    <xdr:row>26</xdr:row>
                    <xdr:rowOff>9053</xdr:rowOff>
                  </from>
                  <to>
                    <xdr:col>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13" name="Button 190">
              <controlPr defaultSize="0" print="0" autoFill="0" autoPict="0" macro="[0]!Xui_Four26_4" altText="">
                <anchor moveWithCells="1" sizeWithCells="1">
                  <from>
                    <xdr:col>5</xdr:col>
                    <xdr:colOff>9053</xdr:colOff>
                    <xdr:row>27</xdr:row>
                    <xdr:rowOff>9053</xdr:rowOff>
                  </from>
                  <to>
                    <xdr:col>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14" name="Button 191">
              <controlPr defaultSize="0" print="0" autoFill="0" autoPict="0" macro="[0]!Xui_Four27_4" altText="">
                <anchor moveWithCells="1" sizeWithCells="1">
                  <from>
                    <xdr:col>5</xdr:col>
                    <xdr:colOff>9053</xdr:colOff>
                    <xdr:row>28</xdr:row>
                    <xdr:rowOff>9053</xdr:rowOff>
                  </from>
                  <to>
                    <xdr:col>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15" name="Button 192">
              <controlPr defaultSize="0" print="0" autoFill="0" autoPict="0" macro="[0]!Xui_Four28_4" altText="">
                <anchor moveWithCells="1" sizeWithCells="1">
                  <from>
                    <xdr:col>5</xdr:col>
                    <xdr:colOff>9053</xdr:colOff>
                    <xdr:row>29</xdr:row>
                    <xdr:rowOff>9053</xdr:rowOff>
                  </from>
                  <to>
                    <xdr:col>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16" name="Button 194">
              <controlPr defaultSize="0" print="0" autoFill="0" autoPict="0" macro="[0]!Li_One1_1" altText="">
                <anchor moveWithCells="1" sizeWithCells="1">
                  <from>
                    <xdr:col>11</xdr:col>
                    <xdr:colOff>9053</xdr:colOff>
                    <xdr:row>2</xdr:row>
                    <xdr:rowOff>9053</xdr:rowOff>
                  </from>
                  <to>
                    <xdr:col>11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17" name="Button 195">
              <controlPr defaultSize="0" print="0" autoFill="0" autoPict="0" macro="[0]!Li_One2_1" altText="">
                <anchor moveWithCells="1" sizeWithCells="1">
                  <from>
                    <xdr:col>11</xdr:col>
                    <xdr:colOff>9053</xdr:colOff>
                    <xdr:row>3</xdr:row>
                    <xdr:rowOff>9053</xdr:rowOff>
                  </from>
                  <to>
                    <xdr:col>11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18" name="Button 196">
              <controlPr defaultSize="0" print="0" autoFill="0" autoPict="0" macro="[0]!Li_One3_1" altText="">
                <anchor moveWithCells="1" sizeWithCells="1">
                  <from>
                    <xdr:col>11</xdr:col>
                    <xdr:colOff>9053</xdr:colOff>
                    <xdr:row>4</xdr:row>
                    <xdr:rowOff>9053</xdr:rowOff>
                  </from>
                  <to>
                    <xdr:col>11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19" name="Button 197">
              <controlPr defaultSize="0" print="0" autoFill="0" autoPict="0" macro="[0]!Li_One4_1" altText="">
                <anchor moveWithCells="1" sizeWithCells="1">
                  <from>
                    <xdr:col>11</xdr:col>
                    <xdr:colOff>9053</xdr:colOff>
                    <xdr:row>5</xdr:row>
                    <xdr:rowOff>9053</xdr:rowOff>
                  </from>
                  <to>
                    <xdr:col>11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0" name="Button 198">
              <controlPr defaultSize="0" print="0" autoFill="0" autoPict="0" macro="[0]!Li_One5_1" altText="">
                <anchor moveWithCells="1" sizeWithCells="1">
                  <from>
                    <xdr:col>11</xdr:col>
                    <xdr:colOff>9053</xdr:colOff>
                    <xdr:row>6</xdr:row>
                    <xdr:rowOff>9053</xdr:rowOff>
                  </from>
                  <to>
                    <xdr:col>11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1" name="Button 199">
              <controlPr defaultSize="0" print="0" autoFill="0" autoPict="0" macro="[0]!Li_One6_1" altText="">
                <anchor moveWithCells="1" sizeWithCells="1">
                  <from>
                    <xdr:col>11</xdr:col>
                    <xdr:colOff>9053</xdr:colOff>
                    <xdr:row>7</xdr:row>
                    <xdr:rowOff>9053</xdr:rowOff>
                  </from>
                  <to>
                    <xdr:col>11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" name="Button 200">
              <controlPr defaultSize="0" print="0" autoFill="0" autoPict="0" macro="[0]!Li_One7_1" altText="">
                <anchor moveWithCells="1" sizeWithCells="1">
                  <from>
                    <xdr:col>11</xdr:col>
                    <xdr:colOff>9053</xdr:colOff>
                    <xdr:row>8</xdr:row>
                    <xdr:rowOff>9053</xdr:rowOff>
                  </from>
                  <to>
                    <xdr:col>11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3" name="Button 201">
              <controlPr defaultSize="0" print="0" autoFill="0" autoPict="0" macro="[0]!Li_Two8_1" altText="">
                <anchor moveWithCells="1" sizeWithCells="1">
                  <from>
                    <xdr:col>11</xdr:col>
                    <xdr:colOff>9053</xdr:colOff>
                    <xdr:row>9</xdr:row>
                    <xdr:rowOff>9053</xdr:rowOff>
                  </from>
                  <to>
                    <xdr:col>11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4" name="Button 202">
              <controlPr defaultSize="0" print="0" autoFill="0" autoPict="0" macro="[0]!Li_Two9_1" altText="">
                <anchor moveWithCells="1" sizeWithCells="1">
                  <from>
                    <xdr:col>11</xdr:col>
                    <xdr:colOff>9053</xdr:colOff>
                    <xdr:row>10</xdr:row>
                    <xdr:rowOff>9053</xdr:rowOff>
                  </from>
                  <to>
                    <xdr:col>11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5" name="Button 203">
              <controlPr defaultSize="0" print="0" autoFill="0" autoPict="0" macro="[0]!Li_Two10_1" altText="">
                <anchor moveWithCells="1" sizeWithCells="1">
                  <from>
                    <xdr:col>11</xdr:col>
                    <xdr:colOff>9053</xdr:colOff>
                    <xdr:row>11</xdr:row>
                    <xdr:rowOff>9053</xdr:rowOff>
                  </from>
                  <to>
                    <xdr:col>11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6" name="Button 204">
              <controlPr defaultSize="0" print="0" autoFill="0" autoPict="0" macro="[0]!Li_Two11_1" altText="">
                <anchor moveWithCells="1" sizeWithCells="1">
                  <from>
                    <xdr:col>11</xdr:col>
                    <xdr:colOff>9053</xdr:colOff>
                    <xdr:row>12</xdr:row>
                    <xdr:rowOff>9053</xdr:rowOff>
                  </from>
                  <to>
                    <xdr:col>11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7" name="Button 205">
              <controlPr defaultSize="0" print="0" autoFill="0" autoPict="0" macro="[0]!Li_Two12_1" altText="">
                <anchor moveWithCells="1" sizeWithCells="1">
                  <from>
                    <xdr:col>11</xdr:col>
                    <xdr:colOff>9053</xdr:colOff>
                    <xdr:row>13</xdr:row>
                    <xdr:rowOff>9053</xdr:rowOff>
                  </from>
                  <to>
                    <xdr:col>11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8" name="Button 206">
              <controlPr defaultSize="0" print="0" autoFill="0" autoPict="0" macro="[0]!Li_Two13_1" altText="">
                <anchor moveWithCells="1" sizeWithCells="1">
                  <from>
                    <xdr:col>11</xdr:col>
                    <xdr:colOff>9053</xdr:colOff>
                    <xdr:row>14</xdr:row>
                    <xdr:rowOff>9053</xdr:rowOff>
                  </from>
                  <to>
                    <xdr:col>11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9" name="Button 207">
              <controlPr defaultSize="0" print="0" autoFill="0" autoPict="0" macro="[0]!Li_Two14_1" altText="">
                <anchor moveWithCells="1" sizeWithCells="1">
                  <from>
                    <xdr:col>11</xdr:col>
                    <xdr:colOff>9053</xdr:colOff>
                    <xdr:row>15</xdr:row>
                    <xdr:rowOff>9053</xdr:rowOff>
                  </from>
                  <to>
                    <xdr:col>11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30" name="Button 208">
              <controlPr defaultSize="0" print="0" autoFill="0" autoPict="0" macro="[0]!Li_Three15_1" altText="">
                <anchor moveWithCells="1" sizeWithCells="1">
                  <from>
                    <xdr:col>11</xdr:col>
                    <xdr:colOff>9053</xdr:colOff>
                    <xdr:row>16</xdr:row>
                    <xdr:rowOff>9053</xdr:rowOff>
                  </from>
                  <to>
                    <xdr:col>11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31" name="Button 209">
              <controlPr defaultSize="0" print="0" autoFill="0" autoPict="0" macro="[0]!Li_Three16_1" altText="">
                <anchor moveWithCells="1" sizeWithCells="1">
                  <from>
                    <xdr:col>11</xdr:col>
                    <xdr:colOff>9053</xdr:colOff>
                    <xdr:row>17</xdr:row>
                    <xdr:rowOff>9053</xdr:rowOff>
                  </from>
                  <to>
                    <xdr:col>11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32" name="Button 210">
              <controlPr defaultSize="0" print="0" autoFill="0" autoPict="0" macro="[0]!Li_Three17_1" altText="">
                <anchor moveWithCells="1" sizeWithCells="1">
                  <from>
                    <xdr:col>11</xdr:col>
                    <xdr:colOff>9053</xdr:colOff>
                    <xdr:row>18</xdr:row>
                    <xdr:rowOff>9053</xdr:rowOff>
                  </from>
                  <to>
                    <xdr:col>11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33" name="Button 211">
              <controlPr defaultSize="0" print="0" autoFill="0" autoPict="0" macro="[0]!Li_Three18_1" altText="">
                <anchor moveWithCells="1" sizeWithCells="1">
                  <from>
                    <xdr:col>11</xdr:col>
                    <xdr:colOff>9053</xdr:colOff>
                    <xdr:row>19</xdr:row>
                    <xdr:rowOff>9053</xdr:rowOff>
                  </from>
                  <to>
                    <xdr:col>11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34" name="Button 212">
              <controlPr defaultSize="0" print="0" autoFill="0" autoPict="0" macro="[0]!Li_Three19_1" altText="">
                <anchor moveWithCells="1" sizeWithCells="1">
                  <from>
                    <xdr:col>11</xdr:col>
                    <xdr:colOff>9053</xdr:colOff>
                    <xdr:row>20</xdr:row>
                    <xdr:rowOff>9053</xdr:rowOff>
                  </from>
                  <to>
                    <xdr:col>11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35" name="Button 213">
              <controlPr defaultSize="0" print="0" autoFill="0" autoPict="0" macro="[0]!Li_Three20_1" altText="">
                <anchor moveWithCells="1" sizeWithCells="1">
                  <from>
                    <xdr:col>11</xdr:col>
                    <xdr:colOff>9053</xdr:colOff>
                    <xdr:row>21</xdr:row>
                    <xdr:rowOff>9053</xdr:rowOff>
                  </from>
                  <to>
                    <xdr:col>11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36" name="Button 214">
              <controlPr defaultSize="0" print="0" autoFill="0" autoPict="0" macro="[0]!Li_Three21_1" altText="">
                <anchor moveWithCells="1" sizeWithCells="1">
                  <from>
                    <xdr:col>11</xdr:col>
                    <xdr:colOff>9053</xdr:colOff>
                    <xdr:row>22</xdr:row>
                    <xdr:rowOff>9053</xdr:rowOff>
                  </from>
                  <to>
                    <xdr:col>11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37" name="Button 215">
              <controlPr defaultSize="0" print="0" autoFill="0" autoPict="0" macro="[0]!Li_Four22_1" altText="">
                <anchor moveWithCells="1" sizeWithCells="1">
                  <from>
                    <xdr:col>11</xdr:col>
                    <xdr:colOff>9053</xdr:colOff>
                    <xdr:row>23</xdr:row>
                    <xdr:rowOff>9053</xdr:rowOff>
                  </from>
                  <to>
                    <xdr:col>11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38" name="Button 216">
              <controlPr defaultSize="0" print="0" autoFill="0" autoPict="0" macro="[0]!Li_Four23_1" altText="">
                <anchor moveWithCells="1" sizeWithCells="1">
                  <from>
                    <xdr:col>11</xdr:col>
                    <xdr:colOff>9053</xdr:colOff>
                    <xdr:row>24</xdr:row>
                    <xdr:rowOff>9053</xdr:rowOff>
                  </from>
                  <to>
                    <xdr:col>11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39" name="Button 217">
              <controlPr defaultSize="0" print="0" autoFill="0" autoPict="0" macro="[0]!Li_Four24_1" altText="">
                <anchor moveWithCells="1" sizeWithCells="1">
                  <from>
                    <xdr:col>11</xdr:col>
                    <xdr:colOff>9053</xdr:colOff>
                    <xdr:row>25</xdr:row>
                    <xdr:rowOff>9053</xdr:rowOff>
                  </from>
                  <to>
                    <xdr:col>11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40" name="Button 218">
              <controlPr defaultSize="0" print="0" autoFill="0" autoPict="0" macro="[0]!Li_Four25_1" altText="">
                <anchor moveWithCells="1" sizeWithCells="1">
                  <from>
                    <xdr:col>11</xdr:col>
                    <xdr:colOff>9053</xdr:colOff>
                    <xdr:row>26</xdr:row>
                    <xdr:rowOff>9053</xdr:rowOff>
                  </from>
                  <to>
                    <xdr:col>11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41" name="Button 219">
              <controlPr defaultSize="0" print="0" autoFill="0" autoPict="0" macro="[0]!Li_Four26_1" altText="">
                <anchor moveWithCells="1" sizeWithCells="1">
                  <from>
                    <xdr:col>11</xdr:col>
                    <xdr:colOff>9053</xdr:colOff>
                    <xdr:row>27</xdr:row>
                    <xdr:rowOff>9053</xdr:rowOff>
                  </from>
                  <to>
                    <xdr:col>11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42" name="Button 220">
              <controlPr defaultSize="0" print="0" autoFill="0" autoPict="0" macro="[0]!Li_Four27_1" altText="">
                <anchor moveWithCells="1" sizeWithCells="1">
                  <from>
                    <xdr:col>11</xdr:col>
                    <xdr:colOff>9053</xdr:colOff>
                    <xdr:row>28</xdr:row>
                    <xdr:rowOff>9053</xdr:rowOff>
                  </from>
                  <to>
                    <xdr:col>11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43" name="Button 221">
              <controlPr defaultSize="0" print="0" autoFill="0" autoPict="0" macro="[0]!Li_Four28_1" altText="">
                <anchor moveWithCells="1" sizeWithCells="1">
                  <from>
                    <xdr:col>11</xdr:col>
                    <xdr:colOff>9053</xdr:colOff>
                    <xdr:row>29</xdr:row>
                    <xdr:rowOff>9053</xdr:rowOff>
                  </from>
                  <to>
                    <xdr:col>11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44" name="Button 222">
              <controlPr defaultSize="0" print="0" autoFill="0" autoPict="0" macro="[0]!Li_Five29_1" altText="">
                <anchor moveWithCells="1" sizeWithCells="1">
                  <from>
                    <xdr:col>11</xdr:col>
                    <xdr:colOff>9053</xdr:colOff>
                    <xdr:row>30</xdr:row>
                    <xdr:rowOff>9053</xdr:rowOff>
                  </from>
                  <to>
                    <xdr:col>11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45" name="Button 223">
              <controlPr defaultSize="0" print="0" autoFill="0" autoPict="0" macro="[0]!Li_Five30_1" altText="">
                <anchor moveWithCells="1" sizeWithCells="1">
                  <from>
                    <xdr:col>11</xdr:col>
                    <xdr:colOff>9053</xdr:colOff>
                    <xdr:row>31</xdr:row>
                    <xdr:rowOff>9053</xdr:rowOff>
                  </from>
                  <to>
                    <xdr:col>11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46" name="Button 224">
              <controlPr defaultSize="0" print="0" autoFill="0" autoPict="0" macro="[0]!Li_Five31_1" altText="">
                <anchor moveWithCells="1" sizeWithCells="1">
                  <from>
                    <xdr:col>11</xdr:col>
                    <xdr:colOff>9053</xdr:colOff>
                    <xdr:row>32</xdr:row>
                    <xdr:rowOff>9053</xdr:rowOff>
                  </from>
                  <to>
                    <xdr:col>11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47" name="Button 225">
              <controlPr defaultSize="0" print="0" autoFill="0" autoPict="0" macro="[0]!Li_Five32_1" altText="">
                <anchor moveWithCells="1" sizeWithCells="1">
                  <from>
                    <xdr:col>11</xdr:col>
                    <xdr:colOff>9053</xdr:colOff>
                    <xdr:row>33</xdr:row>
                    <xdr:rowOff>9053</xdr:rowOff>
                  </from>
                  <to>
                    <xdr:col>11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48" name="Button 226">
              <controlPr defaultSize="0" print="0" autoFill="0" autoPict="0" macro="[0]!Li_Five33_1" altText="">
                <anchor moveWithCells="1" sizeWithCells="1">
                  <from>
                    <xdr:col>11</xdr:col>
                    <xdr:colOff>9053</xdr:colOff>
                    <xdr:row>34</xdr:row>
                    <xdr:rowOff>9053</xdr:rowOff>
                  </from>
                  <to>
                    <xdr:col>11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49" name="Button 227">
              <controlPr defaultSize="0" print="0" autoFill="0" autoPict="0" macro="[0]!Li_Five34_1" altText="">
                <anchor moveWithCells="1" sizeWithCells="1">
                  <from>
                    <xdr:col>11</xdr:col>
                    <xdr:colOff>9053</xdr:colOff>
                    <xdr:row>35</xdr:row>
                    <xdr:rowOff>9053</xdr:rowOff>
                  </from>
                  <to>
                    <xdr:col>11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50" name="Button 228">
              <controlPr defaultSize="0" print="0" autoFill="0" autoPict="0" macro="[0]!Li_Five35_1" altText="">
                <anchor moveWithCells="1" sizeWithCells="1">
                  <from>
                    <xdr:col>11</xdr:col>
                    <xdr:colOff>9053</xdr:colOff>
                    <xdr:row>36</xdr:row>
                    <xdr:rowOff>9053</xdr:rowOff>
                  </from>
                  <to>
                    <xdr:col>11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51" name="Button 229">
              <controlPr defaultSize="0" print="0" autoFill="0" autoPict="0" macro="[0]!Li_One1_2" altText="">
                <anchor moveWithCells="1" sizeWithCells="1">
                  <from>
                    <xdr:col>12</xdr:col>
                    <xdr:colOff>9053</xdr:colOff>
                    <xdr:row>2</xdr:row>
                    <xdr:rowOff>9053</xdr:rowOff>
                  </from>
                  <to>
                    <xdr:col>12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52" name="Button 230">
              <controlPr defaultSize="0" print="0" autoFill="0" autoPict="0" macro="[0]!Li_One2_2" altText="">
                <anchor moveWithCells="1" sizeWithCells="1">
                  <from>
                    <xdr:col>12</xdr:col>
                    <xdr:colOff>9053</xdr:colOff>
                    <xdr:row>3</xdr:row>
                    <xdr:rowOff>9053</xdr:rowOff>
                  </from>
                  <to>
                    <xdr:col>12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53" name="Button 231">
              <controlPr defaultSize="0" print="0" autoFill="0" autoPict="0" macro="[0]!Li_One3_2" altText="">
                <anchor moveWithCells="1" sizeWithCells="1">
                  <from>
                    <xdr:col>12</xdr:col>
                    <xdr:colOff>9053</xdr:colOff>
                    <xdr:row>4</xdr:row>
                    <xdr:rowOff>9053</xdr:rowOff>
                  </from>
                  <to>
                    <xdr:col>12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54" name="Button 232">
              <controlPr defaultSize="0" print="0" autoFill="0" autoPict="0" macro="[0]!Li_One4_2" altText="">
                <anchor moveWithCells="1" sizeWithCells="1">
                  <from>
                    <xdr:col>12</xdr:col>
                    <xdr:colOff>9053</xdr:colOff>
                    <xdr:row>5</xdr:row>
                    <xdr:rowOff>9053</xdr:rowOff>
                  </from>
                  <to>
                    <xdr:col>12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55" name="Button 233">
              <controlPr defaultSize="0" print="0" autoFill="0" autoPict="0" macro="[0]!Li_One5_2" altText="">
                <anchor moveWithCells="1" sizeWithCells="1">
                  <from>
                    <xdr:col>12</xdr:col>
                    <xdr:colOff>9053</xdr:colOff>
                    <xdr:row>6</xdr:row>
                    <xdr:rowOff>9053</xdr:rowOff>
                  </from>
                  <to>
                    <xdr:col>12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56" name="Button 234">
              <controlPr defaultSize="0" print="0" autoFill="0" autoPict="0" macro="[0]!Li_One6_2" altText="">
                <anchor moveWithCells="1" sizeWithCells="1">
                  <from>
                    <xdr:col>12</xdr:col>
                    <xdr:colOff>9053</xdr:colOff>
                    <xdr:row>7</xdr:row>
                    <xdr:rowOff>9053</xdr:rowOff>
                  </from>
                  <to>
                    <xdr:col>12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57" name="Button 235">
              <controlPr defaultSize="0" print="0" autoFill="0" autoPict="0" macro="[0]!Li_One7_2" altText="">
                <anchor moveWithCells="1" sizeWithCells="1">
                  <from>
                    <xdr:col>12</xdr:col>
                    <xdr:colOff>9053</xdr:colOff>
                    <xdr:row>8</xdr:row>
                    <xdr:rowOff>9053</xdr:rowOff>
                  </from>
                  <to>
                    <xdr:col>12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58" name="Button 236">
              <controlPr defaultSize="0" print="0" autoFill="0" autoPict="0" macro="[0]!Li_Two8_2" altText="">
                <anchor moveWithCells="1" sizeWithCells="1">
                  <from>
                    <xdr:col>12</xdr:col>
                    <xdr:colOff>9053</xdr:colOff>
                    <xdr:row>9</xdr:row>
                    <xdr:rowOff>9053</xdr:rowOff>
                  </from>
                  <to>
                    <xdr:col>12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59" name="Button 237">
              <controlPr defaultSize="0" print="0" autoFill="0" autoPict="0" macro="[0]!Li_Two9_2" altText="">
                <anchor moveWithCells="1" sizeWithCells="1">
                  <from>
                    <xdr:col>12</xdr:col>
                    <xdr:colOff>9053</xdr:colOff>
                    <xdr:row>10</xdr:row>
                    <xdr:rowOff>9053</xdr:rowOff>
                  </from>
                  <to>
                    <xdr:col>12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60" name="Button 238">
              <controlPr defaultSize="0" print="0" autoFill="0" autoPict="0" macro="[0]!Li_Two10_2" altText="">
                <anchor moveWithCells="1" sizeWithCells="1">
                  <from>
                    <xdr:col>12</xdr:col>
                    <xdr:colOff>9053</xdr:colOff>
                    <xdr:row>11</xdr:row>
                    <xdr:rowOff>9053</xdr:rowOff>
                  </from>
                  <to>
                    <xdr:col>12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61" name="Button 239">
              <controlPr defaultSize="0" print="0" autoFill="0" autoPict="0" macro="[0]!Li_Two11_2" altText="">
                <anchor moveWithCells="1" sizeWithCells="1">
                  <from>
                    <xdr:col>12</xdr:col>
                    <xdr:colOff>9053</xdr:colOff>
                    <xdr:row>12</xdr:row>
                    <xdr:rowOff>9053</xdr:rowOff>
                  </from>
                  <to>
                    <xdr:col>12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62" name="Button 240">
              <controlPr defaultSize="0" print="0" autoFill="0" autoPict="0" macro="[0]!Li_Two12_2" altText="">
                <anchor moveWithCells="1" sizeWithCells="1">
                  <from>
                    <xdr:col>12</xdr:col>
                    <xdr:colOff>9053</xdr:colOff>
                    <xdr:row>13</xdr:row>
                    <xdr:rowOff>9053</xdr:rowOff>
                  </from>
                  <to>
                    <xdr:col>12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63" name="Button 241">
              <controlPr defaultSize="0" print="0" autoFill="0" autoPict="0" macro="[0]!Li_Two13_2" altText="">
                <anchor moveWithCells="1" sizeWithCells="1">
                  <from>
                    <xdr:col>12</xdr:col>
                    <xdr:colOff>9053</xdr:colOff>
                    <xdr:row>14</xdr:row>
                    <xdr:rowOff>9053</xdr:rowOff>
                  </from>
                  <to>
                    <xdr:col>12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64" name="Button 242">
              <controlPr defaultSize="0" print="0" autoFill="0" autoPict="0" macro="[0]!Li_Two14_2" altText="">
                <anchor moveWithCells="1" sizeWithCells="1">
                  <from>
                    <xdr:col>12</xdr:col>
                    <xdr:colOff>9053</xdr:colOff>
                    <xdr:row>15</xdr:row>
                    <xdr:rowOff>9053</xdr:rowOff>
                  </from>
                  <to>
                    <xdr:col>12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65" name="Button 243">
              <controlPr defaultSize="0" print="0" autoFill="0" autoPict="0" macro="[0]!Li_Three15_2" altText="">
                <anchor moveWithCells="1" sizeWithCells="1">
                  <from>
                    <xdr:col>12</xdr:col>
                    <xdr:colOff>9053</xdr:colOff>
                    <xdr:row>16</xdr:row>
                    <xdr:rowOff>9053</xdr:rowOff>
                  </from>
                  <to>
                    <xdr:col>12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66" name="Button 244">
              <controlPr defaultSize="0" print="0" autoFill="0" autoPict="0" macro="[0]!Li_Three16_2" altText="">
                <anchor moveWithCells="1" sizeWithCells="1">
                  <from>
                    <xdr:col>12</xdr:col>
                    <xdr:colOff>9053</xdr:colOff>
                    <xdr:row>17</xdr:row>
                    <xdr:rowOff>9053</xdr:rowOff>
                  </from>
                  <to>
                    <xdr:col>12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67" name="Button 245">
              <controlPr defaultSize="0" print="0" autoFill="0" autoPict="0" macro="[0]!Li_Three17_2" altText="">
                <anchor moveWithCells="1" sizeWithCells="1">
                  <from>
                    <xdr:col>12</xdr:col>
                    <xdr:colOff>9053</xdr:colOff>
                    <xdr:row>18</xdr:row>
                    <xdr:rowOff>9053</xdr:rowOff>
                  </from>
                  <to>
                    <xdr:col>12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68" name="Button 246">
              <controlPr defaultSize="0" print="0" autoFill="0" autoPict="0" macro="[0]!Li_Three18_2" altText="">
                <anchor moveWithCells="1" sizeWithCells="1">
                  <from>
                    <xdr:col>12</xdr:col>
                    <xdr:colOff>9053</xdr:colOff>
                    <xdr:row>19</xdr:row>
                    <xdr:rowOff>9053</xdr:rowOff>
                  </from>
                  <to>
                    <xdr:col>12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69" name="Button 247">
              <controlPr defaultSize="0" print="0" autoFill="0" autoPict="0" macro="[0]!Li_Three19_2" altText="">
                <anchor moveWithCells="1" sizeWithCells="1">
                  <from>
                    <xdr:col>12</xdr:col>
                    <xdr:colOff>9053</xdr:colOff>
                    <xdr:row>20</xdr:row>
                    <xdr:rowOff>9053</xdr:rowOff>
                  </from>
                  <to>
                    <xdr:col>12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70" name="Button 248">
              <controlPr defaultSize="0" print="0" autoFill="0" autoPict="0" macro="[0]!Li_Three20_2" altText="">
                <anchor moveWithCells="1" sizeWithCells="1">
                  <from>
                    <xdr:col>12</xdr:col>
                    <xdr:colOff>9053</xdr:colOff>
                    <xdr:row>21</xdr:row>
                    <xdr:rowOff>9053</xdr:rowOff>
                  </from>
                  <to>
                    <xdr:col>12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71" name="Button 249">
              <controlPr defaultSize="0" print="0" autoFill="0" autoPict="0" macro="[0]!Li_Three21_2" altText="">
                <anchor moveWithCells="1" sizeWithCells="1">
                  <from>
                    <xdr:col>12</xdr:col>
                    <xdr:colOff>9053</xdr:colOff>
                    <xdr:row>22</xdr:row>
                    <xdr:rowOff>9053</xdr:rowOff>
                  </from>
                  <to>
                    <xdr:col>12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72" name="Button 250">
              <controlPr defaultSize="0" print="0" autoFill="0" autoPict="0" macro="[0]!Li_Four22_2" altText="">
                <anchor moveWithCells="1" sizeWithCells="1">
                  <from>
                    <xdr:col>12</xdr:col>
                    <xdr:colOff>9053</xdr:colOff>
                    <xdr:row>23</xdr:row>
                    <xdr:rowOff>9053</xdr:rowOff>
                  </from>
                  <to>
                    <xdr:col>12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73" name="Button 251">
              <controlPr defaultSize="0" print="0" autoFill="0" autoPict="0" macro="[0]!Li_Four23_2" altText="">
                <anchor moveWithCells="1" sizeWithCells="1">
                  <from>
                    <xdr:col>12</xdr:col>
                    <xdr:colOff>9053</xdr:colOff>
                    <xdr:row>24</xdr:row>
                    <xdr:rowOff>9053</xdr:rowOff>
                  </from>
                  <to>
                    <xdr:col>12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74" name="Button 252">
              <controlPr defaultSize="0" print="0" autoFill="0" autoPict="0" macro="[0]!Li_Four24_2" altText="">
                <anchor moveWithCells="1" sizeWithCells="1">
                  <from>
                    <xdr:col>12</xdr:col>
                    <xdr:colOff>9053</xdr:colOff>
                    <xdr:row>25</xdr:row>
                    <xdr:rowOff>9053</xdr:rowOff>
                  </from>
                  <to>
                    <xdr:col>12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75" name="Button 253">
              <controlPr defaultSize="0" print="0" autoFill="0" autoPict="0" macro="[0]!Li_Four25_2" altText="">
                <anchor moveWithCells="1" sizeWithCells="1">
                  <from>
                    <xdr:col>12</xdr:col>
                    <xdr:colOff>9053</xdr:colOff>
                    <xdr:row>26</xdr:row>
                    <xdr:rowOff>9053</xdr:rowOff>
                  </from>
                  <to>
                    <xdr:col>12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6" name="Button 254">
              <controlPr defaultSize="0" print="0" autoFill="0" autoPict="0" macro="[0]!Li_Four26_2" altText="">
                <anchor moveWithCells="1" sizeWithCells="1">
                  <from>
                    <xdr:col>12</xdr:col>
                    <xdr:colOff>9053</xdr:colOff>
                    <xdr:row>27</xdr:row>
                    <xdr:rowOff>9053</xdr:rowOff>
                  </from>
                  <to>
                    <xdr:col>12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77" name="Button 255">
              <controlPr defaultSize="0" print="0" autoFill="0" autoPict="0" macro="[0]!Li_Four27_2" altText="">
                <anchor moveWithCells="1" sizeWithCells="1">
                  <from>
                    <xdr:col>12</xdr:col>
                    <xdr:colOff>9053</xdr:colOff>
                    <xdr:row>28</xdr:row>
                    <xdr:rowOff>9053</xdr:rowOff>
                  </from>
                  <to>
                    <xdr:col>12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78" name="Button 256">
              <controlPr defaultSize="0" print="0" autoFill="0" autoPict="0" macro="[0]!Li_Four28_2" altText="">
                <anchor moveWithCells="1" sizeWithCells="1">
                  <from>
                    <xdr:col>12</xdr:col>
                    <xdr:colOff>9053</xdr:colOff>
                    <xdr:row>29</xdr:row>
                    <xdr:rowOff>9053</xdr:rowOff>
                  </from>
                  <to>
                    <xdr:col>12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79" name="Button 257">
              <controlPr defaultSize="0" print="0" autoFill="0" autoPict="0" macro="[0]!Li_Five29_2" altText="">
                <anchor moveWithCells="1" sizeWithCells="1">
                  <from>
                    <xdr:col>12</xdr:col>
                    <xdr:colOff>9053</xdr:colOff>
                    <xdr:row>30</xdr:row>
                    <xdr:rowOff>9053</xdr:rowOff>
                  </from>
                  <to>
                    <xdr:col>12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80" name="Button 258">
              <controlPr defaultSize="0" print="0" autoFill="0" autoPict="0" macro="[0]!Li_Five30_2" altText="">
                <anchor moveWithCells="1" sizeWithCells="1">
                  <from>
                    <xdr:col>12</xdr:col>
                    <xdr:colOff>9053</xdr:colOff>
                    <xdr:row>31</xdr:row>
                    <xdr:rowOff>9053</xdr:rowOff>
                  </from>
                  <to>
                    <xdr:col>12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81" name="Button 259">
              <controlPr defaultSize="0" print="0" autoFill="0" autoPict="0" macro="[0]!Li_Five31_2" altText="">
                <anchor moveWithCells="1" sizeWithCells="1">
                  <from>
                    <xdr:col>12</xdr:col>
                    <xdr:colOff>9053</xdr:colOff>
                    <xdr:row>32</xdr:row>
                    <xdr:rowOff>9053</xdr:rowOff>
                  </from>
                  <to>
                    <xdr:col>12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82" name="Button 260">
              <controlPr defaultSize="0" print="0" autoFill="0" autoPict="0" macro="[0]!Li_Five32_2" altText="">
                <anchor moveWithCells="1" sizeWithCells="1">
                  <from>
                    <xdr:col>12</xdr:col>
                    <xdr:colOff>9053</xdr:colOff>
                    <xdr:row>33</xdr:row>
                    <xdr:rowOff>9053</xdr:rowOff>
                  </from>
                  <to>
                    <xdr:col>12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83" name="Button 261">
              <controlPr defaultSize="0" print="0" autoFill="0" autoPict="0" macro="[0]!Li_Five33_2" altText="">
                <anchor moveWithCells="1" sizeWithCells="1">
                  <from>
                    <xdr:col>12</xdr:col>
                    <xdr:colOff>9053</xdr:colOff>
                    <xdr:row>34</xdr:row>
                    <xdr:rowOff>9053</xdr:rowOff>
                  </from>
                  <to>
                    <xdr:col>12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84" name="Button 262">
              <controlPr defaultSize="0" print="0" autoFill="0" autoPict="0" macro="[0]!Li_Five34_2" altText="">
                <anchor moveWithCells="1" sizeWithCells="1">
                  <from>
                    <xdr:col>12</xdr:col>
                    <xdr:colOff>9053</xdr:colOff>
                    <xdr:row>35</xdr:row>
                    <xdr:rowOff>9053</xdr:rowOff>
                  </from>
                  <to>
                    <xdr:col>12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85" name="Button 263">
              <controlPr defaultSize="0" print="0" autoFill="0" autoPict="0" macro="[0]!Li_Five35_2" altText="">
                <anchor moveWithCells="1" sizeWithCells="1">
                  <from>
                    <xdr:col>12</xdr:col>
                    <xdr:colOff>9053</xdr:colOff>
                    <xdr:row>36</xdr:row>
                    <xdr:rowOff>9053</xdr:rowOff>
                  </from>
                  <to>
                    <xdr:col>12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86" name="Button 264">
              <controlPr defaultSize="0" print="0" autoFill="0" autoPict="0" macro="[0]!Li_One1_3" altText="">
                <anchor moveWithCells="1" sizeWithCells="1">
                  <from>
                    <xdr:col>13</xdr:col>
                    <xdr:colOff>9053</xdr:colOff>
                    <xdr:row>2</xdr:row>
                    <xdr:rowOff>9053</xdr:rowOff>
                  </from>
                  <to>
                    <xdr:col>13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87" name="Button 265">
              <controlPr defaultSize="0" print="0" autoFill="0" autoPict="0" macro="[0]!Li_One2_3" altText="">
                <anchor moveWithCells="1" sizeWithCells="1">
                  <from>
                    <xdr:col>13</xdr:col>
                    <xdr:colOff>9053</xdr:colOff>
                    <xdr:row>3</xdr:row>
                    <xdr:rowOff>9053</xdr:rowOff>
                  </from>
                  <to>
                    <xdr:col>13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88" name="Button 266">
              <controlPr defaultSize="0" print="0" autoFill="0" autoPict="0" macro="[0]!Li_One3_3" altText="">
                <anchor moveWithCells="1" sizeWithCells="1">
                  <from>
                    <xdr:col>13</xdr:col>
                    <xdr:colOff>9053</xdr:colOff>
                    <xdr:row>4</xdr:row>
                    <xdr:rowOff>9053</xdr:rowOff>
                  </from>
                  <to>
                    <xdr:col>13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89" name="Button 267">
              <controlPr defaultSize="0" print="0" autoFill="0" autoPict="0" macro="[0]!Li_One4_3" altText="">
                <anchor moveWithCells="1" sizeWithCells="1">
                  <from>
                    <xdr:col>13</xdr:col>
                    <xdr:colOff>9053</xdr:colOff>
                    <xdr:row>5</xdr:row>
                    <xdr:rowOff>9053</xdr:rowOff>
                  </from>
                  <to>
                    <xdr:col>13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90" name="Button 268">
              <controlPr defaultSize="0" print="0" autoFill="0" autoPict="0" macro="[0]!Li_One5_3" altText="">
                <anchor moveWithCells="1" sizeWithCells="1">
                  <from>
                    <xdr:col>13</xdr:col>
                    <xdr:colOff>9053</xdr:colOff>
                    <xdr:row>6</xdr:row>
                    <xdr:rowOff>9053</xdr:rowOff>
                  </from>
                  <to>
                    <xdr:col>13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91" name="Button 269">
              <controlPr defaultSize="0" print="0" autoFill="0" autoPict="0" macro="[0]!Li_One6_3" altText="">
                <anchor moveWithCells="1" sizeWithCells="1">
                  <from>
                    <xdr:col>13</xdr:col>
                    <xdr:colOff>9053</xdr:colOff>
                    <xdr:row>7</xdr:row>
                    <xdr:rowOff>9053</xdr:rowOff>
                  </from>
                  <to>
                    <xdr:col>13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92" name="Button 270">
              <controlPr defaultSize="0" print="0" autoFill="0" autoPict="0" macro="[0]!Li_One7_3" altText="">
                <anchor moveWithCells="1" sizeWithCells="1">
                  <from>
                    <xdr:col>13</xdr:col>
                    <xdr:colOff>9053</xdr:colOff>
                    <xdr:row>8</xdr:row>
                    <xdr:rowOff>9053</xdr:rowOff>
                  </from>
                  <to>
                    <xdr:col>13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93" name="Button 271">
              <controlPr defaultSize="0" print="0" autoFill="0" autoPict="0" macro="[0]!Li_Two8_3" altText="">
                <anchor moveWithCells="1" sizeWithCells="1">
                  <from>
                    <xdr:col>13</xdr:col>
                    <xdr:colOff>9053</xdr:colOff>
                    <xdr:row>9</xdr:row>
                    <xdr:rowOff>9053</xdr:rowOff>
                  </from>
                  <to>
                    <xdr:col>13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94" name="Button 272">
              <controlPr defaultSize="0" print="0" autoFill="0" autoPict="0" macro="[0]!Li_Two9_3" altText="">
                <anchor moveWithCells="1" sizeWithCells="1">
                  <from>
                    <xdr:col>13</xdr:col>
                    <xdr:colOff>9053</xdr:colOff>
                    <xdr:row>10</xdr:row>
                    <xdr:rowOff>9053</xdr:rowOff>
                  </from>
                  <to>
                    <xdr:col>13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95" name="Button 273">
              <controlPr defaultSize="0" print="0" autoFill="0" autoPict="0" macro="[0]!Li_Two10_3" altText="">
                <anchor moveWithCells="1" sizeWithCells="1">
                  <from>
                    <xdr:col>13</xdr:col>
                    <xdr:colOff>9053</xdr:colOff>
                    <xdr:row>11</xdr:row>
                    <xdr:rowOff>9053</xdr:rowOff>
                  </from>
                  <to>
                    <xdr:col>13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96" name="Button 274">
              <controlPr defaultSize="0" print="0" autoFill="0" autoPict="0" macro="[0]!Li_Two11_3" altText="">
                <anchor moveWithCells="1" sizeWithCells="1">
                  <from>
                    <xdr:col>13</xdr:col>
                    <xdr:colOff>9053</xdr:colOff>
                    <xdr:row>12</xdr:row>
                    <xdr:rowOff>9053</xdr:rowOff>
                  </from>
                  <to>
                    <xdr:col>13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97" name="Button 275">
              <controlPr defaultSize="0" print="0" autoFill="0" autoPict="0" macro="[0]!Li_Two12_3" altText="">
                <anchor moveWithCells="1" sizeWithCells="1">
                  <from>
                    <xdr:col>13</xdr:col>
                    <xdr:colOff>9053</xdr:colOff>
                    <xdr:row>13</xdr:row>
                    <xdr:rowOff>9053</xdr:rowOff>
                  </from>
                  <to>
                    <xdr:col>13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98" name="Button 276">
              <controlPr defaultSize="0" print="0" autoFill="0" autoPict="0" macro="[0]!Li_Two13_3" altText="">
                <anchor moveWithCells="1" sizeWithCells="1">
                  <from>
                    <xdr:col>13</xdr:col>
                    <xdr:colOff>9053</xdr:colOff>
                    <xdr:row>14</xdr:row>
                    <xdr:rowOff>9053</xdr:rowOff>
                  </from>
                  <to>
                    <xdr:col>13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99" name="Button 277">
              <controlPr defaultSize="0" print="0" autoFill="0" autoPict="0" macro="[0]!Li_Two14_3" altText="">
                <anchor moveWithCells="1" sizeWithCells="1">
                  <from>
                    <xdr:col>13</xdr:col>
                    <xdr:colOff>9053</xdr:colOff>
                    <xdr:row>15</xdr:row>
                    <xdr:rowOff>9053</xdr:rowOff>
                  </from>
                  <to>
                    <xdr:col>13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00" name="Button 278">
              <controlPr defaultSize="0" print="0" autoFill="0" autoPict="0" macro="[0]!Li_Three15_3" altText="">
                <anchor moveWithCells="1" sizeWithCells="1">
                  <from>
                    <xdr:col>13</xdr:col>
                    <xdr:colOff>9053</xdr:colOff>
                    <xdr:row>16</xdr:row>
                    <xdr:rowOff>9053</xdr:rowOff>
                  </from>
                  <to>
                    <xdr:col>13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01" name="Button 279">
              <controlPr defaultSize="0" print="0" autoFill="0" autoPict="0" macro="[0]!Li_Three16_3" altText="">
                <anchor moveWithCells="1" sizeWithCells="1">
                  <from>
                    <xdr:col>13</xdr:col>
                    <xdr:colOff>9053</xdr:colOff>
                    <xdr:row>17</xdr:row>
                    <xdr:rowOff>9053</xdr:rowOff>
                  </from>
                  <to>
                    <xdr:col>13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02" name="Button 280">
              <controlPr defaultSize="0" print="0" autoFill="0" autoPict="0" macro="[0]!Li_Three17_3" altText="">
                <anchor moveWithCells="1" sizeWithCells="1">
                  <from>
                    <xdr:col>13</xdr:col>
                    <xdr:colOff>9053</xdr:colOff>
                    <xdr:row>18</xdr:row>
                    <xdr:rowOff>9053</xdr:rowOff>
                  </from>
                  <to>
                    <xdr:col>13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03" name="Button 281">
              <controlPr defaultSize="0" print="0" autoFill="0" autoPict="0" macro="[0]!Li_Three18_3" altText="">
                <anchor moveWithCells="1" sizeWithCells="1">
                  <from>
                    <xdr:col>13</xdr:col>
                    <xdr:colOff>9053</xdr:colOff>
                    <xdr:row>19</xdr:row>
                    <xdr:rowOff>9053</xdr:rowOff>
                  </from>
                  <to>
                    <xdr:col>13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04" name="Button 282">
              <controlPr defaultSize="0" print="0" autoFill="0" autoPict="0" macro="[0]!Li_Three19_3" altText="">
                <anchor moveWithCells="1" sizeWithCells="1">
                  <from>
                    <xdr:col>13</xdr:col>
                    <xdr:colOff>9053</xdr:colOff>
                    <xdr:row>20</xdr:row>
                    <xdr:rowOff>9053</xdr:rowOff>
                  </from>
                  <to>
                    <xdr:col>13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05" name="Button 283">
              <controlPr defaultSize="0" print="0" autoFill="0" autoPict="0" macro="[0]!Li_Three20_3" altText="">
                <anchor moveWithCells="1" sizeWithCells="1">
                  <from>
                    <xdr:col>13</xdr:col>
                    <xdr:colOff>9053</xdr:colOff>
                    <xdr:row>21</xdr:row>
                    <xdr:rowOff>9053</xdr:rowOff>
                  </from>
                  <to>
                    <xdr:col>13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06" name="Button 284">
              <controlPr defaultSize="0" print="0" autoFill="0" autoPict="0" macro="[0]!Li_Three21_3" altText="">
                <anchor moveWithCells="1" sizeWithCells="1">
                  <from>
                    <xdr:col>13</xdr:col>
                    <xdr:colOff>9053</xdr:colOff>
                    <xdr:row>22</xdr:row>
                    <xdr:rowOff>9053</xdr:rowOff>
                  </from>
                  <to>
                    <xdr:col>13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07" name="Button 285">
              <controlPr defaultSize="0" print="0" autoFill="0" autoPict="0" macro="[0]!Li_Four22_3" altText="">
                <anchor moveWithCells="1" sizeWithCells="1">
                  <from>
                    <xdr:col>13</xdr:col>
                    <xdr:colOff>9053</xdr:colOff>
                    <xdr:row>23</xdr:row>
                    <xdr:rowOff>9053</xdr:rowOff>
                  </from>
                  <to>
                    <xdr:col>13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08" name="Button 286">
              <controlPr defaultSize="0" print="0" autoFill="0" autoPict="0" macro="[0]!Li_Four23_3" altText="">
                <anchor moveWithCells="1" sizeWithCells="1">
                  <from>
                    <xdr:col>13</xdr:col>
                    <xdr:colOff>9053</xdr:colOff>
                    <xdr:row>24</xdr:row>
                    <xdr:rowOff>9053</xdr:rowOff>
                  </from>
                  <to>
                    <xdr:col>13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09" name="Button 287">
              <controlPr defaultSize="0" print="0" autoFill="0" autoPict="0" macro="[0]!Li_Four24_3" altText="">
                <anchor moveWithCells="1" sizeWithCells="1">
                  <from>
                    <xdr:col>13</xdr:col>
                    <xdr:colOff>9053</xdr:colOff>
                    <xdr:row>25</xdr:row>
                    <xdr:rowOff>9053</xdr:rowOff>
                  </from>
                  <to>
                    <xdr:col>13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0" name="Button 288">
              <controlPr defaultSize="0" print="0" autoFill="0" autoPict="0" macro="[0]!Li_Four25_3" altText="">
                <anchor moveWithCells="1" sizeWithCells="1">
                  <from>
                    <xdr:col>13</xdr:col>
                    <xdr:colOff>9053</xdr:colOff>
                    <xdr:row>26</xdr:row>
                    <xdr:rowOff>9053</xdr:rowOff>
                  </from>
                  <to>
                    <xdr:col>13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Button 289">
              <controlPr defaultSize="0" print="0" autoFill="0" autoPict="0" macro="[0]!Li_Four26_3" altText="">
                <anchor moveWithCells="1" sizeWithCells="1">
                  <from>
                    <xdr:col>13</xdr:col>
                    <xdr:colOff>9053</xdr:colOff>
                    <xdr:row>27</xdr:row>
                    <xdr:rowOff>9053</xdr:rowOff>
                  </from>
                  <to>
                    <xdr:col>13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2" name="Button 290">
              <controlPr defaultSize="0" print="0" autoFill="0" autoPict="0" macro="[0]!Li_Four27_3" altText="">
                <anchor moveWithCells="1" sizeWithCells="1">
                  <from>
                    <xdr:col>13</xdr:col>
                    <xdr:colOff>9053</xdr:colOff>
                    <xdr:row>28</xdr:row>
                    <xdr:rowOff>9053</xdr:rowOff>
                  </from>
                  <to>
                    <xdr:col>13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13" name="Button 291">
              <controlPr defaultSize="0" print="0" autoFill="0" autoPict="0" macro="[0]!Li_Four28_3" altText="">
                <anchor moveWithCells="1" sizeWithCells="1">
                  <from>
                    <xdr:col>13</xdr:col>
                    <xdr:colOff>9053</xdr:colOff>
                    <xdr:row>29</xdr:row>
                    <xdr:rowOff>9053</xdr:rowOff>
                  </from>
                  <to>
                    <xdr:col>13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14" name="Button 292">
              <controlPr defaultSize="0" print="0" autoFill="0" autoPict="0" macro="[0]!Li_Five29_3" altText="">
                <anchor moveWithCells="1" sizeWithCells="1">
                  <from>
                    <xdr:col>13</xdr:col>
                    <xdr:colOff>9053</xdr:colOff>
                    <xdr:row>30</xdr:row>
                    <xdr:rowOff>9053</xdr:rowOff>
                  </from>
                  <to>
                    <xdr:col>13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15" name="Button 293">
              <controlPr defaultSize="0" print="0" autoFill="0" autoPict="0" macro="[0]!Li_Five30_3" altText="">
                <anchor moveWithCells="1" sizeWithCells="1">
                  <from>
                    <xdr:col>13</xdr:col>
                    <xdr:colOff>9053</xdr:colOff>
                    <xdr:row>31</xdr:row>
                    <xdr:rowOff>9053</xdr:rowOff>
                  </from>
                  <to>
                    <xdr:col>13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16" name="Button 294">
              <controlPr defaultSize="0" print="0" autoFill="0" autoPict="0" macro="[0]!Li_Five31_3" altText="">
                <anchor moveWithCells="1" sizeWithCells="1">
                  <from>
                    <xdr:col>13</xdr:col>
                    <xdr:colOff>9053</xdr:colOff>
                    <xdr:row>32</xdr:row>
                    <xdr:rowOff>9053</xdr:rowOff>
                  </from>
                  <to>
                    <xdr:col>13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17" name="Button 295">
              <controlPr defaultSize="0" print="0" autoFill="0" autoPict="0" macro="[0]!Li_Five32_3" altText="">
                <anchor moveWithCells="1" sizeWithCells="1">
                  <from>
                    <xdr:col>13</xdr:col>
                    <xdr:colOff>9053</xdr:colOff>
                    <xdr:row>33</xdr:row>
                    <xdr:rowOff>9053</xdr:rowOff>
                  </from>
                  <to>
                    <xdr:col>13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18" name="Button 296">
              <controlPr defaultSize="0" print="0" autoFill="0" autoPict="0" macro="[0]!Li_Five33_3" altText="">
                <anchor moveWithCells="1" sizeWithCells="1">
                  <from>
                    <xdr:col>13</xdr:col>
                    <xdr:colOff>9053</xdr:colOff>
                    <xdr:row>34</xdr:row>
                    <xdr:rowOff>9053</xdr:rowOff>
                  </from>
                  <to>
                    <xdr:col>13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19" name="Button 297">
              <controlPr defaultSize="0" print="0" autoFill="0" autoPict="0" macro="[0]!Li_Five34_3" altText="">
                <anchor moveWithCells="1" sizeWithCells="1">
                  <from>
                    <xdr:col>13</xdr:col>
                    <xdr:colOff>9053</xdr:colOff>
                    <xdr:row>35</xdr:row>
                    <xdr:rowOff>9053</xdr:rowOff>
                  </from>
                  <to>
                    <xdr:col>13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20" name="Button 298">
              <controlPr defaultSize="0" print="0" autoFill="0" autoPict="0" macro="[0]!Li_Five35_3" altText="">
                <anchor moveWithCells="1" sizeWithCells="1">
                  <from>
                    <xdr:col>13</xdr:col>
                    <xdr:colOff>9053</xdr:colOff>
                    <xdr:row>36</xdr:row>
                    <xdr:rowOff>9053</xdr:rowOff>
                  </from>
                  <to>
                    <xdr:col>13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21" name="Button 299">
              <controlPr defaultSize="0" print="0" autoFill="0" autoPict="0" macro="[0]!Li_One1_4" altText="">
                <anchor moveWithCells="1" sizeWithCells="1">
                  <from>
                    <xdr:col>14</xdr:col>
                    <xdr:colOff>9053</xdr:colOff>
                    <xdr:row>2</xdr:row>
                    <xdr:rowOff>9053</xdr:rowOff>
                  </from>
                  <to>
                    <xdr:col>14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22" name="Button 300">
              <controlPr defaultSize="0" print="0" autoFill="0" autoPict="0" macro="[0]!Li_One2_4" altText="">
                <anchor moveWithCells="1" sizeWithCells="1">
                  <from>
                    <xdr:col>14</xdr:col>
                    <xdr:colOff>9053</xdr:colOff>
                    <xdr:row>3</xdr:row>
                    <xdr:rowOff>9053</xdr:rowOff>
                  </from>
                  <to>
                    <xdr:col>14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223" name="Button 301">
              <controlPr defaultSize="0" print="0" autoFill="0" autoPict="0" macro="[0]!Li_One3_4" altText="">
                <anchor moveWithCells="1" sizeWithCells="1">
                  <from>
                    <xdr:col>14</xdr:col>
                    <xdr:colOff>9053</xdr:colOff>
                    <xdr:row>4</xdr:row>
                    <xdr:rowOff>9053</xdr:rowOff>
                  </from>
                  <to>
                    <xdr:col>14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224" name="Button 302">
              <controlPr defaultSize="0" print="0" autoFill="0" autoPict="0" macro="[0]!Li_One4_4" altText="">
                <anchor moveWithCells="1" sizeWithCells="1">
                  <from>
                    <xdr:col>14</xdr:col>
                    <xdr:colOff>9053</xdr:colOff>
                    <xdr:row>5</xdr:row>
                    <xdr:rowOff>9053</xdr:rowOff>
                  </from>
                  <to>
                    <xdr:col>14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225" name="Button 303">
              <controlPr defaultSize="0" print="0" autoFill="0" autoPict="0" macro="[0]!Li_One5_4" altText="">
                <anchor moveWithCells="1" sizeWithCells="1">
                  <from>
                    <xdr:col>14</xdr:col>
                    <xdr:colOff>9053</xdr:colOff>
                    <xdr:row>6</xdr:row>
                    <xdr:rowOff>9053</xdr:rowOff>
                  </from>
                  <to>
                    <xdr:col>14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226" name="Button 304">
              <controlPr defaultSize="0" print="0" autoFill="0" autoPict="0" macro="[0]!Li_One6_4" altText="">
                <anchor moveWithCells="1" sizeWithCells="1">
                  <from>
                    <xdr:col>14</xdr:col>
                    <xdr:colOff>9053</xdr:colOff>
                    <xdr:row>7</xdr:row>
                    <xdr:rowOff>9053</xdr:rowOff>
                  </from>
                  <to>
                    <xdr:col>14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227" name="Button 305">
              <controlPr defaultSize="0" print="0" autoFill="0" autoPict="0" macro="[0]!Li_One7_4" altText="">
                <anchor moveWithCells="1" sizeWithCells="1">
                  <from>
                    <xdr:col>14</xdr:col>
                    <xdr:colOff>9053</xdr:colOff>
                    <xdr:row>8</xdr:row>
                    <xdr:rowOff>9053</xdr:rowOff>
                  </from>
                  <to>
                    <xdr:col>14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228" name="Button 306">
              <controlPr defaultSize="0" print="0" autoFill="0" autoPict="0" macro="[0]!Li_Two8_4" altText="">
                <anchor moveWithCells="1" sizeWithCells="1">
                  <from>
                    <xdr:col>14</xdr:col>
                    <xdr:colOff>9053</xdr:colOff>
                    <xdr:row>9</xdr:row>
                    <xdr:rowOff>9053</xdr:rowOff>
                  </from>
                  <to>
                    <xdr:col>14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229" name="Button 307">
              <controlPr defaultSize="0" print="0" autoFill="0" autoPict="0" macro="[0]!Li_Two9_4" altText="">
                <anchor moveWithCells="1" sizeWithCells="1">
                  <from>
                    <xdr:col>14</xdr:col>
                    <xdr:colOff>9053</xdr:colOff>
                    <xdr:row>10</xdr:row>
                    <xdr:rowOff>9053</xdr:rowOff>
                  </from>
                  <to>
                    <xdr:col>14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230" name="Button 308">
              <controlPr defaultSize="0" print="0" autoFill="0" autoPict="0" macro="[0]!Li_Two10_4" altText="">
                <anchor moveWithCells="1" sizeWithCells="1">
                  <from>
                    <xdr:col>14</xdr:col>
                    <xdr:colOff>9053</xdr:colOff>
                    <xdr:row>11</xdr:row>
                    <xdr:rowOff>9053</xdr:rowOff>
                  </from>
                  <to>
                    <xdr:col>14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231" name="Button 309">
              <controlPr defaultSize="0" print="0" autoFill="0" autoPict="0" macro="[0]!Li_Two11_4" altText="">
                <anchor moveWithCells="1" sizeWithCells="1">
                  <from>
                    <xdr:col>14</xdr:col>
                    <xdr:colOff>9053</xdr:colOff>
                    <xdr:row>12</xdr:row>
                    <xdr:rowOff>9053</xdr:rowOff>
                  </from>
                  <to>
                    <xdr:col>14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232" name="Button 310">
              <controlPr defaultSize="0" print="0" autoFill="0" autoPict="0" macro="[0]!Li_Two12_4" altText="">
                <anchor moveWithCells="1" sizeWithCells="1">
                  <from>
                    <xdr:col>14</xdr:col>
                    <xdr:colOff>9053</xdr:colOff>
                    <xdr:row>13</xdr:row>
                    <xdr:rowOff>9053</xdr:rowOff>
                  </from>
                  <to>
                    <xdr:col>14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233" name="Button 311">
              <controlPr defaultSize="0" print="0" autoFill="0" autoPict="0" macro="[0]!Li_Two13_4" altText="">
                <anchor moveWithCells="1" sizeWithCells="1">
                  <from>
                    <xdr:col>14</xdr:col>
                    <xdr:colOff>9053</xdr:colOff>
                    <xdr:row>14</xdr:row>
                    <xdr:rowOff>9053</xdr:rowOff>
                  </from>
                  <to>
                    <xdr:col>14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34" name="Button 312">
              <controlPr defaultSize="0" print="0" autoFill="0" autoPict="0" macro="[0]!Li_Two14_4" altText="">
                <anchor moveWithCells="1" sizeWithCells="1">
                  <from>
                    <xdr:col>14</xdr:col>
                    <xdr:colOff>9053</xdr:colOff>
                    <xdr:row>15</xdr:row>
                    <xdr:rowOff>9053</xdr:rowOff>
                  </from>
                  <to>
                    <xdr:col>14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235" name="Button 313">
              <controlPr defaultSize="0" print="0" autoFill="0" autoPict="0" macro="[0]!Li_Three15_4" altText="">
                <anchor moveWithCells="1" sizeWithCells="1">
                  <from>
                    <xdr:col>14</xdr:col>
                    <xdr:colOff>9053</xdr:colOff>
                    <xdr:row>16</xdr:row>
                    <xdr:rowOff>9053</xdr:rowOff>
                  </from>
                  <to>
                    <xdr:col>14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236" name="Button 314">
              <controlPr defaultSize="0" print="0" autoFill="0" autoPict="0" macro="[0]!Li_Three16_4" altText="">
                <anchor moveWithCells="1" sizeWithCells="1">
                  <from>
                    <xdr:col>14</xdr:col>
                    <xdr:colOff>9053</xdr:colOff>
                    <xdr:row>17</xdr:row>
                    <xdr:rowOff>9053</xdr:rowOff>
                  </from>
                  <to>
                    <xdr:col>14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237" name="Button 315">
              <controlPr defaultSize="0" print="0" autoFill="0" autoPict="0" macro="[0]!Li_Three17_4" altText="">
                <anchor moveWithCells="1" sizeWithCells="1">
                  <from>
                    <xdr:col>14</xdr:col>
                    <xdr:colOff>9053</xdr:colOff>
                    <xdr:row>18</xdr:row>
                    <xdr:rowOff>9053</xdr:rowOff>
                  </from>
                  <to>
                    <xdr:col>14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238" name="Button 316">
              <controlPr defaultSize="0" print="0" autoFill="0" autoPict="0" macro="[0]!Li_Three18_4" altText="">
                <anchor moveWithCells="1" sizeWithCells="1">
                  <from>
                    <xdr:col>14</xdr:col>
                    <xdr:colOff>9053</xdr:colOff>
                    <xdr:row>19</xdr:row>
                    <xdr:rowOff>9053</xdr:rowOff>
                  </from>
                  <to>
                    <xdr:col>14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239" name="Button 317">
              <controlPr defaultSize="0" print="0" autoFill="0" autoPict="0" macro="[0]!Li_Three19_4" altText="">
                <anchor moveWithCells="1" sizeWithCells="1">
                  <from>
                    <xdr:col>14</xdr:col>
                    <xdr:colOff>9053</xdr:colOff>
                    <xdr:row>20</xdr:row>
                    <xdr:rowOff>9053</xdr:rowOff>
                  </from>
                  <to>
                    <xdr:col>14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240" name="Button 318">
              <controlPr defaultSize="0" print="0" autoFill="0" autoPict="0" macro="[0]!Li_Three20_4" altText="">
                <anchor moveWithCells="1" sizeWithCells="1">
                  <from>
                    <xdr:col>14</xdr:col>
                    <xdr:colOff>9053</xdr:colOff>
                    <xdr:row>21</xdr:row>
                    <xdr:rowOff>9053</xdr:rowOff>
                  </from>
                  <to>
                    <xdr:col>14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241" name="Button 319">
              <controlPr defaultSize="0" print="0" autoFill="0" autoPict="0" macro="[0]!Li_Three21_4" altText="">
                <anchor moveWithCells="1" sizeWithCells="1">
                  <from>
                    <xdr:col>14</xdr:col>
                    <xdr:colOff>9053</xdr:colOff>
                    <xdr:row>22</xdr:row>
                    <xdr:rowOff>9053</xdr:rowOff>
                  </from>
                  <to>
                    <xdr:col>14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242" name="Button 320">
              <controlPr defaultSize="0" print="0" autoFill="0" autoPict="0" macro="[0]!Li_Four22_4" altText="">
                <anchor moveWithCells="1" sizeWithCells="1">
                  <from>
                    <xdr:col>14</xdr:col>
                    <xdr:colOff>9053</xdr:colOff>
                    <xdr:row>23</xdr:row>
                    <xdr:rowOff>9053</xdr:rowOff>
                  </from>
                  <to>
                    <xdr:col>14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243" name="Button 321">
              <controlPr defaultSize="0" print="0" autoFill="0" autoPict="0" macro="[0]!Li_Four23_4" altText="">
                <anchor moveWithCells="1" sizeWithCells="1">
                  <from>
                    <xdr:col>14</xdr:col>
                    <xdr:colOff>9053</xdr:colOff>
                    <xdr:row>24</xdr:row>
                    <xdr:rowOff>9053</xdr:rowOff>
                  </from>
                  <to>
                    <xdr:col>14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244" name="Button 322">
              <controlPr defaultSize="0" print="0" autoFill="0" autoPict="0" macro="[0]!Li_Four24_4" altText="">
                <anchor moveWithCells="1" sizeWithCells="1">
                  <from>
                    <xdr:col>14</xdr:col>
                    <xdr:colOff>9053</xdr:colOff>
                    <xdr:row>25</xdr:row>
                    <xdr:rowOff>9053</xdr:rowOff>
                  </from>
                  <to>
                    <xdr:col>14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245" name="Button 323">
              <controlPr defaultSize="0" print="0" autoFill="0" autoPict="0" macro="[0]!Li_Four25_4" altText="">
                <anchor moveWithCells="1" sizeWithCells="1">
                  <from>
                    <xdr:col>14</xdr:col>
                    <xdr:colOff>9053</xdr:colOff>
                    <xdr:row>26</xdr:row>
                    <xdr:rowOff>9053</xdr:rowOff>
                  </from>
                  <to>
                    <xdr:col>14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246" name="Button 324">
              <controlPr defaultSize="0" print="0" autoFill="0" autoPict="0" macro="[0]!Li_Four26_4" altText="">
                <anchor moveWithCells="1" sizeWithCells="1">
                  <from>
                    <xdr:col>14</xdr:col>
                    <xdr:colOff>9053</xdr:colOff>
                    <xdr:row>27</xdr:row>
                    <xdr:rowOff>9053</xdr:rowOff>
                  </from>
                  <to>
                    <xdr:col>14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247" name="Button 325">
              <controlPr defaultSize="0" print="0" autoFill="0" autoPict="0" macro="[0]!Li_Four27_4" altText="">
                <anchor moveWithCells="1" sizeWithCells="1">
                  <from>
                    <xdr:col>14</xdr:col>
                    <xdr:colOff>9053</xdr:colOff>
                    <xdr:row>28</xdr:row>
                    <xdr:rowOff>9053</xdr:rowOff>
                  </from>
                  <to>
                    <xdr:col>14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248" name="Button 326">
              <controlPr defaultSize="0" print="0" autoFill="0" autoPict="0" macro="[0]!Li_Four28_4" altText="">
                <anchor moveWithCells="1" sizeWithCells="1">
                  <from>
                    <xdr:col>14</xdr:col>
                    <xdr:colOff>9053</xdr:colOff>
                    <xdr:row>29</xdr:row>
                    <xdr:rowOff>9053</xdr:rowOff>
                  </from>
                  <to>
                    <xdr:col>14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249" name="Button 327">
              <controlPr defaultSize="0" print="0" autoFill="0" autoPict="0" macro="[0]!Li_Five29_4" altText="">
                <anchor moveWithCells="1" sizeWithCells="1">
                  <from>
                    <xdr:col>14</xdr:col>
                    <xdr:colOff>9053</xdr:colOff>
                    <xdr:row>30</xdr:row>
                    <xdr:rowOff>9053</xdr:rowOff>
                  </from>
                  <to>
                    <xdr:col>14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250" name="Button 328">
              <controlPr defaultSize="0" print="0" autoFill="0" autoPict="0" macro="[0]!Li_Five30_4" altText="">
                <anchor moveWithCells="1" sizeWithCells="1">
                  <from>
                    <xdr:col>14</xdr:col>
                    <xdr:colOff>9053</xdr:colOff>
                    <xdr:row>31</xdr:row>
                    <xdr:rowOff>9053</xdr:rowOff>
                  </from>
                  <to>
                    <xdr:col>14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251" name="Button 329">
              <controlPr defaultSize="0" print="0" autoFill="0" autoPict="0" macro="[0]!Li_Five31_4" altText="">
                <anchor moveWithCells="1" sizeWithCells="1">
                  <from>
                    <xdr:col>14</xdr:col>
                    <xdr:colOff>9053</xdr:colOff>
                    <xdr:row>32</xdr:row>
                    <xdr:rowOff>9053</xdr:rowOff>
                  </from>
                  <to>
                    <xdr:col>14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252" name="Button 330">
              <controlPr defaultSize="0" print="0" autoFill="0" autoPict="0" macro="[0]!Li_Five32_4" altText="">
                <anchor moveWithCells="1" sizeWithCells="1">
                  <from>
                    <xdr:col>14</xdr:col>
                    <xdr:colOff>9053</xdr:colOff>
                    <xdr:row>33</xdr:row>
                    <xdr:rowOff>9053</xdr:rowOff>
                  </from>
                  <to>
                    <xdr:col>14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253" name="Button 331">
              <controlPr defaultSize="0" print="0" autoFill="0" autoPict="0" macro="[0]!Li_Five33_4" altText="">
                <anchor moveWithCells="1" sizeWithCells="1">
                  <from>
                    <xdr:col>14</xdr:col>
                    <xdr:colOff>9053</xdr:colOff>
                    <xdr:row>34</xdr:row>
                    <xdr:rowOff>9053</xdr:rowOff>
                  </from>
                  <to>
                    <xdr:col>14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254" name="Button 332">
              <controlPr defaultSize="0" print="0" autoFill="0" autoPict="0" macro="[0]!Li_Five34_4" altText="">
                <anchor moveWithCells="1" sizeWithCells="1">
                  <from>
                    <xdr:col>14</xdr:col>
                    <xdr:colOff>9053</xdr:colOff>
                    <xdr:row>35</xdr:row>
                    <xdr:rowOff>9053</xdr:rowOff>
                  </from>
                  <to>
                    <xdr:col>14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255" name="Button 333">
              <controlPr defaultSize="0" print="0" autoFill="0" autoPict="0" macro="[0]!Li_Five35_4" altText="">
                <anchor moveWithCells="1" sizeWithCells="1">
                  <from>
                    <xdr:col>14</xdr:col>
                    <xdr:colOff>9053</xdr:colOff>
                    <xdr:row>36</xdr:row>
                    <xdr:rowOff>9053</xdr:rowOff>
                  </from>
                  <to>
                    <xdr:col>14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256" name="Button 334">
              <controlPr defaultSize="0" print="0" autoFill="0" autoPict="0" macro="[0]!Xui_One1_5" altText="">
                <anchor moveWithCells="1" sizeWithCells="1">
                  <from>
                    <xdr:col>6</xdr:col>
                    <xdr:colOff>9053</xdr:colOff>
                    <xdr:row>2</xdr:row>
                    <xdr:rowOff>9053</xdr:rowOff>
                  </from>
                  <to>
                    <xdr:col>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257" name="Button 335">
              <controlPr defaultSize="0" print="0" autoFill="0" autoPict="0" macro="[0]!Xui_One1_6" altText="">
                <anchor moveWithCells="1" sizeWithCells="1">
                  <from>
                    <xdr:col>7</xdr:col>
                    <xdr:colOff>9053</xdr:colOff>
                    <xdr:row>2</xdr:row>
                    <xdr:rowOff>9053</xdr:rowOff>
                  </from>
                  <to>
                    <xdr:col>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258" name="Button 336">
              <controlPr defaultSize="0" print="0" autoFill="0" autoPict="0" macro="[0]!Xui_One1_7" altText="">
                <anchor moveWithCells="1" sizeWithCells="1">
                  <from>
                    <xdr:col>8</xdr:col>
                    <xdr:colOff>9053</xdr:colOff>
                    <xdr:row>2</xdr:row>
                    <xdr:rowOff>9053</xdr:rowOff>
                  </from>
                  <to>
                    <xdr:col>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259" name="Button 340">
              <controlPr defaultSize="0" print="0" autoFill="0" autoPict="0" macro="[0]!Li_One1_5" altText="">
                <anchor moveWithCells="1" sizeWithCells="1">
                  <from>
                    <xdr:col>15</xdr:col>
                    <xdr:colOff>9053</xdr:colOff>
                    <xdr:row>2</xdr:row>
                    <xdr:rowOff>9053</xdr:rowOff>
                  </from>
                  <to>
                    <xdr:col>16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260" name="Button 341">
              <controlPr defaultSize="0" print="0" autoFill="0" autoPict="0" macro="[0]!Li_One1_6" altText="">
                <anchor moveWithCells="1" sizeWithCells="1">
                  <from>
                    <xdr:col>16</xdr:col>
                    <xdr:colOff>9053</xdr:colOff>
                    <xdr:row>2</xdr:row>
                    <xdr:rowOff>9053</xdr:rowOff>
                  </from>
                  <to>
                    <xdr:col>17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261" name="Button 342">
              <controlPr defaultSize="0" print="0" autoFill="0" autoPict="0" macro="[0]!Li_One1_7" altText="">
                <anchor moveWithCells="1" sizeWithCells="1">
                  <from>
                    <xdr:col>17</xdr:col>
                    <xdr:colOff>9053</xdr:colOff>
                    <xdr:row>2</xdr:row>
                    <xdr:rowOff>9053</xdr:rowOff>
                  </from>
                  <to>
                    <xdr:col>18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262" name="Button 343">
              <controlPr defaultSize="0" print="0" autoFill="0" autoPict="0" macro="[0]!Xui_One2_5" altText="">
                <anchor moveWithCells="1" sizeWithCells="1">
                  <from>
                    <xdr:col>6</xdr:col>
                    <xdr:colOff>9053</xdr:colOff>
                    <xdr:row>3</xdr:row>
                    <xdr:rowOff>9053</xdr:rowOff>
                  </from>
                  <to>
                    <xdr:col>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263" name="Button 344">
              <controlPr defaultSize="0" print="0" autoFill="0" autoPict="0" macro="[0]!Xui_One2_6" altText="">
                <anchor moveWithCells="1" sizeWithCells="1">
                  <from>
                    <xdr:col>7</xdr:col>
                    <xdr:colOff>9053</xdr:colOff>
                    <xdr:row>3</xdr:row>
                    <xdr:rowOff>9053</xdr:rowOff>
                  </from>
                  <to>
                    <xdr:col>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264" name="Button 345">
              <controlPr defaultSize="0" print="0" autoFill="0" autoPict="0" macro="[0]!Xui_One2_7" altText="">
                <anchor moveWithCells="1" sizeWithCells="1">
                  <from>
                    <xdr:col>8</xdr:col>
                    <xdr:colOff>9053</xdr:colOff>
                    <xdr:row>3</xdr:row>
                    <xdr:rowOff>9053</xdr:rowOff>
                  </from>
                  <to>
                    <xdr:col>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265" name="Button 346">
              <controlPr defaultSize="0" print="0" autoFill="0" autoPict="0" macro="[0]!Xui_One3_5" altText="">
                <anchor moveWithCells="1" sizeWithCells="1">
                  <from>
                    <xdr:col>6</xdr:col>
                    <xdr:colOff>9053</xdr:colOff>
                    <xdr:row>4</xdr:row>
                    <xdr:rowOff>9053</xdr:rowOff>
                  </from>
                  <to>
                    <xdr:col>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266" name="Button 347">
              <controlPr defaultSize="0" print="0" autoFill="0" autoPict="0" macro="[0]!Xui_One3_6" altText="">
                <anchor moveWithCells="1" sizeWithCells="1">
                  <from>
                    <xdr:col>7</xdr:col>
                    <xdr:colOff>9053</xdr:colOff>
                    <xdr:row>4</xdr:row>
                    <xdr:rowOff>9053</xdr:rowOff>
                  </from>
                  <to>
                    <xdr:col>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267" name="Button 348">
              <controlPr defaultSize="0" print="0" autoFill="0" autoPict="0" macro="[0]!Xui_One3_7" altText="">
                <anchor moveWithCells="1" sizeWithCells="1">
                  <from>
                    <xdr:col>8</xdr:col>
                    <xdr:colOff>9053</xdr:colOff>
                    <xdr:row>4</xdr:row>
                    <xdr:rowOff>9053</xdr:rowOff>
                  </from>
                  <to>
                    <xdr:col>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268" name="Button 349">
              <controlPr defaultSize="0" print="0" autoFill="0" autoPict="0" macro="[0]!Xui_One4_5" altText="">
                <anchor moveWithCells="1" sizeWithCells="1">
                  <from>
                    <xdr:col>6</xdr:col>
                    <xdr:colOff>9053</xdr:colOff>
                    <xdr:row>5</xdr:row>
                    <xdr:rowOff>9053</xdr:rowOff>
                  </from>
                  <to>
                    <xdr:col>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269" name="Button 350">
              <controlPr defaultSize="0" print="0" autoFill="0" autoPict="0" macro="[0]!Xui_One4_6" altText="">
                <anchor moveWithCells="1" sizeWithCells="1">
                  <from>
                    <xdr:col>7</xdr:col>
                    <xdr:colOff>9053</xdr:colOff>
                    <xdr:row>5</xdr:row>
                    <xdr:rowOff>9053</xdr:rowOff>
                  </from>
                  <to>
                    <xdr:col>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270" name="Button 351">
              <controlPr defaultSize="0" print="0" autoFill="0" autoPict="0" macro="[0]!Xui_One4_7" altText="">
                <anchor moveWithCells="1" sizeWithCells="1">
                  <from>
                    <xdr:col>8</xdr:col>
                    <xdr:colOff>9053</xdr:colOff>
                    <xdr:row>5</xdr:row>
                    <xdr:rowOff>9053</xdr:rowOff>
                  </from>
                  <to>
                    <xdr:col>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271" name="Button 352">
              <controlPr defaultSize="0" print="0" autoFill="0" autoPict="0" macro="[0]!Xui_One5_5" altText="">
                <anchor moveWithCells="1" sizeWithCells="1">
                  <from>
                    <xdr:col>6</xdr:col>
                    <xdr:colOff>9053</xdr:colOff>
                    <xdr:row>6</xdr:row>
                    <xdr:rowOff>9053</xdr:rowOff>
                  </from>
                  <to>
                    <xdr:col>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272" name="Button 353">
              <controlPr defaultSize="0" print="0" autoFill="0" autoPict="0" macro="[0]!Xui_One5_6" altText="">
                <anchor moveWithCells="1" sizeWithCells="1">
                  <from>
                    <xdr:col>7</xdr:col>
                    <xdr:colOff>9053</xdr:colOff>
                    <xdr:row>6</xdr:row>
                    <xdr:rowOff>9053</xdr:rowOff>
                  </from>
                  <to>
                    <xdr:col>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273" name="Button 354">
              <controlPr defaultSize="0" print="0" autoFill="0" autoPict="0" macro="[0]!Xui_One5_7" altText="">
                <anchor moveWithCells="1" sizeWithCells="1">
                  <from>
                    <xdr:col>8</xdr:col>
                    <xdr:colOff>9053</xdr:colOff>
                    <xdr:row>6</xdr:row>
                    <xdr:rowOff>9053</xdr:rowOff>
                  </from>
                  <to>
                    <xdr:col>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274" name="Button 355">
              <controlPr defaultSize="0" print="0" autoFill="0" autoPict="0" macro="[0]!Xui_One6_5" altText="">
                <anchor moveWithCells="1" sizeWithCells="1">
                  <from>
                    <xdr:col>6</xdr:col>
                    <xdr:colOff>9053</xdr:colOff>
                    <xdr:row>7</xdr:row>
                    <xdr:rowOff>9053</xdr:rowOff>
                  </from>
                  <to>
                    <xdr:col>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275" name="Button 356">
              <controlPr defaultSize="0" print="0" autoFill="0" autoPict="0" macro="[0]!Xui_One6_6" altText="">
                <anchor moveWithCells="1" sizeWithCells="1">
                  <from>
                    <xdr:col>7</xdr:col>
                    <xdr:colOff>9053</xdr:colOff>
                    <xdr:row>7</xdr:row>
                    <xdr:rowOff>9053</xdr:rowOff>
                  </from>
                  <to>
                    <xdr:col>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276" name="Button 357">
              <controlPr defaultSize="0" print="0" autoFill="0" autoPict="0" macro="[0]!Xui_One6_7" altText="">
                <anchor moveWithCells="1" sizeWithCells="1">
                  <from>
                    <xdr:col>8</xdr:col>
                    <xdr:colOff>9053</xdr:colOff>
                    <xdr:row>7</xdr:row>
                    <xdr:rowOff>9053</xdr:rowOff>
                  </from>
                  <to>
                    <xdr:col>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277" name="Button 358">
              <controlPr defaultSize="0" print="0" autoFill="0" autoPict="0" macro="[0]!Xui_One7_5" altText="">
                <anchor moveWithCells="1" sizeWithCells="1">
                  <from>
                    <xdr:col>6</xdr:col>
                    <xdr:colOff>9053</xdr:colOff>
                    <xdr:row>8</xdr:row>
                    <xdr:rowOff>9053</xdr:rowOff>
                  </from>
                  <to>
                    <xdr:col>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278" name="Button 359">
              <controlPr defaultSize="0" print="0" autoFill="0" autoPict="0" macro="[0]!Xui_One7_6" altText="">
                <anchor moveWithCells="1" sizeWithCells="1">
                  <from>
                    <xdr:col>7</xdr:col>
                    <xdr:colOff>9053</xdr:colOff>
                    <xdr:row>8</xdr:row>
                    <xdr:rowOff>9053</xdr:rowOff>
                  </from>
                  <to>
                    <xdr:col>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279" name="Button 360">
              <controlPr defaultSize="0" print="0" autoFill="0" autoPict="0" macro="[0]!Xui_One7_7" altText="">
                <anchor moveWithCells="1" sizeWithCells="1">
                  <from>
                    <xdr:col>8</xdr:col>
                    <xdr:colOff>9053</xdr:colOff>
                    <xdr:row>8</xdr:row>
                    <xdr:rowOff>9053</xdr:rowOff>
                  </from>
                  <to>
                    <xdr:col>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280" name="Button 361">
              <controlPr defaultSize="0" print="0" autoFill="0" autoPict="0" macro="[0]!Xui_Two8_5" altText="">
                <anchor moveWithCells="1" sizeWithCells="1">
                  <from>
                    <xdr:col>6</xdr:col>
                    <xdr:colOff>9053</xdr:colOff>
                    <xdr:row>9</xdr:row>
                    <xdr:rowOff>9053</xdr:rowOff>
                  </from>
                  <to>
                    <xdr:col>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281" name="Button 362">
              <controlPr defaultSize="0" print="0" autoFill="0" autoPict="0" macro="[0]!Xui_Two8_6" altText="">
                <anchor moveWithCells="1" sizeWithCells="1">
                  <from>
                    <xdr:col>7</xdr:col>
                    <xdr:colOff>9053</xdr:colOff>
                    <xdr:row>9</xdr:row>
                    <xdr:rowOff>9053</xdr:rowOff>
                  </from>
                  <to>
                    <xdr:col>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282" name="Button 363">
              <controlPr defaultSize="0" print="0" autoFill="0" autoPict="0" macro="[0]!Xui_Two8_7" altText="">
                <anchor moveWithCells="1" sizeWithCells="1">
                  <from>
                    <xdr:col>8</xdr:col>
                    <xdr:colOff>9053</xdr:colOff>
                    <xdr:row>9</xdr:row>
                    <xdr:rowOff>9053</xdr:rowOff>
                  </from>
                  <to>
                    <xdr:col>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283" name="Button 364">
              <controlPr defaultSize="0" print="0" autoFill="0" autoPict="0" macro="[0]!Xui_Two9_5" altText="">
                <anchor moveWithCells="1" sizeWithCells="1">
                  <from>
                    <xdr:col>6</xdr:col>
                    <xdr:colOff>9053</xdr:colOff>
                    <xdr:row>10</xdr:row>
                    <xdr:rowOff>9053</xdr:rowOff>
                  </from>
                  <to>
                    <xdr:col>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284" name="Button 365">
              <controlPr defaultSize="0" print="0" autoFill="0" autoPict="0" macro="[0]!Xui_Two9_6" altText="">
                <anchor moveWithCells="1" sizeWithCells="1">
                  <from>
                    <xdr:col>7</xdr:col>
                    <xdr:colOff>9053</xdr:colOff>
                    <xdr:row>10</xdr:row>
                    <xdr:rowOff>9053</xdr:rowOff>
                  </from>
                  <to>
                    <xdr:col>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285" name="Button 366">
              <controlPr defaultSize="0" print="0" autoFill="0" autoPict="0" macro="[0]!Xui_Two9_7" altText="">
                <anchor moveWithCells="1" sizeWithCells="1">
                  <from>
                    <xdr:col>8</xdr:col>
                    <xdr:colOff>9053</xdr:colOff>
                    <xdr:row>10</xdr:row>
                    <xdr:rowOff>9053</xdr:rowOff>
                  </from>
                  <to>
                    <xdr:col>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286" name="Button 367">
              <controlPr defaultSize="0" print="0" autoFill="0" autoPict="0" macro="[0]!Xui_Two10_5" altText="">
                <anchor moveWithCells="1" sizeWithCells="1">
                  <from>
                    <xdr:col>6</xdr:col>
                    <xdr:colOff>9053</xdr:colOff>
                    <xdr:row>11</xdr:row>
                    <xdr:rowOff>9053</xdr:rowOff>
                  </from>
                  <to>
                    <xdr:col>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287" name="Button 368">
              <controlPr defaultSize="0" print="0" autoFill="0" autoPict="0" macro="[0]!Xui_Two10_6" altText="">
                <anchor moveWithCells="1" sizeWithCells="1">
                  <from>
                    <xdr:col>7</xdr:col>
                    <xdr:colOff>9053</xdr:colOff>
                    <xdr:row>11</xdr:row>
                    <xdr:rowOff>9053</xdr:rowOff>
                  </from>
                  <to>
                    <xdr:col>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288" name="Button 369">
              <controlPr defaultSize="0" print="0" autoFill="0" autoPict="0" macro="[0]!Xui_Two10_7" altText="">
                <anchor moveWithCells="1" sizeWithCells="1">
                  <from>
                    <xdr:col>8</xdr:col>
                    <xdr:colOff>9053</xdr:colOff>
                    <xdr:row>11</xdr:row>
                    <xdr:rowOff>9053</xdr:rowOff>
                  </from>
                  <to>
                    <xdr:col>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289" name="Button 370">
              <controlPr defaultSize="0" print="0" autoFill="0" autoPict="0" macro="[0]!Xui_Two11_5" altText="">
                <anchor moveWithCells="1" sizeWithCells="1">
                  <from>
                    <xdr:col>6</xdr:col>
                    <xdr:colOff>9053</xdr:colOff>
                    <xdr:row>12</xdr:row>
                    <xdr:rowOff>9053</xdr:rowOff>
                  </from>
                  <to>
                    <xdr:col>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290" name="Button 371">
              <controlPr defaultSize="0" print="0" autoFill="0" autoPict="0" macro="[0]!Xui_Two11_6" altText="">
                <anchor moveWithCells="1" sizeWithCells="1">
                  <from>
                    <xdr:col>7</xdr:col>
                    <xdr:colOff>9053</xdr:colOff>
                    <xdr:row>12</xdr:row>
                    <xdr:rowOff>9053</xdr:rowOff>
                  </from>
                  <to>
                    <xdr:col>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291" name="Button 372">
              <controlPr defaultSize="0" print="0" autoFill="0" autoPict="0" macro="[0]!Xui_Two11_7" altText="">
                <anchor moveWithCells="1" sizeWithCells="1">
                  <from>
                    <xdr:col>8</xdr:col>
                    <xdr:colOff>9053</xdr:colOff>
                    <xdr:row>12</xdr:row>
                    <xdr:rowOff>9053</xdr:rowOff>
                  </from>
                  <to>
                    <xdr:col>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292" name="Button 373">
              <controlPr defaultSize="0" print="0" autoFill="0" autoPict="0" macro="[0]!Xui_Two12_5" altText="">
                <anchor moveWithCells="1" sizeWithCells="1">
                  <from>
                    <xdr:col>6</xdr:col>
                    <xdr:colOff>9053</xdr:colOff>
                    <xdr:row>13</xdr:row>
                    <xdr:rowOff>9053</xdr:rowOff>
                  </from>
                  <to>
                    <xdr:col>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293" name="Button 374">
              <controlPr defaultSize="0" print="0" autoFill="0" autoPict="0" macro="[0]!Xui_Two12_6" altText="">
                <anchor moveWithCells="1" sizeWithCells="1">
                  <from>
                    <xdr:col>7</xdr:col>
                    <xdr:colOff>9053</xdr:colOff>
                    <xdr:row>13</xdr:row>
                    <xdr:rowOff>9053</xdr:rowOff>
                  </from>
                  <to>
                    <xdr:col>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294" name="Button 375">
              <controlPr defaultSize="0" print="0" autoFill="0" autoPict="0" macro="[0]!Xui_Two12_7" altText="">
                <anchor moveWithCells="1" sizeWithCells="1">
                  <from>
                    <xdr:col>8</xdr:col>
                    <xdr:colOff>9053</xdr:colOff>
                    <xdr:row>13</xdr:row>
                    <xdr:rowOff>9053</xdr:rowOff>
                  </from>
                  <to>
                    <xdr:col>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295" name="Button 376">
              <controlPr defaultSize="0" print="0" autoFill="0" autoPict="0" macro="[0]!Xui_Two13_5" altText="">
                <anchor moveWithCells="1" sizeWithCells="1">
                  <from>
                    <xdr:col>6</xdr:col>
                    <xdr:colOff>9053</xdr:colOff>
                    <xdr:row>14</xdr:row>
                    <xdr:rowOff>9053</xdr:rowOff>
                  </from>
                  <to>
                    <xdr:col>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296" name="Button 377">
              <controlPr defaultSize="0" print="0" autoFill="0" autoPict="0" macro="[0]!Xui_Two13_6" altText="">
                <anchor moveWithCells="1" sizeWithCells="1">
                  <from>
                    <xdr:col>7</xdr:col>
                    <xdr:colOff>9053</xdr:colOff>
                    <xdr:row>14</xdr:row>
                    <xdr:rowOff>9053</xdr:rowOff>
                  </from>
                  <to>
                    <xdr:col>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297" name="Button 378">
              <controlPr defaultSize="0" print="0" autoFill="0" autoPict="0" macro="[0]!Xui_Two13_7" altText="">
                <anchor moveWithCells="1" sizeWithCells="1">
                  <from>
                    <xdr:col>8</xdr:col>
                    <xdr:colOff>9053</xdr:colOff>
                    <xdr:row>14</xdr:row>
                    <xdr:rowOff>9053</xdr:rowOff>
                  </from>
                  <to>
                    <xdr:col>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298" name="Button 379">
              <controlPr defaultSize="0" print="0" autoFill="0" autoPict="0" macro="[0]!Xui_Two14_5" altText="">
                <anchor moveWithCells="1" sizeWithCells="1">
                  <from>
                    <xdr:col>6</xdr:col>
                    <xdr:colOff>9053</xdr:colOff>
                    <xdr:row>15</xdr:row>
                    <xdr:rowOff>9053</xdr:rowOff>
                  </from>
                  <to>
                    <xdr:col>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299" name="Button 380">
              <controlPr defaultSize="0" print="0" autoFill="0" autoPict="0" macro="[0]!Xui_Two14_6" altText="">
                <anchor moveWithCells="1" sizeWithCells="1">
                  <from>
                    <xdr:col>7</xdr:col>
                    <xdr:colOff>9053</xdr:colOff>
                    <xdr:row>15</xdr:row>
                    <xdr:rowOff>9053</xdr:rowOff>
                  </from>
                  <to>
                    <xdr:col>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00" name="Button 381">
              <controlPr defaultSize="0" print="0" autoFill="0" autoPict="0" macro="[0]!Xui_Two14_7" altText="">
                <anchor moveWithCells="1" sizeWithCells="1">
                  <from>
                    <xdr:col>8</xdr:col>
                    <xdr:colOff>9053</xdr:colOff>
                    <xdr:row>15</xdr:row>
                    <xdr:rowOff>9053</xdr:rowOff>
                  </from>
                  <to>
                    <xdr:col>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01" name="Button 382">
              <controlPr defaultSize="0" print="0" autoFill="0" autoPict="0" macro="[0]!Xui_Three15_5" altText="">
                <anchor moveWithCells="1" sizeWithCells="1">
                  <from>
                    <xdr:col>6</xdr:col>
                    <xdr:colOff>9053</xdr:colOff>
                    <xdr:row>16</xdr:row>
                    <xdr:rowOff>9053</xdr:rowOff>
                  </from>
                  <to>
                    <xdr:col>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02" name="Button 383">
              <controlPr defaultSize="0" print="0" autoFill="0" autoPict="0" macro="[0]!Xui_Three15_6" altText="">
                <anchor moveWithCells="1" sizeWithCells="1">
                  <from>
                    <xdr:col>7</xdr:col>
                    <xdr:colOff>9053</xdr:colOff>
                    <xdr:row>16</xdr:row>
                    <xdr:rowOff>9053</xdr:rowOff>
                  </from>
                  <to>
                    <xdr:col>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03" name="Button 384">
              <controlPr defaultSize="0" print="0" autoFill="0" autoPict="0" macro="[0]!Xui_Three15_7" altText="">
                <anchor moveWithCells="1" sizeWithCells="1">
                  <from>
                    <xdr:col>8</xdr:col>
                    <xdr:colOff>9053</xdr:colOff>
                    <xdr:row>16</xdr:row>
                    <xdr:rowOff>9053</xdr:rowOff>
                  </from>
                  <to>
                    <xdr:col>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04" name="Button 385">
              <controlPr defaultSize="0" print="0" autoFill="0" autoPict="0" macro="[0]!Xui_Three16_5" altText="">
                <anchor moveWithCells="1" sizeWithCells="1">
                  <from>
                    <xdr:col>6</xdr:col>
                    <xdr:colOff>9053</xdr:colOff>
                    <xdr:row>17</xdr:row>
                    <xdr:rowOff>9053</xdr:rowOff>
                  </from>
                  <to>
                    <xdr:col>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05" name="Button 386">
              <controlPr defaultSize="0" print="0" autoFill="0" autoPict="0" macro="[0]!Xui_Three16_6" altText="">
                <anchor moveWithCells="1" sizeWithCells="1">
                  <from>
                    <xdr:col>7</xdr:col>
                    <xdr:colOff>9053</xdr:colOff>
                    <xdr:row>17</xdr:row>
                    <xdr:rowOff>9053</xdr:rowOff>
                  </from>
                  <to>
                    <xdr:col>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06" name="Button 387">
              <controlPr defaultSize="0" print="0" autoFill="0" autoPict="0" macro="[0]!Xui_Three16_7" altText="">
                <anchor moveWithCells="1" sizeWithCells="1">
                  <from>
                    <xdr:col>8</xdr:col>
                    <xdr:colOff>9053</xdr:colOff>
                    <xdr:row>17</xdr:row>
                    <xdr:rowOff>9053</xdr:rowOff>
                  </from>
                  <to>
                    <xdr:col>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07" name="Button 388">
              <controlPr defaultSize="0" print="0" autoFill="0" autoPict="0" macro="[0]!Xui_Three17_5" altText="">
                <anchor moveWithCells="1" sizeWithCells="1">
                  <from>
                    <xdr:col>6</xdr:col>
                    <xdr:colOff>9053</xdr:colOff>
                    <xdr:row>18</xdr:row>
                    <xdr:rowOff>9053</xdr:rowOff>
                  </from>
                  <to>
                    <xdr:col>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08" name="Button 389">
              <controlPr defaultSize="0" print="0" autoFill="0" autoPict="0" macro="[0]!Xui_Three17_6" altText="">
                <anchor moveWithCells="1" sizeWithCells="1">
                  <from>
                    <xdr:col>7</xdr:col>
                    <xdr:colOff>9053</xdr:colOff>
                    <xdr:row>18</xdr:row>
                    <xdr:rowOff>9053</xdr:rowOff>
                  </from>
                  <to>
                    <xdr:col>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09" name="Button 390">
              <controlPr defaultSize="0" print="0" autoFill="0" autoPict="0" macro="[0]!Xui_Three17_7" altText="">
                <anchor moveWithCells="1" sizeWithCells="1">
                  <from>
                    <xdr:col>8</xdr:col>
                    <xdr:colOff>9053</xdr:colOff>
                    <xdr:row>18</xdr:row>
                    <xdr:rowOff>9053</xdr:rowOff>
                  </from>
                  <to>
                    <xdr:col>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10" name="Button 391">
              <controlPr defaultSize="0" print="0" autoFill="0" autoPict="0" macro="[0]!Xui_Three18_5" altText="">
                <anchor moveWithCells="1" sizeWithCells="1">
                  <from>
                    <xdr:col>6</xdr:col>
                    <xdr:colOff>9053</xdr:colOff>
                    <xdr:row>19</xdr:row>
                    <xdr:rowOff>9053</xdr:rowOff>
                  </from>
                  <to>
                    <xdr:col>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11" name="Button 392">
              <controlPr defaultSize="0" print="0" autoFill="0" autoPict="0" macro="[0]!Xui_Three18_6" altText="">
                <anchor moveWithCells="1" sizeWithCells="1">
                  <from>
                    <xdr:col>7</xdr:col>
                    <xdr:colOff>9053</xdr:colOff>
                    <xdr:row>19</xdr:row>
                    <xdr:rowOff>9053</xdr:rowOff>
                  </from>
                  <to>
                    <xdr:col>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12" name="Button 393">
              <controlPr defaultSize="0" print="0" autoFill="0" autoPict="0" macro="[0]!Xui_Three18_7" altText="">
                <anchor moveWithCells="1" sizeWithCells="1">
                  <from>
                    <xdr:col>8</xdr:col>
                    <xdr:colOff>9053</xdr:colOff>
                    <xdr:row>19</xdr:row>
                    <xdr:rowOff>9053</xdr:rowOff>
                  </from>
                  <to>
                    <xdr:col>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13" name="Button 394">
              <controlPr defaultSize="0" print="0" autoFill="0" autoPict="0" macro="[0]!Xui_Three19_5" altText="">
                <anchor moveWithCells="1" sizeWithCells="1">
                  <from>
                    <xdr:col>6</xdr:col>
                    <xdr:colOff>9053</xdr:colOff>
                    <xdr:row>20</xdr:row>
                    <xdr:rowOff>9053</xdr:rowOff>
                  </from>
                  <to>
                    <xdr:col>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14" name="Button 395">
              <controlPr defaultSize="0" print="0" autoFill="0" autoPict="0" macro="[0]!Xui_Three19_6" altText="">
                <anchor moveWithCells="1" sizeWithCells="1">
                  <from>
                    <xdr:col>7</xdr:col>
                    <xdr:colOff>9053</xdr:colOff>
                    <xdr:row>20</xdr:row>
                    <xdr:rowOff>9053</xdr:rowOff>
                  </from>
                  <to>
                    <xdr:col>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15" name="Button 396">
              <controlPr defaultSize="0" print="0" autoFill="0" autoPict="0" macro="[0]!Xui_Three19_7" altText="">
                <anchor moveWithCells="1" sizeWithCells="1">
                  <from>
                    <xdr:col>8</xdr:col>
                    <xdr:colOff>9053</xdr:colOff>
                    <xdr:row>20</xdr:row>
                    <xdr:rowOff>9053</xdr:rowOff>
                  </from>
                  <to>
                    <xdr:col>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16" name="Button 397">
              <controlPr defaultSize="0" print="0" autoFill="0" autoPict="0" macro="[0]!Xui_Three20_5" altText="">
                <anchor moveWithCells="1" sizeWithCells="1">
                  <from>
                    <xdr:col>6</xdr:col>
                    <xdr:colOff>9053</xdr:colOff>
                    <xdr:row>21</xdr:row>
                    <xdr:rowOff>9053</xdr:rowOff>
                  </from>
                  <to>
                    <xdr:col>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17" name="Button 398">
              <controlPr defaultSize="0" print="0" autoFill="0" autoPict="0" macro="[0]!Xui_Three20_6" altText="">
                <anchor moveWithCells="1" sizeWithCells="1">
                  <from>
                    <xdr:col>7</xdr:col>
                    <xdr:colOff>9053</xdr:colOff>
                    <xdr:row>21</xdr:row>
                    <xdr:rowOff>9053</xdr:rowOff>
                  </from>
                  <to>
                    <xdr:col>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318" name="Button 399">
              <controlPr defaultSize="0" print="0" autoFill="0" autoPict="0" macro="[0]!Xui_Three20_7" altText="">
                <anchor moveWithCells="1" sizeWithCells="1">
                  <from>
                    <xdr:col>8</xdr:col>
                    <xdr:colOff>9053</xdr:colOff>
                    <xdr:row>21</xdr:row>
                    <xdr:rowOff>9053</xdr:rowOff>
                  </from>
                  <to>
                    <xdr:col>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319" name="Button 400">
              <controlPr defaultSize="0" print="0" autoFill="0" autoPict="0" macro="[0]!Xui_Three21_5" altText="">
                <anchor moveWithCells="1" sizeWithCells="1">
                  <from>
                    <xdr:col>6</xdr:col>
                    <xdr:colOff>9053</xdr:colOff>
                    <xdr:row>22</xdr:row>
                    <xdr:rowOff>9053</xdr:rowOff>
                  </from>
                  <to>
                    <xdr:col>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320" name="Button 401">
              <controlPr defaultSize="0" print="0" autoFill="0" autoPict="0" macro="[0]!Xui_Three21_6" altText="">
                <anchor moveWithCells="1" sizeWithCells="1">
                  <from>
                    <xdr:col>7</xdr:col>
                    <xdr:colOff>9053</xdr:colOff>
                    <xdr:row>22</xdr:row>
                    <xdr:rowOff>9053</xdr:rowOff>
                  </from>
                  <to>
                    <xdr:col>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321" name="Button 402">
              <controlPr defaultSize="0" print="0" autoFill="0" autoPict="0" macro="[0]!Xui_Three21_7" altText="">
                <anchor moveWithCells="1" sizeWithCells="1">
                  <from>
                    <xdr:col>8</xdr:col>
                    <xdr:colOff>9053</xdr:colOff>
                    <xdr:row>22</xdr:row>
                    <xdr:rowOff>9053</xdr:rowOff>
                  </from>
                  <to>
                    <xdr:col>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322" name="Button 403">
              <controlPr defaultSize="0" print="0" autoFill="0" autoPict="0" macro="[0]!Xui_Four22_5" altText="">
                <anchor moveWithCells="1" sizeWithCells="1">
                  <from>
                    <xdr:col>6</xdr:col>
                    <xdr:colOff>9053</xdr:colOff>
                    <xdr:row>23</xdr:row>
                    <xdr:rowOff>9053</xdr:rowOff>
                  </from>
                  <to>
                    <xdr:col>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323" name="Button 404">
              <controlPr defaultSize="0" print="0" autoFill="0" autoPict="0" macro="[0]!Xui_Four22_6" altText="">
                <anchor moveWithCells="1" sizeWithCells="1">
                  <from>
                    <xdr:col>7</xdr:col>
                    <xdr:colOff>9053</xdr:colOff>
                    <xdr:row>23</xdr:row>
                    <xdr:rowOff>9053</xdr:rowOff>
                  </from>
                  <to>
                    <xdr:col>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324" name="Button 405">
              <controlPr defaultSize="0" print="0" autoFill="0" autoPict="0" macro="[0]!Xui_Four22_7" altText="">
                <anchor moveWithCells="1" sizeWithCells="1">
                  <from>
                    <xdr:col>8</xdr:col>
                    <xdr:colOff>9053</xdr:colOff>
                    <xdr:row>23</xdr:row>
                    <xdr:rowOff>9053</xdr:rowOff>
                  </from>
                  <to>
                    <xdr:col>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325" name="Button 406">
              <controlPr defaultSize="0" print="0" autoFill="0" autoPict="0" macro="[0]!Xui_Four23_5" altText="">
                <anchor moveWithCells="1" sizeWithCells="1">
                  <from>
                    <xdr:col>6</xdr:col>
                    <xdr:colOff>9053</xdr:colOff>
                    <xdr:row>24</xdr:row>
                    <xdr:rowOff>9053</xdr:rowOff>
                  </from>
                  <to>
                    <xdr:col>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326" name="Button 407">
              <controlPr defaultSize="0" print="0" autoFill="0" autoPict="0" macro="[0]!Xui_Four23_6" altText="">
                <anchor moveWithCells="1" sizeWithCells="1">
                  <from>
                    <xdr:col>7</xdr:col>
                    <xdr:colOff>9053</xdr:colOff>
                    <xdr:row>24</xdr:row>
                    <xdr:rowOff>9053</xdr:rowOff>
                  </from>
                  <to>
                    <xdr:col>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327" name="Button 408">
              <controlPr defaultSize="0" print="0" autoFill="0" autoPict="0" macro="[0]!Xui_Four23_7" altText="">
                <anchor moveWithCells="1" sizeWithCells="1">
                  <from>
                    <xdr:col>8</xdr:col>
                    <xdr:colOff>9053</xdr:colOff>
                    <xdr:row>24</xdr:row>
                    <xdr:rowOff>9053</xdr:rowOff>
                  </from>
                  <to>
                    <xdr:col>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328" name="Button 409">
              <controlPr defaultSize="0" print="0" autoFill="0" autoPict="0" macro="[0]!Xui_Four24_5" altText="">
                <anchor moveWithCells="1" sizeWithCells="1">
                  <from>
                    <xdr:col>6</xdr:col>
                    <xdr:colOff>9053</xdr:colOff>
                    <xdr:row>25</xdr:row>
                    <xdr:rowOff>9053</xdr:rowOff>
                  </from>
                  <to>
                    <xdr:col>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329" name="Button 410">
              <controlPr defaultSize="0" print="0" autoFill="0" autoPict="0" macro="[0]!Xui_Four24_6" altText="">
                <anchor moveWithCells="1" sizeWithCells="1">
                  <from>
                    <xdr:col>7</xdr:col>
                    <xdr:colOff>9053</xdr:colOff>
                    <xdr:row>25</xdr:row>
                    <xdr:rowOff>9053</xdr:rowOff>
                  </from>
                  <to>
                    <xdr:col>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330" name="Button 411">
              <controlPr defaultSize="0" print="0" autoFill="0" autoPict="0" macro="[0]!Xui_Four24_7" altText="">
                <anchor moveWithCells="1" sizeWithCells="1">
                  <from>
                    <xdr:col>8</xdr:col>
                    <xdr:colOff>9053</xdr:colOff>
                    <xdr:row>25</xdr:row>
                    <xdr:rowOff>9053</xdr:rowOff>
                  </from>
                  <to>
                    <xdr:col>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331" name="Button 412">
              <controlPr defaultSize="0" print="0" autoFill="0" autoPict="0" macro="[0]!Xui_Four25_5" altText="">
                <anchor moveWithCells="1" sizeWithCells="1">
                  <from>
                    <xdr:col>6</xdr:col>
                    <xdr:colOff>9053</xdr:colOff>
                    <xdr:row>26</xdr:row>
                    <xdr:rowOff>9053</xdr:rowOff>
                  </from>
                  <to>
                    <xdr:col>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332" name="Button 413">
              <controlPr defaultSize="0" print="0" autoFill="0" autoPict="0" macro="[0]!Xui_Four25_6" altText="">
                <anchor moveWithCells="1" sizeWithCells="1">
                  <from>
                    <xdr:col>7</xdr:col>
                    <xdr:colOff>9053</xdr:colOff>
                    <xdr:row>26</xdr:row>
                    <xdr:rowOff>9053</xdr:rowOff>
                  </from>
                  <to>
                    <xdr:col>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333" name="Button 414">
              <controlPr defaultSize="0" print="0" autoFill="0" autoPict="0" macro="[0]!Xui_Four25_7" altText="">
                <anchor moveWithCells="1" sizeWithCells="1">
                  <from>
                    <xdr:col>8</xdr:col>
                    <xdr:colOff>9053</xdr:colOff>
                    <xdr:row>26</xdr:row>
                    <xdr:rowOff>9053</xdr:rowOff>
                  </from>
                  <to>
                    <xdr:col>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334" name="Button 415">
              <controlPr defaultSize="0" print="0" autoFill="0" autoPict="0" macro="[0]!Xui_Four26_5" altText="">
                <anchor moveWithCells="1" sizeWithCells="1">
                  <from>
                    <xdr:col>6</xdr:col>
                    <xdr:colOff>9053</xdr:colOff>
                    <xdr:row>27</xdr:row>
                    <xdr:rowOff>9053</xdr:rowOff>
                  </from>
                  <to>
                    <xdr:col>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335" name="Button 416">
              <controlPr defaultSize="0" print="0" autoFill="0" autoPict="0" macro="[0]!Xui_Four26_6" altText="">
                <anchor moveWithCells="1" sizeWithCells="1">
                  <from>
                    <xdr:col>7</xdr:col>
                    <xdr:colOff>9053</xdr:colOff>
                    <xdr:row>27</xdr:row>
                    <xdr:rowOff>9053</xdr:rowOff>
                  </from>
                  <to>
                    <xdr:col>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336" name="Button 417">
              <controlPr defaultSize="0" print="0" autoFill="0" autoPict="0" macro="[0]!Xui_Four26_7" altText="">
                <anchor moveWithCells="1" sizeWithCells="1">
                  <from>
                    <xdr:col>8</xdr:col>
                    <xdr:colOff>9053</xdr:colOff>
                    <xdr:row>27</xdr:row>
                    <xdr:rowOff>9053</xdr:rowOff>
                  </from>
                  <to>
                    <xdr:col>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337" name="Button 418">
              <controlPr defaultSize="0" print="0" autoFill="0" autoPict="0" macro="[0]!Xui_Four27_5" altText="">
                <anchor moveWithCells="1" sizeWithCells="1">
                  <from>
                    <xdr:col>6</xdr:col>
                    <xdr:colOff>9053</xdr:colOff>
                    <xdr:row>28</xdr:row>
                    <xdr:rowOff>9053</xdr:rowOff>
                  </from>
                  <to>
                    <xdr:col>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338" name="Button 419">
              <controlPr defaultSize="0" print="0" autoFill="0" autoPict="0" macro="[0]!Xui_Four27_6" altText="">
                <anchor moveWithCells="1" sizeWithCells="1">
                  <from>
                    <xdr:col>7</xdr:col>
                    <xdr:colOff>9053</xdr:colOff>
                    <xdr:row>28</xdr:row>
                    <xdr:rowOff>9053</xdr:rowOff>
                  </from>
                  <to>
                    <xdr:col>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339" name="Button 420">
              <controlPr defaultSize="0" print="0" autoFill="0" autoPict="0" macro="[0]!Xui_Four27_7" altText="">
                <anchor moveWithCells="1" sizeWithCells="1">
                  <from>
                    <xdr:col>8</xdr:col>
                    <xdr:colOff>9053</xdr:colOff>
                    <xdr:row>28</xdr:row>
                    <xdr:rowOff>9053</xdr:rowOff>
                  </from>
                  <to>
                    <xdr:col>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340" name="Button 421">
              <controlPr defaultSize="0" print="0" autoFill="0" autoPict="0" macro="[0]!Xui_Four28_5" altText="">
                <anchor moveWithCells="1" sizeWithCells="1">
                  <from>
                    <xdr:col>6</xdr:col>
                    <xdr:colOff>9053</xdr:colOff>
                    <xdr:row>29</xdr:row>
                    <xdr:rowOff>9053</xdr:rowOff>
                  </from>
                  <to>
                    <xdr:col>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341" name="Button 422">
              <controlPr defaultSize="0" print="0" autoFill="0" autoPict="0" macro="[0]!Xui_Four28_6" altText="">
                <anchor moveWithCells="1" sizeWithCells="1">
                  <from>
                    <xdr:col>7</xdr:col>
                    <xdr:colOff>9053</xdr:colOff>
                    <xdr:row>29</xdr:row>
                    <xdr:rowOff>9053</xdr:rowOff>
                  </from>
                  <to>
                    <xdr:col>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342" name="Button 423">
              <controlPr defaultSize="0" print="0" autoFill="0" autoPict="0" macro="[0]!Xui_Four28_7" altText="">
                <anchor moveWithCells="1" sizeWithCells="1">
                  <from>
                    <xdr:col>8</xdr:col>
                    <xdr:colOff>9053</xdr:colOff>
                    <xdr:row>29</xdr:row>
                    <xdr:rowOff>9053</xdr:rowOff>
                  </from>
                  <to>
                    <xdr:col>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343" name="Button 424">
              <controlPr defaultSize="0" print="0" autoFill="0" autoPict="0" macro="[0]!Li_One2_5" altText="">
                <anchor moveWithCells="1" sizeWithCells="1">
                  <from>
                    <xdr:col>15</xdr:col>
                    <xdr:colOff>9053</xdr:colOff>
                    <xdr:row>3</xdr:row>
                    <xdr:rowOff>9053</xdr:rowOff>
                  </from>
                  <to>
                    <xdr:col>16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344" name="Button 425">
              <controlPr defaultSize="0" print="0" autoFill="0" autoPict="0" macro="[0]!Li_One2_6" altText="">
                <anchor moveWithCells="1" sizeWithCells="1">
                  <from>
                    <xdr:col>16</xdr:col>
                    <xdr:colOff>9053</xdr:colOff>
                    <xdr:row>3</xdr:row>
                    <xdr:rowOff>9053</xdr:rowOff>
                  </from>
                  <to>
                    <xdr:col>17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345" name="Button 426">
              <controlPr defaultSize="0" print="0" autoFill="0" autoPict="0" macro="[0]!Li_One2_7" altText="">
                <anchor moveWithCells="1" sizeWithCells="1">
                  <from>
                    <xdr:col>17</xdr:col>
                    <xdr:colOff>9053</xdr:colOff>
                    <xdr:row>3</xdr:row>
                    <xdr:rowOff>9053</xdr:rowOff>
                  </from>
                  <to>
                    <xdr:col>18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346" name="Button 427">
              <controlPr defaultSize="0" print="0" autoFill="0" autoPict="0" macro="[0]!Li_One3_5" altText="">
                <anchor moveWithCells="1" sizeWithCells="1">
                  <from>
                    <xdr:col>15</xdr:col>
                    <xdr:colOff>9053</xdr:colOff>
                    <xdr:row>4</xdr:row>
                    <xdr:rowOff>9053</xdr:rowOff>
                  </from>
                  <to>
                    <xdr:col>16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347" name="Button 428">
              <controlPr defaultSize="0" print="0" autoFill="0" autoPict="0" macro="[0]!Li_One3_6" altText="">
                <anchor moveWithCells="1" sizeWithCells="1">
                  <from>
                    <xdr:col>16</xdr:col>
                    <xdr:colOff>9053</xdr:colOff>
                    <xdr:row>4</xdr:row>
                    <xdr:rowOff>9053</xdr:rowOff>
                  </from>
                  <to>
                    <xdr:col>17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348" name="Button 429">
              <controlPr defaultSize="0" print="0" autoFill="0" autoPict="0" macro="[0]!Li_One3_7" altText="">
                <anchor moveWithCells="1" sizeWithCells="1">
                  <from>
                    <xdr:col>17</xdr:col>
                    <xdr:colOff>9053</xdr:colOff>
                    <xdr:row>4</xdr:row>
                    <xdr:rowOff>9053</xdr:rowOff>
                  </from>
                  <to>
                    <xdr:col>18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349" name="Button 430">
              <controlPr defaultSize="0" print="0" autoFill="0" autoPict="0" macro="[0]!Li_One4_5" altText="">
                <anchor moveWithCells="1" sizeWithCells="1">
                  <from>
                    <xdr:col>15</xdr:col>
                    <xdr:colOff>9053</xdr:colOff>
                    <xdr:row>5</xdr:row>
                    <xdr:rowOff>9053</xdr:rowOff>
                  </from>
                  <to>
                    <xdr:col>16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350" name="Button 431">
              <controlPr defaultSize="0" print="0" autoFill="0" autoPict="0" macro="[0]!Li_One4_6" altText="">
                <anchor moveWithCells="1" sizeWithCells="1">
                  <from>
                    <xdr:col>16</xdr:col>
                    <xdr:colOff>9053</xdr:colOff>
                    <xdr:row>5</xdr:row>
                    <xdr:rowOff>9053</xdr:rowOff>
                  </from>
                  <to>
                    <xdr:col>17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351" name="Button 432">
              <controlPr defaultSize="0" print="0" autoFill="0" autoPict="0" macro="[0]!Li_One4_7" altText="">
                <anchor moveWithCells="1" sizeWithCells="1">
                  <from>
                    <xdr:col>17</xdr:col>
                    <xdr:colOff>9053</xdr:colOff>
                    <xdr:row>5</xdr:row>
                    <xdr:rowOff>9053</xdr:rowOff>
                  </from>
                  <to>
                    <xdr:col>18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352" name="Button 433">
              <controlPr defaultSize="0" print="0" autoFill="0" autoPict="0" macro="[0]!Li_One5_5" altText="">
                <anchor moveWithCells="1" sizeWithCells="1">
                  <from>
                    <xdr:col>15</xdr:col>
                    <xdr:colOff>9053</xdr:colOff>
                    <xdr:row>6</xdr:row>
                    <xdr:rowOff>9053</xdr:rowOff>
                  </from>
                  <to>
                    <xdr:col>16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353" name="Button 434">
              <controlPr defaultSize="0" print="0" autoFill="0" autoPict="0" macro="[0]!Li_One5_6" altText="">
                <anchor moveWithCells="1" sizeWithCells="1">
                  <from>
                    <xdr:col>16</xdr:col>
                    <xdr:colOff>9053</xdr:colOff>
                    <xdr:row>6</xdr:row>
                    <xdr:rowOff>9053</xdr:rowOff>
                  </from>
                  <to>
                    <xdr:col>17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354" name="Button 435">
              <controlPr defaultSize="0" print="0" autoFill="0" autoPict="0" macro="[0]!Li_One5_7" altText="">
                <anchor moveWithCells="1" sizeWithCells="1">
                  <from>
                    <xdr:col>17</xdr:col>
                    <xdr:colOff>9053</xdr:colOff>
                    <xdr:row>6</xdr:row>
                    <xdr:rowOff>9053</xdr:rowOff>
                  </from>
                  <to>
                    <xdr:col>18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355" name="Button 436">
              <controlPr defaultSize="0" print="0" autoFill="0" autoPict="0" macro="[0]!Li_One6_5" altText="">
                <anchor moveWithCells="1" sizeWithCells="1">
                  <from>
                    <xdr:col>15</xdr:col>
                    <xdr:colOff>9053</xdr:colOff>
                    <xdr:row>7</xdr:row>
                    <xdr:rowOff>9053</xdr:rowOff>
                  </from>
                  <to>
                    <xdr:col>16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356" name="Button 437">
              <controlPr defaultSize="0" print="0" autoFill="0" autoPict="0" macro="[0]!Li_One6_6" altText="">
                <anchor moveWithCells="1" sizeWithCells="1">
                  <from>
                    <xdr:col>16</xdr:col>
                    <xdr:colOff>9053</xdr:colOff>
                    <xdr:row>7</xdr:row>
                    <xdr:rowOff>9053</xdr:rowOff>
                  </from>
                  <to>
                    <xdr:col>17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357" name="Button 438">
              <controlPr defaultSize="0" print="0" autoFill="0" autoPict="0" macro="[0]!Li_One6_7" altText="">
                <anchor moveWithCells="1" sizeWithCells="1">
                  <from>
                    <xdr:col>17</xdr:col>
                    <xdr:colOff>9053</xdr:colOff>
                    <xdr:row>7</xdr:row>
                    <xdr:rowOff>9053</xdr:rowOff>
                  </from>
                  <to>
                    <xdr:col>18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358" name="Button 439">
              <controlPr defaultSize="0" print="0" autoFill="0" autoPict="0" macro="[0]!Li_One7_5" altText="">
                <anchor moveWithCells="1" sizeWithCells="1">
                  <from>
                    <xdr:col>15</xdr:col>
                    <xdr:colOff>9053</xdr:colOff>
                    <xdr:row>8</xdr:row>
                    <xdr:rowOff>9053</xdr:rowOff>
                  </from>
                  <to>
                    <xdr:col>16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359" name="Button 440">
              <controlPr defaultSize="0" print="0" autoFill="0" autoPict="0" macro="[0]!Li_One7_6" altText="">
                <anchor moveWithCells="1" sizeWithCells="1">
                  <from>
                    <xdr:col>16</xdr:col>
                    <xdr:colOff>9053</xdr:colOff>
                    <xdr:row>8</xdr:row>
                    <xdr:rowOff>9053</xdr:rowOff>
                  </from>
                  <to>
                    <xdr:col>17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360" name="Button 441">
              <controlPr defaultSize="0" print="0" autoFill="0" autoPict="0" macro="[0]!Li_One7_7" altText="">
                <anchor moveWithCells="1" sizeWithCells="1">
                  <from>
                    <xdr:col>17</xdr:col>
                    <xdr:colOff>9053</xdr:colOff>
                    <xdr:row>8</xdr:row>
                    <xdr:rowOff>9053</xdr:rowOff>
                  </from>
                  <to>
                    <xdr:col>18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361" name="Button 442">
              <controlPr defaultSize="0" print="0" autoFill="0" autoPict="0" macro="[0]!Li_Two8_5" altText="">
                <anchor moveWithCells="1" sizeWithCells="1">
                  <from>
                    <xdr:col>15</xdr:col>
                    <xdr:colOff>9053</xdr:colOff>
                    <xdr:row>9</xdr:row>
                    <xdr:rowOff>9053</xdr:rowOff>
                  </from>
                  <to>
                    <xdr:col>16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362" name="Button 443">
              <controlPr defaultSize="0" print="0" autoFill="0" autoPict="0" macro="[0]!Li_Two8_6" altText="">
                <anchor moveWithCells="1" sizeWithCells="1">
                  <from>
                    <xdr:col>16</xdr:col>
                    <xdr:colOff>9053</xdr:colOff>
                    <xdr:row>9</xdr:row>
                    <xdr:rowOff>9053</xdr:rowOff>
                  </from>
                  <to>
                    <xdr:col>17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363" name="Button 444">
              <controlPr defaultSize="0" print="0" autoFill="0" autoPict="0" macro="[0]!Li_Two8_7" altText="">
                <anchor moveWithCells="1" sizeWithCells="1">
                  <from>
                    <xdr:col>17</xdr:col>
                    <xdr:colOff>9053</xdr:colOff>
                    <xdr:row>9</xdr:row>
                    <xdr:rowOff>9053</xdr:rowOff>
                  </from>
                  <to>
                    <xdr:col>18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364" name="Button 445">
              <controlPr defaultSize="0" print="0" autoFill="0" autoPict="0" macro="[0]!Li_Two9_5" altText="">
                <anchor moveWithCells="1" sizeWithCells="1">
                  <from>
                    <xdr:col>15</xdr:col>
                    <xdr:colOff>9053</xdr:colOff>
                    <xdr:row>10</xdr:row>
                    <xdr:rowOff>9053</xdr:rowOff>
                  </from>
                  <to>
                    <xdr:col>16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365" name="Button 446">
              <controlPr defaultSize="0" print="0" autoFill="0" autoPict="0" macro="[0]!Li_Two9_6" altText="">
                <anchor moveWithCells="1" sizeWithCells="1">
                  <from>
                    <xdr:col>16</xdr:col>
                    <xdr:colOff>9053</xdr:colOff>
                    <xdr:row>10</xdr:row>
                    <xdr:rowOff>9053</xdr:rowOff>
                  </from>
                  <to>
                    <xdr:col>17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366" name="Button 447">
              <controlPr defaultSize="0" print="0" autoFill="0" autoPict="0" macro="[0]!Li_Two9_7" altText="">
                <anchor moveWithCells="1" sizeWithCells="1">
                  <from>
                    <xdr:col>17</xdr:col>
                    <xdr:colOff>9053</xdr:colOff>
                    <xdr:row>10</xdr:row>
                    <xdr:rowOff>9053</xdr:rowOff>
                  </from>
                  <to>
                    <xdr:col>18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367" name="Button 448">
              <controlPr defaultSize="0" print="0" autoFill="0" autoPict="0" macro="[0]!Li_Two10_5" altText="">
                <anchor moveWithCells="1" sizeWithCells="1">
                  <from>
                    <xdr:col>15</xdr:col>
                    <xdr:colOff>9053</xdr:colOff>
                    <xdr:row>11</xdr:row>
                    <xdr:rowOff>9053</xdr:rowOff>
                  </from>
                  <to>
                    <xdr:col>16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368" name="Button 449">
              <controlPr defaultSize="0" print="0" autoFill="0" autoPict="0" macro="[0]!Li_Two10_6" altText="">
                <anchor moveWithCells="1" sizeWithCells="1">
                  <from>
                    <xdr:col>16</xdr:col>
                    <xdr:colOff>9053</xdr:colOff>
                    <xdr:row>11</xdr:row>
                    <xdr:rowOff>9053</xdr:rowOff>
                  </from>
                  <to>
                    <xdr:col>17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369" name="Button 450">
              <controlPr defaultSize="0" print="0" autoFill="0" autoPict="0" macro="[0]!Li_Two10_7" altText="">
                <anchor moveWithCells="1" sizeWithCells="1">
                  <from>
                    <xdr:col>17</xdr:col>
                    <xdr:colOff>9053</xdr:colOff>
                    <xdr:row>11</xdr:row>
                    <xdr:rowOff>9053</xdr:rowOff>
                  </from>
                  <to>
                    <xdr:col>18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370" name="Button 451">
              <controlPr defaultSize="0" print="0" autoFill="0" autoPict="0" macro="[0]!Li_Two11_5" altText="">
                <anchor moveWithCells="1" sizeWithCells="1">
                  <from>
                    <xdr:col>15</xdr:col>
                    <xdr:colOff>9053</xdr:colOff>
                    <xdr:row>12</xdr:row>
                    <xdr:rowOff>9053</xdr:rowOff>
                  </from>
                  <to>
                    <xdr:col>16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371" name="Button 452">
              <controlPr defaultSize="0" print="0" autoFill="0" autoPict="0" macro="[0]!Li_Two11_6" altText="">
                <anchor moveWithCells="1" sizeWithCells="1">
                  <from>
                    <xdr:col>16</xdr:col>
                    <xdr:colOff>9053</xdr:colOff>
                    <xdr:row>12</xdr:row>
                    <xdr:rowOff>9053</xdr:rowOff>
                  </from>
                  <to>
                    <xdr:col>17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372" name="Button 453">
              <controlPr defaultSize="0" print="0" autoFill="0" autoPict="0" macro="[0]!Li_Two11_7" altText="">
                <anchor moveWithCells="1" sizeWithCells="1">
                  <from>
                    <xdr:col>17</xdr:col>
                    <xdr:colOff>9053</xdr:colOff>
                    <xdr:row>12</xdr:row>
                    <xdr:rowOff>9053</xdr:rowOff>
                  </from>
                  <to>
                    <xdr:col>18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373" name="Button 454">
              <controlPr defaultSize="0" print="0" autoFill="0" autoPict="0" macro="[0]!Li_Two12_5" altText="">
                <anchor moveWithCells="1" sizeWithCells="1">
                  <from>
                    <xdr:col>15</xdr:col>
                    <xdr:colOff>9053</xdr:colOff>
                    <xdr:row>13</xdr:row>
                    <xdr:rowOff>9053</xdr:rowOff>
                  </from>
                  <to>
                    <xdr:col>16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374" name="Button 455">
              <controlPr defaultSize="0" print="0" autoFill="0" autoPict="0" macro="[0]!Li_Two12_6" altText="">
                <anchor moveWithCells="1" sizeWithCells="1">
                  <from>
                    <xdr:col>16</xdr:col>
                    <xdr:colOff>9053</xdr:colOff>
                    <xdr:row>13</xdr:row>
                    <xdr:rowOff>9053</xdr:rowOff>
                  </from>
                  <to>
                    <xdr:col>17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375" name="Button 456">
              <controlPr defaultSize="0" print="0" autoFill="0" autoPict="0" macro="[0]!Li_Two12_7" altText="">
                <anchor moveWithCells="1" sizeWithCells="1">
                  <from>
                    <xdr:col>17</xdr:col>
                    <xdr:colOff>9053</xdr:colOff>
                    <xdr:row>13</xdr:row>
                    <xdr:rowOff>9053</xdr:rowOff>
                  </from>
                  <to>
                    <xdr:col>18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376" name="Button 457">
              <controlPr defaultSize="0" print="0" autoFill="0" autoPict="0" macro="[0]!Li_Two13_5" altText="">
                <anchor moveWithCells="1" sizeWithCells="1">
                  <from>
                    <xdr:col>15</xdr:col>
                    <xdr:colOff>9053</xdr:colOff>
                    <xdr:row>14</xdr:row>
                    <xdr:rowOff>9053</xdr:rowOff>
                  </from>
                  <to>
                    <xdr:col>16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377" name="Button 458">
              <controlPr defaultSize="0" print="0" autoFill="0" autoPict="0" macro="[0]!Li_Two13_6" altText="">
                <anchor moveWithCells="1" sizeWithCells="1">
                  <from>
                    <xdr:col>16</xdr:col>
                    <xdr:colOff>9053</xdr:colOff>
                    <xdr:row>14</xdr:row>
                    <xdr:rowOff>9053</xdr:rowOff>
                  </from>
                  <to>
                    <xdr:col>17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378" name="Button 459">
              <controlPr defaultSize="0" print="0" autoFill="0" autoPict="0" macro="[0]!Li_Two13_7" altText="">
                <anchor moveWithCells="1" sizeWithCells="1">
                  <from>
                    <xdr:col>17</xdr:col>
                    <xdr:colOff>9053</xdr:colOff>
                    <xdr:row>14</xdr:row>
                    <xdr:rowOff>9053</xdr:rowOff>
                  </from>
                  <to>
                    <xdr:col>18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379" name="Button 460">
              <controlPr defaultSize="0" print="0" autoFill="0" autoPict="0" macro="[0]!Li_Two14_5" altText="">
                <anchor moveWithCells="1" sizeWithCells="1">
                  <from>
                    <xdr:col>15</xdr:col>
                    <xdr:colOff>9053</xdr:colOff>
                    <xdr:row>15</xdr:row>
                    <xdr:rowOff>9053</xdr:rowOff>
                  </from>
                  <to>
                    <xdr:col>16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380" name="Button 461">
              <controlPr defaultSize="0" print="0" autoFill="0" autoPict="0" macro="[0]!Li_Two14_6" altText="">
                <anchor moveWithCells="1" sizeWithCells="1">
                  <from>
                    <xdr:col>16</xdr:col>
                    <xdr:colOff>9053</xdr:colOff>
                    <xdr:row>15</xdr:row>
                    <xdr:rowOff>9053</xdr:rowOff>
                  </from>
                  <to>
                    <xdr:col>17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381" name="Button 462">
              <controlPr defaultSize="0" print="0" autoFill="0" autoPict="0" macro="[0]!Li_Two14_7" altText="">
                <anchor moveWithCells="1" sizeWithCells="1">
                  <from>
                    <xdr:col>17</xdr:col>
                    <xdr:colOff>9053</xdr:colOff>
                    <xdr:row>15</xdr:row>
                    <xdr:rowOff>9053</xdr:rowOff>
                  </from>
                  <to>
                    <xdr:col>18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382" name="Button 463">
              <controlPr defaultSize="0" print="0" autoFill="0" autoPict="0" macro="[0]!Li_Three15_5" altText="">
                <anchor moveWithCells="1" sizeWithCells="1">
                  <from>
                    <xdr:col>15</xdr:col>
                    <xdr:colOff>9053</xdr:colOff>
                    <xdr:row>16</xdr:row>
                    <xdr:rowOff>9053</xdr:rowOff>
                  </from>
                  <to>
                    <xdr:col>16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383" name="Button 464">
              <controlPr defaultSize="0" print="0" autoFill="0" autoPict="0" macro="[0]!Li_Three15_6" altText="">
                <anchor moveWithCells="1" sizeWithCells="1">
                  <from>
                    <xdr:col>16</xdr:col>
                    <xdr:colOff>9053</xdr:colOff>
                    <xdr:row>16</xdr:row>
                    <xdr:rowOff>9053</xdr:rowOff>
                  </from>
                  <to>
                    <xdr:col>17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384" name="Button 465">
              <controlPr defaultSize="0" print="0" autoFill="0" autoPict="0" macro="[0]!Li_Three15_7" altText="">
                <anchor moveWithCells="1" sizeWithCells="1">
                  <from>
                    <xdr:col>17</xdr:col>
                    <xdr:colOff>9053</xdr:colOff>
                    <xdr:row>16</xdr:row>
                    <xdr:rowOff>9053</xdr:rowOff>
                  </from>
                  <to>
                    <xdr:col>18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385" name="Button 466">
              <controlPr defaultSize="0" print="0" autoFill="0" autoPict="0" macro="[0]!Li_Three16_5" altText="">
                <anchor moveWithCells="1" sizeWithCells="1">
                  <from>
                    <xdr:col>15</xdr:col>
                    <xdr:colOff>9053</xdr:colOff>
                    <xdr:row>17</xdr:row>
                    <xdr:rowOff>9053</xdr:rowOff>
                  </from>
                  <to>
                    <xdr:col>16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386" name="Button 467">
              <controlPr defaultSize="0" print="0" autoFill="0" autoPict="0" macro="[0]!Li_Three16_6" altText="">
                <anchor moveWithCells="1" sizeWithCells="1">
                  <from>
                    <xdr:col>16</xdr:col>
                    <xdr:colOff>9053</xdr:colOff>
                    <xdr:row>17</xdr:row>
                    <xdr:rowOff>9053</xdr:rowOff>
                  </from>
                  <to>
                    <xdr:col>17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387" name="Button 468">
              <controlPr defaultSize="0" print="0" autoFill="0" autoPict="0" macro="[0]!Li_Three16_7" altText="">
                <anchor moveWithCells="1" sizeWithCells="1">
                  <from>
                    <xdr:col>17</xdr:col>
                    <xdr:colOff>9053</xdr:colOff>
                    <xdr:row>17</xdr:row>
                    <xdr:rowOff>9053</xdr:rowOff>
                  </from>
                  <to>
                    <xdr:col>18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388" name="Button 469">
              <controlPr defaultSize="0" print="0" autoFill="0" autoPict="0" macro="[0]!Li_Three17_5" altText="">
                <anchor moveWithCells="1" sizeWithCells="1">
                  <from>
                    <xdr:col>15</xdr:col>
                    <xdr:colOff>9053</xdr:colOff>
                    <xdr:row>18</xdr:row>
                    <xdr:rowOff>9053</xdr:rowOff>
                  </from>
                  <to>
                    <xdr:col>16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389" name="Button 470">
              <controlPr defaultSize="0" print="0" autoFill="0" autoPict="0" macro="[0]!Li_Three17_6" altText="">
                <anchor moveWithCells="1" sizeWithCells="1">
                  <from>
                    <xdr:col>16</xdr:col>
                    <xdr:colOff>9053</xdr:colOff>
                    <xdr:row>18</xdr:row>
                    <xdr:rowOff>9053</xdr:rowOff>
                  </from>
                  <to>
                    <xdr:col>17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390" name="Button 471">
              <controlPr defaultSize="0" print="0" autoFill="0" autoPict="0" macro="[0]!Li_Three17_7" altText="">
                <anchor moveWithCells="1" sizeWithCells="1">
                  <from>
                    <xdr:col>17</xdr:col>
                    <xdr:colOff>9053</xdr:colOff>
                    <xdr:row>18</xdr:row>
                    <xdr:rowOff>9053</xdr:rowOff>
                  </from>
                  <to>
                    <xdr:col>18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391" name="Button 472">
              <controlPr defaultSize="0" print="0" autoFill="0" autoPict="0" macro="[0]!Li_Three18_5" altText="">
                <anchor moveWithCells="1" sizeWithCells="1">
                  <from>
                    <xdr:col>15</xdr:col>
                    <xdr:colOff>9053</xdr:colOff>
                    <xdr:row>19</xdr:row>
                    <xdr:rowOff>9053</xdr:rowOff>
                  </from>
                  <to>
                    <xdr:col>16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392" name="Button 473">
              <controlPr defaultSize="0" print="0" autoFill="0" autoPict="0" macro="[0]!Li_Three18_6" altText="">
                <anchor moveWithCells="1" sizeWithCells="1">
                  <from>
                    <xdr:col>16</xdr:col>
                    <xdr:colOff>9053</xdr:colOff>
                    <xdr:row>19</xdr:row>
                    <xdr:rowOff>9053</xdr:rowOff>
                  </from>
                  <to>
                    <xdr:col>17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393" name="Button 474">
              <controlPr defaultSize="0" print="0" autoFill="0" autoPict="0" macro="[0]!Li_Three18_7" altText="">
                <anchor moveWithCells="1" sizeWithCells="1">
                  <from>
                    <xdr:col>17</xdr:col>
                    <xdr:colOff>9053</xdr:colOff>
                    <xdr:row>19</xdr:row>
                    <xdr:rowOff>9053</xdr:rowOff>
                  </from>
                  <to>
                    <xdr:col>18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394" name="Button 475">
              <controlPr defaultSize="0" print="0" autoFill="0" autoPict="0" macro="[0]!Li_Three19_5" altText="">
                <anchor moveWithCells="1" sizeWithCells="1">
                  <from>
                    <xdr:col>15</xdr:col>
                    <xdr:colOff>9053</xdr:colOff>
                    <xdr:row>20</xdr:row>
                    <xdr:rowOff>9053</xdr:rowOff>
                  </from>
                  <to>
                    <xdr:col>16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395" name="Button 476">
              <controlPr defaultSize="0" print="0" autoFill="0" autoPict="0" macro="[0]!Li_Three19_6" altText="">
                <anchor moveWithCells="1" sizeWithCells="1">
                  <from>
                    <xdr:col>16</xdr:col>
                    <xdr:colOff>9053</xdr:colOff>
                    <xdr:row>20</xdr:row>
                    <xdr:rowOff>9053</xdr:rowOff>
                  </from>
                  <to>
                    <xdr:col>17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396" name="Button 477">
              <controlPr defaultSize="0" print="0" autoFill="0" autoPict="0" macro="[0]!Li_Three19_7" altText="">
                <anchor moveWithCells="1" sizeWithCells="1">
                  <from>
                    <xdr:col>17</xdr:col>
                    <xdr:colOff>9053</xdr:colOff>
                    <xdr:row>20</xdr:row>
                    <xdr:rowOff>9053</xdr:rowOff>
                  </from>
                  <to>
                    <xdr:col>18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397" name="Button 478">
              <controlPr defaultSize="0" print="0" autoFill="0" autoPict="0" macro="[0]!Li_Three20_5" altText="">
                <anchor moveWithCells="1" sizeWithCells="1">
                  <from>
                    <xdr:col>15</xdr:col>
                    <xdr:colOff>9053</xdr:colOff>
                    <xdr:row>21</xdr:row>
                    <xdr:rowOff>9053</xdr:rowOff>
                  </from>
                  <to>
                    <xdr:col>16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398" name="Button 479">
              <controlPr defaultSize="0" print="0" autoFill="0" autoPict="0" macro="[0]!Li_Three20_6" altText="">
                <anchor moveWithCells="1" sizeWithCells="1">
                  <from>
                    <xdr:col>16</xdr:col>
                    <xdr:colOff>9053</xdr:colOff>
                    <xdr:row>21</xdr:row>
                    <xdr:rowOff>9053</xdr:rowOff>
                  </from>
                  <to>
                    <xdr:col>17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399" name="Button 480">
              <controlPr defaultSize="0" print="0" autoFill="0" autoPict="0" macro="[0]!Li_Three20_7" altText="">
                <anchor moveWithCells="1" sizeWithCells="1">
                  <from>
                    <xdr:col>17</xdr:col>
                    <xdr:colOff>9053</xdr:colOff>
                    <xdr:row>21</xdr:row>
                    <xdr:rowOff>9053</xdr:rowOff>
                  </from>
                  <to>
                    <xdr:col>18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00" name="Button 481">
              <controlPr defaultSize="0" print="0" autoFill="0" autoPict="0" macro="[0]!Li_Three21_5" altText="">
                <anchor moveWithCells="1" sizeWithCells="1">
                  <from>
                    <xdr:col>15</xdr:col>
                    <xdr:colOff>9053</xdr:colOff>
                    <xdr:row>22</xdr:row>
                    <xdr:rowOff>9053</xdr:rowOff>
                  </from>
                  <to>
                    <xdr:col>16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01" name="Button 482">
              <controlPr defaultSize="0" print="0" autoFill="0" autoPict="0" macro="[0]!Li_Three21_6" altText="">
                <anchor moveWithCells="1" sizeWithCells="1">
                  <from>
                    <xdr:col>16</xdr:col>
                    <xdr:colOff>9053</xdr:colOff>
                    <xdr:row>22</xdr:row>
                    <xdr:rowOff>9053</xdr:rowOff>
                  </from>
                  <to>
                    <xdr:col>17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02" name="Button 483">
              <controlPr defaultSize="0" print="0" autoFill="0" autoPict="0" macro="[0]!Li_Three21_7" altText="">
                <anchor moveWithCells="1" sizeWithCells="1">
                  <from>
                    <xdr:col>17</xdr:col>
                    <xdr:colOff>9053</xdr:colOff>
                    <xdr:row>22</xdr:row>
                    <xdr:rowOff>9053</xdr:rowOff>
                  </from>
                  <to>
                    <xdr:col>18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03" name="Button 484">
              <controlPr defaultSize="0" print="0" autoFill="0" autoPict="0" macro="[0]!Li_Four22_5" altText="">
                <anchor moveWithCells="1" sizeWithCells="1">
                  <from>
                    <xdr:col>15</xdr:col>
                    <xdr:colOff>9053</xdr:colOff>
                    <xdr:row>23</xdr:row>
                    <xdr:rowOff>9053</xdr:rowOff>
                  </from>
                  <to>
                    <xdr:col>16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04" name="Button 485">
              <controlPr defaultSize="0" print="0" autoFill="0" autoPict="0" macro="[0]!Li_Four22_6" altText="">
                <anchor moveWithCells="1" sizeWithCells="1">
                  <from>
                    <xdr:col>16</xdr:col>
                    <xdr:colOff>9053</xdr:colOff>
                    <xdr:row>23</xdr:row>
                    <xdr:rowOff>9053</xdr:rowOff>
                  </from>
                  <to>
                    <xdr:col>17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05" name="Button 486">
              <controlPr defaultSize="0" print="0" autoFill="0" autoPict="0" macro="[0]!Li_Four22_7" altText="">
                <anchor moveWithCells="1" sizeWithCells="1">
                  <from>
                    <xdr:col>17</xdr:col>
                    <xdr:colOff>9053</xdr:colOff>
                    <xdr:row>23</xdr:row>
                    <xdr:rowOff>9053</xdr:rowOff>
                  </from>
                  <to>
                    <xdr:col>18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06" name="Button 487">
              <controlPr defaultSize="0" print="0" autoFill="0" autoPict="0" macro="[0]!Li_Four23_5" altText="">
                <anchor moveWithCells="1" sizeWithCells="1">
                  <from>
                    <xdr:col>15</xdr:col>
                    <xdr:colOff>9053</xdr:colOff>
                    <xdr:row>24</xdr:row>
                    <xdr:rowOff>9053</xdr:rowOff>
                  </from>
                  <to>
                    <xdr:col>16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07" name="Button 488">
              <controlPr defaultSize="0" print="0" autoFill="0" autoPict="0" macro="[0]!Li_Four23_6" altText="">
                <anchor moveWithCells="1" sizeWithCells="1">
                  <from>
                    <xdr:col>16</xdr:col>
                    <xdr:colOff>9053</xdr:colOff>
                    <xdr:row>24</xdr:row>
                    <xdr:rowOff>9053</xdr:rowOff>
                  </from>
                  <to>
                    <xdr:col>17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08" name="Button 489">
              <controlPr defaultSize="0" print="0" autoFill="0" autoPict="0" macro="[0]!Li_Four23_7" altText="">
                <anchor moveWithCells="1" sizeWithCells="1">
                  <from>
                    <xdr:col>17</xdr:col>
                    <xdr:colOff>9053</xdr:colOff>
                    <xdr:row>24</xdr:row>
                    <xdr:rowOff>9053</xdr:rowOff>
                  </from>
                  <to>
                    <xdr:col>18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09" name="Button 490">
              <controlPr defaultSize="0" print="0" autoFill="0" autoPict="0" macro="[0]!Li_Four24_5" altText="">
                <anchor moveWithCells="1" sizeWithCells="1">
                  <from>
                    <xdr:col>15</xdr:col>
                    <xdr:colOff>9053</xdr:colOff>
                    <xdr:row>25</xdr:row>
                    <xdr:rowOff>9053</xdr:rowOff>
                  </from>
                  <to>
                    <xdr:col>16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10" name="Button 491">
              <controlPr defaultSize="0" print="0" autoFill="0" autoPict="0" macro="[0]!Li_Four24_6" altText="">
                <anchor moveWithCells="1" sizeWithCells="1">
                  <from>
                    <xdr:col>16</xdr:col>
                    <xdr:colOff>9053</xdr:colOff>
                    <xdr:row>25</xdr:row>
                    <xdr:rowOff>9053</xdr:rowOff>
                  </from>
                  <to>
                    <xdr:col>17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11" name="Button 492">
              <controlPr defaultSize="0" print="0" autoFill="0" autoPict="0" macro="[0]!Li_Four24_7" altText="">
                <anchor moveWithCells="1" sizeWithCells="1">
                  <from>
                    <xdr:col>17</xdr:col>
                    <xdr:colOff>9053</xdr:colOff>
                    <xdr:row>25</xdr:row>
                    <xdr:rowOff>9053</xdr:rowOff>
                  </from>
                  <to>
                    <xdr:col>18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12" name="Button 493">
              <controlPr defaultSize="0" print="0" autoFill="0" autoPict="0" macro="[0]!Li_Four25_5" altText="">
                <anchor moveWithCells="1" sizeWithCells="1">
                  <from>
                    <xdr:col>15</xdr:col>
                    <xdr:colOff>9053</xdr:colOff>
                    <xdr:row>26</xdr:row>
                    <xdr:rowOff>9053</xdr:rowOff>
                  </from>
                  <to>
                    <xdr:col>16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3" name="Button 494">
              <controlPr defaultSize="0" print="0" autoFill="0" autoPict="0" macro="[0]!Li_Four25_6" altText="">
                <anchor moveWithCells="1" sizeWithCells="1">
                  <from>
                    <xdr:col>16</xdr:col>
                    <xdr:colOff>9053</xdr:colOff>
                    <xdr:row>26</xdr:row>
                    <xdr:rowOff>9053</xdr:rowOff>
                  </from>
                  <to>
                    <xdr:col>17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14" name="Button 495">
              <controlPr defaultSize="0" print="0" autoFill="0" autoPict="0" macro="[0]!Li_Four25_7" altText="">
                <anchor moveWithCells="1" sizeWithCells="1">
                  <from>
                    <xdr:col>17</xdr:col>
                    <xdr:colOff>9053</xdr:colOff>
                    <xdr:row>26</xdr:row>
                    <xdr:rowOff>9053</xdr:rowOff>
                  </from>
                  <to>
                    <xdr:col>18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15" name="Button 496">
              <controlPr defaultSize="0" print="0" autoFill="0" autoPict="0" macro="[0]!Li_Four26_5" altText="">
                <anchor moveWithCells="1" sizeWithCells="1">
                  <from>
                    <xdr:col>15</xdr:col>
                    <xdr:colOff>9053</xdr:colOff>
                    <xdr:row>27</xdr:row>
                    <xdr:rowOff>9053</xdr:rowOff>
                  </from>
                  <to>
                    <xdr:col>16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16" name="Button 497">
              <controlPr defaultSize="0" print="0" autoFill="0" autoPict="0" macro="[0]!Li_Four26_6" altText="">
                <anchor moveWithCells="1" sizeWithCells="1">
                  <from>
                    <xdr:col>16</xdr:col>
                    <xdr:colOff>9053</xdr:colOff>
                    <xdr:row>27</xdr:row>
                    <xdr:rowOff>9053</xdr:rowOff>
                  </from>
                  <to>
                    <xdr:col>17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17" name="Button 498">
              <controlPr defaultSize="0" print="0" autoFill="0" autoPict="0" macro="[0]!Li_Four26_7" altText="">
                <anchor moveWithCells="1" sizeWithCells="1">
                  <from>
                    <xdr:col>17</xdr:col>
                    <xdr:colOff>9053</xdr:colOff>
                    <xdr:row>27</xdr:row>
                    <xdr:rowOff>9053</xdr:rowOff>
                  </from>
                  <to>
                    <xdr:col>18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18" name="Button 499">
              <controlPr defaultSize="0" print="0" autoFill="0" autoPict="0" macro="[0]!Li_Four27_5" altText="">
                <anchor moveWithCells="1" sizeWithCells="1">
                  <from>
                    <xdr:col>15</xdr:col>
                    <xdr:colOff>9053</xdr:colOff>
                    <xdr:row>28</xdr:row>
                    <xdr:rowOff>9053</xdr:rowOff>
                  </from>
                  <to>
                    <xdr:col>16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19" name="Button 500">
              <controlPr defaultSize="0" print="0" autoFill="0" autoPict="0" macro="[0]!Li_Four27_6" altText="">
                <anchor moveWithCells="1" sizeWithCells="1">
                  <from>
                    <xdr:col>16</xdr:col>
                    <xdr:colOff>9053</xdr:colOff>
                    <xdr:row>28</xdr:row>
                    <xdr:rowOff>9053</xdr:rowOff>
                  </from>
                  <to>
                    <xdr:col>17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20" name="Button 501">
              <controlPr defaultSize="0" print="0" autoFill="0" autoPict="0" macro="[0]!Li_Four27_7" altText="">
                <anchor moveWithCells="1" sizeWithCells="1">
                  <from>
                    <xdr:col>17</xdr:col>
                    <xdr:colOff>9053</xdr:colOff>
                    <xdr:row>28</xdr:row>
                    <xdr:rowOff>9053</xdr:rowOff>
                  </from>
                  <to>
                    <xdr:col>18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21" name="Button 502">
              <controlPr defaultSize="0" print="0" autoFill="0" autoPict="0" macro="[0]!Li_Four28_5" altText="">
                <anchor moveWithCells="1" sizeWithCells="1">
                  <from>
                    <xdr:col>15</xdr:col>
                    <xdr:colOff>9053</xdr:colOff>
                    <xdr:row>29</xdr:row>
                    <xdr:rowOff>9053</xdr:rowOff>
                  </from>
                  <to>
                    <xdr:col>16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422" name="Button 503">
              <controlPr defaultSize="0" print="0" autoFill="0" autoPict="0" macro="[0]!Li_Four28_6" altText="">
                <anchor moveWithCells="1" sizeWithCells="1">
                  <from>
                    <xdr:col>16</xdr:col>
                    <xdr:colOff>9053</xdr:colOff>
                    <xdr:row>29</xdr:row>
                    <xdr:rowOff>9053</xdr:rowOff>
                  </from>
                  <to>
                    <xdr:col>17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423" name="Button 504">
              <controlPr defaultSize="0" print="0" autoFill="0" autoPict="0" macro="[0]!Li_Four28_7" altText="">
                <anchor moveWithCells="1" sizeWithCells="1">
                  <from>
                    <xdr:col>17</xdr:col>
                    <xdr:colOff>9053</xdr:colOff>
                    <xdr:row>29</xdr:row>
                    <xdr:rowOff>9053</xdr:rowOff>
                  </from>
                  <to>
                    <xdr:col>18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24" name="Button 505">
              <controlPr defaultSize="0" print="0" autoFill="0" autoPict="0" macro="[0]!Li_Five29_5" altText="">
                <anchor moveWithCells="1" sizeWithCells="1">
                  <from>
                    <xdr:col>15</xdr:col>
                    <xdr:colOff>9053</xdr:colOff>
                    <xdr:row>30</xdr:row>
                    <xdr:rowOff>9053</xdr:rowOff>
                  </from>
                  <to>
                    <xdr:col>16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425" name="Button 506">
              <controlPr defaultSize="0" print="0" autoFill="0" autoPict="0" macro="[0]!Li_Five29_6" altText="">
                <anchor moveWithCells="1" sizeWithCells="1">
                  <from>
                    <xdr:col>16</xdr:col>
                    <xdr:colOff>9053</xdr:colOff>
                    <xdr:row>30</xdr:row>
                    <xdr:rowOff>9053</xdr:rowOff>
                  </from>
                  <to>
                    <xdr:col>17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426" name="Button 507">
              <controlPr defaultSize="0" print="0" autoFill="0" autoPict="0" macro="[0]!Li_Five29_7" altText="">
                <anchor moveWithCells="1" sizeWithCells="1">
                  <from>
                    <xdr:col>17</xdr:col>
                    <xdr:colOff>9053</xdr:colOff>
                    <xdr:row>30</xdr:row>
                    <xdr:rowOff>9053</xdr:rowOff>
                  </from>
                  <to>
                    <xdr:col>18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427" name="Button 508">
              <controlPr defaultSize="0" print="0" autoFill="0" autoPict="0" macro="[0]!Li_Five30_5" altText="">
                <anchor moveWithCells="1" sizeWithCells="1">
                  <from>
                    <xdr:col>15</xdr:col>
                    <xdr:colOff>9053</xdr:colOff>
                    <xdr:row>31</xdr:row>
                    <xdr:rowOff>9053</xdr:rowOff>
                  </from>
                  <to>
                    <xdr:col>16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428" name="Button 509">
              <controlPr defaultSize="0" print="0" autoFill="0" autoPict="0" macro="[0]!Li_Five30_6" altText="">
                <anchor moveWithCells="1" sizeWithCells="1">
                  <from>
                    <xdr:col>16</xdr:col>
                    <xdr:colOff>9053</xdr:colOff>
                    <xdr:row>31</xdr:row>
                    <xdr:rowOff>9053</xdr:rowOff>
                  </from>
                  <to>
                    <xdr:col>17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429" name="Button 510">
              <controlPr defaultSize="0" print="0" autoFill="0" autoPict="0" macro="[0]!Li_Five30_7" altText="">
                <anchor moveWithCells="1" sizeWithCells="1">
                  <from>
                    <xdr:col>17</xdr:col>
                    <xdr:colOff>9053</xdr:colOff>
                    <xdr:row>31</xdr:row>
                    <xdr:rowOff>9053</xdr:rowOff>
                  </from>
                  <to>
                    <xdr:col>18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430" name="Button 511">
              <controlPr defaultSize="0" print="0" autoFill="0" autoPict="0" macro="[0]!Li_Five31_5" altText="">
                <anchor moveWithCells="1" sizeWithCells="1">
                  <from>
                    <xdr:col>15</xdr:col>
                    <xdr:colOff>9053</xdr:colOff>
                    <xdr:row>32</xdr:row>
                    <xdr:rowOff>9053</xdr:rowOff>
                  </from>
                  <to>
                    <xdr:col>16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431" name="Button 512">
              <controlPr defaultSize="0" print="0" autoFill="0" autoPict="0" macro="[0]!Li_Five31_6" altText="">
                <anchor moveWithCells="1" sizeWithCells="1">
                  <from>
                    <xdr:col>16</xdr:col>
                    <xdr:colOff>9053</xdr:colOff>
                    <xdr:row>32</xdr:row>
                    <xdr:rowOff>9053</xdr:rowOff>
                  </from>
                  <to>
                    <xdr:col>17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432" name="Button 513">
              <controlPr defaultSize="0" print="0" autoFill="0" autoPict="0" macro="[0]!Li_Five31_7" altText="">
                <anchor moveWithCells="1" sizeWithCells="1">
                  <from>
                    <xdr:col>17</xdr:col>
                    <xdr:colOff>9053</xdr:colOff>
                    <xdr:row>32</xdr:row>
                    <xdr:rowOff>9053</xdr:rowOff>
                  </from>
                  <to>
                    <xdr:col>18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433" name="Button 514">
              <controlPr defaultSize="0" print="0" autoFill="0" autoPict="0" macro="[0]!Li_Five32_5" altText="">
                <anchor moveWithCells="1" sizeWithCells="1">
                  <from>
                    <xdr:col>15</xdr:col>
                    <xdr:colOff>9053</xdr:colOff>
                    <xdr:row>33</xdr:row>
                    <xdr:rowOff>9053</xdr:rowOff>
                  </from>
                  <to>
                    <xdr:col>16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434" name="Button 515">
              <controlPr defaultSize="0" print="0" autoFill="0" autoPict="0" macro="[0]!Li_Five32_6" altText="">
                <anchor moveWithCells="1" sizeWithCells="1">
                  <from>
                    <xdr:col>16</xdr:col>
                    <xdr:colOff>9053</xdr:colOff>
                    <xdr:row>33</xdr:row>
                    <xdr:rowOff>9053</xdr:rowOff>
                  </from>
                  <to>
                    <xdr:col>17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435" name="Button 516">
              <controlPr defaultSize="0" print="0" autoFill="0" autoPict="0" macro="[0]!Li_Five32_7" altText="">
                <anchor moveWithCells="1" sizeWithCells="1">
                  <from>
                    <xdr:col>17</xdr:col>
                    <xdr:colOff>9053</xdr:colOff>
                    <xdr:row>33</xdr:row>
                    <xdr:rowOff>9053</xdr:rowOff>
                  </from>
                  <to>
                    <xdr:col>18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436" name="Button 517">
              <controlPr defaultSize="0" print="0" autoFill="0" autoPict="0" macro="[0]!Li_Five33_5" altText="">
                <anchor moveWithCells="1" sizeWithCells="1">
                  <from>
                    <xdr:col>15</xdr:col>
                    <xdr:colOff>9053</xdr:colOff>
                    <xdr:row>34</xdr:row>
                    <xdr:rowOff>9053</xdr:rowOff>
                  </from>
                  <to>
                    <xdr:col>16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437" name="Button 518">
              <controlPr defaultSize="0" print="0" autoFill="0" autoPict="0" macro="[0]!Li_Five33_6" altText="">
                <anchor moveWithCells="1" sizeWithCells="1">
                  <from>
                    <xdr:col>16</xdr:col>
                    <xdr:colOff>9053</xdr:colOff>
                    <xdr:row>34</xdr:row>
                    <xdr:rowOff>9053</xdr:rowOff>
                  </from>
                  <to>
                    <xdr:col>17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438" name="Button 519">
              <controlPr defaultSize="0" print="0" autoFill="0" autoPict="0" macro="[0]!Li_Five33_7" altText="">
                <anchor moveWithCells="1" sizeWithCells="1">
                  <from>
                    <xdr:col>17</xdr:col>
                    <xdr:colOff>9053</xdr:colOff>
                    <xdr:row>34</xdr:row>
                    <xdr:rowOff>9053</xdr:rowOff>
                  </from>
                  <to>
                    <xdr:col>18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439" name="Button 520">
              <controlPr defaultSize="0" print="0" autoFill="0" autoPict="0" macro="[0]!Li_Five34_5" altText="">
                <anchor moveWithCells="1" sizeWithCells="1">
                  <from>
                    <xdr:col>15</xdr:col>
                    <xdr:colOff>9053</xdr:colOff>
                    <xdr:row>35</xdr:row>
                    <xdr:rowOff>9053</xdr:rowOff>
                  </from>
                  <to>
                    <xdr:col>16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440" name="Button 521">
              <controlPr defaultSize="0" print="0" autoFill="0" autoPict="0" macro="[0]!Li_Five34_6" altText="">
                <anchor moveWithCells="1" sizeWithCells="1">
                  <from>
                    <xdr:col>16</xdr:col>
                    <xdr:colOff>9053</xdr:colOff>
                    <xdr:row>35</xdr:row>
                    <xdr:rowOff>9053</xdr:rowOff>
                  </from>
                  <to>
                    <xdr:col>17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441" name="Button 522">
              <controlPr defaultSize="0" print="0" autoFill="0" autoPict="0" macro="[0]!Li_Five34_7" altText="">
                <anchor moveWithCells="1" sizeWithCells="1">
                  <from>
                    <xdr:col>17</xdr:col>
                    <xdr:colOff>9053</xdr:colOff>
                    <xdr:row>35</xdr:row>
                    <xdr:rowOff>9053</xdr:rowOff>
                  </from>
                  <to>
                    <xdr:col>18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442" name="Button 523">
              <controlPr defaultSize="0" print="0" autoFill="0" autoPict="0" macro="[0]!Li_Five35_5" altText="">
                <anchor moveWithCells="1" sizeWithCells="1">
                  <from>
                    <xdr:col>15</xdr:col>
                    <xdr:colOff>9053</xdr:colOff>
                    <xdr:row>36</xdr:row>
                    <xdr:rowOff>9053</xdr:rowOff>
                  </from>
                  <to>
                    <xdr:col>16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443" name="Button 524">
              <controlPr defaultSize="0" print="0" autoFill="0" autoPict="0" macro="[0]!Li_Five35_6" altText="">
                <anchor moveWithCells="1" sizeWithCells="1">
                  <from>
                    <xdr:col>16</xdr:col>
                    <xdr:colOff>9053</xdr:colOff>
                    <xdr:row>36</xdr:row>
                    <xdr:rowOff>9053</xdr:rowOff>
                  </from>
                  <to>
                    <xdr:col>17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444" name="Button 525">
              <controlPr defaultSize="0" print="0" autoFill="0" autoPict="0" macro="[0]!Li_Five35_7" altText="">
                <anchor moveWithCells="1" sizeWithCells="1">
                  <from>
                    <xdr:col>17</xdr:col>
                    <xdr:colOff>9053</xdr:colOff>
                    <xdr:row>36</xdr:row>
                    <xdr:rowOff>9053</xdr:rowOff>
                  </from>
                  <to>
                    <xdr:col>18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9711-5A1B-4974-B5C6-06D64CC4B4EB}">
  <sheetPr codeName="Sheet11"/>
  <dimension ref="A1:AN110"/>
  <sheetViews>
    <sheetView topLeftCell="A49" zoomScale="140" zoomScaleNormal="140" workbookViewId="0">
      <selection activeCell="C88" sqref="C88:C108"/>
    </sheetView>
  </sheetViews>
  <sheetFormatPr defaultColWidth="9" defaultRowHeight="15" customHeight="1"/>
  <cols>
    <col min="1" max="1" width="5.75" style="67" customWidth="1"/>
    <col min="2" max="2" width="7.25" style="67" customWidth="1"/>
    <col min="3" max="3" width="4.75" style="67" customWidth="1"/>
    <col min="4" max="4" width="7.125" style="77" customWidth="1"/>
    <col min="5" max="5" width="9.125" style="77" customWidth="1"/>
    <col min="6" max="6" width="9" style="67" customWidth="1"/>
    <col min="7" max="7" width="5.125" style="67" customWidth="1"/>
    <col min="8" max="8" width="5.75" style="67" customWidth="1"/>
    <col min="9" max="9" width="3.375" style="67" customWidth="1"/>
    <col min="10" max="10" width="5.75" style="67" customWidth="1"/>
    <col min="11" max="11" width="9" style="67" customWidth="1"/>
    <col min="12" max="12" width="5.125" style="67" customWidth="1"/>
    <col min="13" max="13" width="5.75" style="67" customWidth="1"/>
    <col min="14" max="14" width="3.375" style="67" customWidth="1"/>
    <col min="15" max="15" width="5.75" style="67" customWidth="1"/>
    <col min="16" max="16" width="9" style="67" customWidth="1"/>
    <col min="17" max="17" width="5.125" style="67" customWidth="1"/>
    <col min="18" max="18" width="5.75" style="67" customWidth="1"/>
    <col min="19" max="19" width="3.375" style="67" customWidth="1"/>
    <col min="20" max="20" width="5.75" style="67" customWidth="1"/>
    <col min="21" max="21" width="9" style="67" customWidth="1"/>
    <col min="22" max="22" width="5.125" style="67" customWidth="1"/>
    <col min="23" max="23" width="5.75" style="67" customWidth="1"/>
    <col min="24" max="24" width="3.375" style="67" customWidth="1"/>
    <col min="25" max="25" width="5.75" style="67" customWidth="1"/>
    <col min="26" max="26" width="9" style="67"/>
    <col min="27" max="27" width="5.125" style="67" customWidth="1"/>
    <col min="28" max="28" width="5.75" style="67" customWidth="1"/>
    <col min="29" max="29" width="3.375" style="67" customWidth="1"/>
    <col min="30" max="30" width="5.75" style="67" customWidth="1"/>
    <col min="31" max="31" width="9" style="67"/>
    <col min="32" max="32" width="5.125" style="67" customWidth="1"/>
    <col min="33" max="33" width="5.75" style="67" customWidth="1"/>
    <col min="34" max="34" width="3.375" style="67" customWidth="1"/>
    <col min="35" max="35" width="5.75" style="67" customWidth="1"/>
    <col min="36" max="36" width="9" style="67"/>
    <col min="37" max="37" width="5.125" style="67" customWidth="1"/>
    <col min="38" max="38" width="5.75" style="67" customWidth="1"/>
    <col min="39" max="39" width="3.375" style="67" customWidth="1"/>
    <col min="40" max="40" width="5.75" style="67" customWidth="1"/>
    <col min="41" max="16384" width="9" style="67"/>
  </cols>
  <sheetData>
    <row r="1" spans="1:40" ht="25.7" customHeight="1">
      <c r="A1" s="155" t="s">
        <v>256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</row>
    <row r="2" spans="1:40" ht="20" customHeight="1">
      <c r="A2" s="188" t="s">
        <v>141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1"/>
    </row>
    <row r="3" spans="1:40" ht="32.1" customHeight="1">
      <c r="A3" s="66" t="s">
        <v>142</v>
      </c>
      <c r="B3" s="66" t="s">
        <v>143</v>
      </c>
      <c r="C3" s="66" t="s">
        <v>1754</v>
      </c>
      <c r="D3" s="68" t="s">
        <v>1750</v>
      </c>
      <c r="E3" s="68" t="s">
        <v>1749</v>
      </c>
      <c r="F3" s="69" t="s">
        <v>285</v>
      </c>
      <c r="G3" s="66" t="s">
        <v>1779</v>
      </c>
      <c r="H3" s="66" t="s">
        <v>1781</v>
      </c>
      <c r="I3" s="66" t="s">
        <v>1778</v>
      </c>
      <c r="J3" s="66" t="s">
        <v>1748</v>
      </c>
      <c r="K3" s="69" t="s">
        <v>285</v>
      </c>
      <c r="L3" s="66" t="s">
        <v>1779</v>
      </c>
      <c r="M3" s="66" t="s">
        <v>1781</v>
      </c>
      <c r="N3" s="66" t="s">
        <v>1778</v>
      </c>
      <c r="O3" s="66" t="s">
        <v>1748</v>
      </c>
      <c r="P3" s="69" t="s">
        <v>285</v>
      </c>
      <c r="Q3" s="66" t="s">
        <v>1779</v>
      </c>
      <c r="R3" s="66" t="s">
        <v>1781</v>
      </c>
      <c r="S3" s="66" t="s">
        <v>1778</v>
      </c>
      <c r="T3" s="66" t="s">
        <v>1748</v>
      </c>
      <c r="U3" s="69" t="s">
        <v>285</v>
      </c>
      <c r="V3" s="66" t="s">
        <v>1779</v>
      </c>
      <c r="W3" s="66" t="s">
        <v>1781</v>
      </c>
      <c r="X3" s="66" t="s">
        <v>1778</v>
      </c>
      <c r="Y3" s="66" t="s">
        <v>1748</v>
      </c>
      <c r="Z3" s="69" t="s">
        <v>285</v>
      </c>
      <c r="AA3" s="66" t="s">
        <v>1779</v>
      </c>
      <c r="AB3" s="66" t="s">
        <v>1781</v>
      </c>
      <c r="AC3" s="66" t="s">
        <v>1778</v>
      </c>
      <c r="AD3" s="66" t="s">
        <v>1748</v>
      </c>
      <c r="AE3" s="69" t="s">
        <v>285</v>
      </c>
      <c r="AF3" s="66" t="s">
        <v>1779</v>
      </c>
      <c r="AG3" s="66" t="s">
        <v>1781</v>
      </c>
      <c r="AH3" s="66" t="s">
        <v>1778</v>
      </c>
      <c r="AI3" s="66" t="s">
        <v>1748</v>
      </c>
      <c r="AJ3" s="69" t="s">
        <v>285</v>
      </c>
      <c r="AK3" s="66" t="s">
        <v>1779</v>
      </c>
      <c r="AL3" s="66" t="s">
        <v>1781</v>
      </c>
      <c r="AM3" s="66" t="s">
        <v>1778</v>
      </c>
      <c r="AN3" s="66" t="s">
        <v>1748</v>
      </c>
    </row>
    <row r="4" spans="1:40" ht="15" customHeight="1">
      <c r="A4" s="155" t="s">
        <v>257</v>
      </c>
      <c r="B4" s="155" t="s">
        <v>1755</v>
      </c>
      <c r="C4" s="158" t="s">
        <v>1792</v>
      </c>
      <c r="D4" s="68">
        <f>H4+M4+R4+W4+AB4+AG4+AL4</f>
        <v>0</v>
      </c>
      <c r="E4" s="68">
        <f>人员信息!E26</f>
        <v>40.629600000000003</v>
      </c>
      <c r="F4" s="156"/>
      <c r="G4" s="156"/>
      <c r="H4" s="70">
        <f>G4*(J4/100)</f>
        <v>0</v>
      </c>
      <c r="I4" s="71" t="s">
        <v>1752</v>
      </c>
      <c r="J4" s="72"/>
      <c r="K4" s="157"/>
      <c r="L4" s="157"/>
      <c r="M4" s="73">
        <f>L4*(O4/100)</f>
        <v>0</v>
      </c>
      <c r="N4" s="74" t="s">
        <v>1744</v>
      </c>
      <c r="O4" s="75"/>
      <c r="P4" s="156"/>
      <c r="Q4" s="156"/>
      <c r="R4" s="70">
        <f>Q4*(T4/100)</f>
        <v>0</v>
      </c>
      <c r="S4" s="71" t="s">
        <v>1744</v>
      </c>
      <c r="T4" s="72"/>
      <c r="U4" s="157"/>
      <c r="V4" s="157"/>
      <c r="W4" s="73">
        <f>V4*(Y4/100)</f>
        <v>0</v>
      </c>
      <c r="X4" s="74" t="s">
        <v>1744</v>
      </c>
      <c r="Y4" s="75"/>
      <c r="Z4" s="156"/>
      <c r="AA4" s="156"/>
      <c r="AB4" s="70">
        <f>AA4*(AD4/100)</f>
        <v>0</v>
      </c>
      <c r="AC4" s="71" t="s">
        <v>1752</v>
      </c>
      <c r="AD4" s="72"/>
      <c r="AE4" s="157"/>
      <c r="AF4" s="157"/>
      <c r="AG4" s="73">
        <f>AF4*(AI4/100)</f>
        <v>0</v>
      </c>
      <c r="AH4" s="74" t="s">
        <v>1744</v>
      </c>
      <c r="AI4" s="75"/>
      <c r="AJ4" s="156"/>
      <c r="AK4" s="156"/>
      <c r="AL4" s="70">
        <f>AK4*(AN4/100)</f>
        <v>0</v>
      </c>
      <c r="AM4" s="71" t="s">
        <v>1744</v>
      </c>
      <c r="AN4" s="72"/>
    </row>
    <row r="5" spans="1:40" ht="15" customHeight="1">
      <c r="A5" s="155"/>
      <c r="B5" s="155"/>
      <c r="C5" s="155"/>
      <c r="D5" s="68">
        <f t="shared" ref="D5:D68" si="0">H5+M5+R5+W5+AB5+AG5+AL5</f>
        <v>0</v>
      </c>
      <c r="E5" s="68">
        <f>人员信息!E27</f>
        <v>21.318000000000001</v>
      </c>
      <c r="F5" s="156"/>
      <c r="G5" s="156"/>
      <c r="H5" s="70">
        <f>G4*(J5/100)</f>
        <v>0</v>
      </c>
      <c r="I5" s="70" t="s">
        <v>1745</v>
      </c>
      <c r="J5" s="72"/>
      <c r="K5" s="157"/>
      <c r="L5" s="157"/>
      <c r="M5" s="73">
        <f>L4*(O5/100)</f>
        <v>0</v>
      </c>
      <c r="N5" s="73" t="s">
        <v>1745</v>
      </c>
      <c r="O5" s="75"/>
      <c r="P5" s="156"/>
      <c r="Q5" s="156"/>
      <c r="R5" s="70">
        <f>Q4*(T5/100)</f>
        <v>0</v>
      </c>
      <c r="S5" s="70" t="s">
        <v>1745</v>
      </c>
      <c r="T5" s="72"/>
      <c r="U5" s="157"/>
      <c r="V5" s="157"/>
      <c r="W5" s="73">
        <f>V4*(Y5/100)</f>
        <v>0</v>
      </c>
      <c r="X5" s="73" t="s">
        <v>1745</v>
      </c>
      <c r="Y5" s="75"/>
      <c r="Z5" s="156"/>
      <c r="AA5" s="156"/>
      <c r="AB5" s="70">
        <f>AA4*(AD5/100)</f>
        <v>0</v>
      </c>
      <c r="AC5" s="70" t="s">
        <v>1745</v>
      </c>
      <c r="AD5" s="72"/>
      <c r="AE5" s="157"/>
      <c r="AF5" s="157"/>
      <c r="AG5" s="73">
        <f>AF4*(AI5/100)</f>
        <v>0</v>
      </c>
      <c r="AH5" s="73" t="s">
        <v>1745</v>
      </c>
      <c r="AI5" s="75"/>
      <c r="AJ5" s="156"/>
      <c r="AK5" s="156"/>
      <c r="AL5" s="70">
        <f>AK4*(AN5/100)</f>
        <v>0</v>
      </c>
      <c r="AM5" s="70" t="s">
        <v>1745</v>
      </c>
      <c r="AN5" s="72"/>
    </row>
    <row r="6" spans="1:40" ht="15" customHeight="1">
      <c r="A6" s="155"/>
      <c r="B6" s="155"/>
      <c r="C6" s="155"/>
      <c r="D6" s="68">
        <f t="shared" si="0"/>
        <v>0</v>
      </c>
      <c r="E6" s="76"/>
      <c r="F6" s="156"/>
      <c r="G6" s="156"/>
      <c r="H6" s="70">
        <f>G4*(J6/100)</f>
        <v>0</v>
      </c>
      <c r="I6" s="70" t="s">
        <v>1746</v>
      </c>
      <c r="J6" s="72"/>
      <c r="K6" s="157"/>
      <c r="L6" s="157"/>
      <c r="M6" s="73">
        <f>L4*(O6/100)</f>
        <v>0</v>
      </c>
      <c r="N6" s="73" t="s">
        <v>1746</v>
      </c>
      <c r="O6" s="75"/>
      <c r="P6" s="156"/>
      <c r="Q6" s="156"/>
      <c r="R6" s="70">
        <f>Q4*(T6/100)</f>
        <v>0</v>
      </c>
      <c r="S6" s="70" t="s">
        <v>1746</v>
      </c>
      <c r="T6" s="72"/>
      <c r="U6" s="157"/>
      <c r="V6" s="157"/>
      <c r="W6" s="73">
        <f>V4*(Y6/100)</f>
        <v>0</v>
      </c>
      <c r="X6" s="73" t="s">
        <v>1746</v>
      </c>
      <c r="Y6" s="75"/>
      <c r="Z6" s="156"/>
      <c r="AA6" s="156"/>
      <c r="AB6" s="70">
        <f>AA4*(AD6/100)</f>
        <v>0</v>
      </c>
      <c r="AC6" s="70" t="s">
        <v>1746</v>
      </c>
      <c r="AD6" s="72"/>
      <c r="AE6" s="157"/>
      <c r="AF6" s="157"/>
      <c r="AG6" s="73">
        <f>AF4*(AI6/100)</f>
        <v>0</v>
      </c>
      <c r="AH6" s="73" t="s">
        <v>1746</v>
      </c>
      <c r="AI6" s="75"/>
      <c r="AJ6" s="156"/>
      <c r="AK6" s="156"/>
      <c r="AL6" s="70">
        <f>AK4*(AN6/100)</f>
        <v>0</v>
      </c>
      <c r="AM6" s="70" t="s">
        <v>1746</v>
      </c>
      <c r="AN6" s="72"/>
    </row>
    <row r="7" spans="1:40" ht="15" customHeight="1">
      <c r="A7" s="155"/>
      <c r="B7" s="155"/>
      <c r="C7" s="158" t="s">
        <v>1793</v>
      </c>
      <c r="D7" s="68">
        <f t="shared" si="0"/>
        <v>0</v>
      </c>
      <c r="E7" s="68">
        <f>人员信息!E26</f>
        <v>40.629600000000003</v>
      </c>
      <c r="F7" s="156"/>
      <c r="G7" s="156"/>
      <c r="H7" s="70">
        <f>G7*(J7/100)</f>
        <v>0</v>
      </c>
      <c r="I7" s="71" t="s">
        <v>1744</v>
      </c>
      <c r="J7" s="72"/>
      <c r="K7" s="157"/>
      <c r="L7" s="157"/>
      <c r="M7" s="73">
        <f>L7*(O7/100)</f>
        <v>0</v>
      </c>
      <c r="N7" s="74" t="s">
        <v>1744</v>
      </c>
      <c r="O7" s="75"/>
      <c r="P7" s="156"/>
      <c r="Q7" s="156"/>
      <c r="R7" s="70">
        <f>Q7*(T7/100)</f>
        <v>0</v>
      </c>
      <c r="S7" s="71" t="s">
        <v>1744</v>
      </c>
      <c r="T7" s="72"/>
      <c r="U7" s="157"/>
      <c r="V7" s="157"/>
      <c r="W7" s="73">
        <f>V7*(Y7/100)</f>
        <v>0</v>
      </c>
      <c r="X7" s="74" t="s">
        <v>1744</v>
      </c>
      <c r="Y7" s="75"/>
      <c r="Z7" s="156"/>
      <c r="AA7" s="156"/>
      <c r="AB7" s="70">
        <f>AA7*(AD7/100)</f>
        <v>0</v>
      </c>
      <c r="AC7" s="71" t="s">
        <v>1744</v>
      </c>
      <c r="AD7" s="72"/>
      <c r="AE7" s="157"/>
      <c r="AF7" s="157"/>
      <c r="AG7" s="73">
        <f>AF7*(AI7/100)</f>
        <v>0</v>
      </c>
      <c r="AH7" s="74" t="s">
        <v>1744</v>
      </c>
      <c r="AI7" s="75"/>
      <c r="AJ7" s="156"/>
      <c r="AK7" s="156"/>
      <c r="AL7" s="70">
        <f>AK7*(AN7/100)</f>
        <v>0</v>
      </c>
      <c r="AM7" s="71" t="s">
        <v>1744</v>
      </c>
      <c r="AN7" s="72"/>
    </row>
    <row r="8" spans="1:40" ht="15" customHeight="1">
      <c r="A8" s="155"/>
      <c r="B8" s="155"/>
      <c r="C8" s="155"/>
      <c r="D8" s="68">
        <f t="shared" si="0"/>
        <v>0</v>
      </c>
      <c r="E8" s="68">
        <f>人员信息!E27</f>
        <v>21.318000000000001</v>
      </c>
      <c r="F8" s="156"/>
      <c r="G8" s="156"/>
      <c r="H8" s="70">
        <f>G7*(J8/100)</f>
        <v>0</v>
      </c>
      <c r="I8" s="70" t="s">
        <v>1745</v>
      </c>
      <c r="J8" s="72"/>
      <c r="K8" s="157"/>
      <c r="L8" s="157"/>
      <c r="M8" s="73">
        <f>L7*(O8/100)</f>
        <v>0</v>
      </c>
      <c r="N8" s="73" t="s">
        <v>1745</v>
      </c>
      <c r="O8" s="75"/>
      <c r="P8" s="156"/>
      <c r="Q8" s="156"/>
      <c r="R8" s="70">
        <f>Q7*(T8/100)</f>
        <v>0</v>
      </c>
      <c r="S8" s="70" t="s">
        <v>1745</v>
      </c>
      <c r="T8" s="72"/>
      <c r="U8" s="157"/>
      <c r="V8" s="157"/>
      <c r="W8" s="73">
        <f>V7*(Y8/100)</f>
        <v>0</v>
      </c>
      <c r="X8" s="73" t="s">
        <v>1745</v>
      </c>
      <c r="Y8" s="75"/>
      <c r="Z8" s="156"/>
      <c r="AA8" s="156"/>
      <c r="AB8" s="70">
        <f>AA7*(AD8/100)</f>
        <v>0</v>
      </c>
      <c r="AC8" s="70" t="s">
        <v>1745</v>
      </c>
      <c r="AD8" s="72"/>
      <c r="AE8" s="157"/>
      <c r="AF8" s="157"/>
      <c r="AG8" s="73">
        <f>AF7*(AI8/100)</f>
        <v>0</v>
      </c>
      <c r="AH8" s="73" t="s">
        <v>1745</v>
      </c>
      <c r="AI8" s="75"/>
      <c r="AJ8" s="156"/>
      <c r="AK8" s="156"/>
      <c r="AL8" s="70">
        <f>AK7*(AN8/100)</f>
        <v>0</v>
      </c>
      <c r="AM8" s="70" t="s">
        <v>1745</v>
      </c>
      <c r="AN8" s="72"/>
    </row>
    <row r="9" spans="1:40" ht="15" customHeight="1">
      <c r="A9" s="155"/>
      <c r="B9" s="155"/>
      <c r="C9" s="155"/>
      <c r="D9" s="68">
        <f t="shared" si="0"/>
        <v>0</v>
      </c>
      <c r="E9" s="76"/>
      <c r="F9" s="156"/>
      <c r="G9" s="156"/>
      <c r="H9" s="70">
        <f>G7*(J9/100)</f>
        <v>0</v>
      </c>
      <c r="I9" s="70" t="s">
        <v>1746</v>
      </c>
      <c r="J9" s="72"/>
      <c r="K9" s="157"/>
      <c r="L9" s="157"/>
      <c r="M9" s="73">
        <f>L7*(O9/100)</f>
        <v>0</v>
      </c>
      <c r="N9" s="73" t="s">
        <v>1746</v>
      </c>
      <c r="O9" s="75"/>
      <c r="P9" s="156"/>
      <c r="Q9" s="156"/>
      <c r="R9" s="70">
        <f>Q7*(T9/100)</f>
        <v>0</v>
      </c>
      <c r="S9" s="70" t="s">
        <v>1746</v>
      </c>
      <c r="T9" s="72"/>
      <c r="U9" s="157"/>
      <c r="V9" s="157"/>
      <c r="W9" s="73">
        <f>V7*(Y9/100)</f>
        <v>0</v>
      </c>
      <c r="X9" s="73" t="s">
        <v>1746</v>
      </c>
      <c r="Y9" s="75"/>
      <c r="Z9" s="156"/>
      <c r="AA9" s="156"/>
      <c r="AB9" s="70">
        <f>AA7*(AD9/100)</f>
        <v>0</v>
      </c>
      <c r="AC9" s="70" t="s">
        <v>1746</v>
      </c>
      <c r="AD9" s="72"/>
      <c r="AE9" s="157"/>
      <c r="AF9" s="157"/>
      <c r="AG9" s="73">
        <f>AF7*(AI9/100)</f>
        <v>0</v>
      </c>
      <c r="AH9" s="73" t="s">
        <v>1746</v>
      </c>
      <c r="AI9" s="75"/>
      <c r="AJ9" s="156"/>
      <c r="AK9" s="156"/>
      <c r="AL9" s="70">
        <f>AK7*(AN9/100)</f>
        <v>0</v>
      </c>
      <c r="AM9" s="70" t="s">
        <v>1746</v>
      </c>
      <c r="AN9" s="72"/>
    </row>
    <row r="10" spans="1:40" ht="15" customHeight="1">
      <c r="A10" s="155"/>
      <c r="B10" s="155"/>
      <c r="C10" s="158" t="s">
        <v>1794</v>
      </c>
      <c r="D10" s="68">
        <f t="shared" si="0"/>
        <v>0</v>
      </c>
      <c r="E10" s="68">
        <f>人员信息!E26</f>
        <v>40.629600000000003</v>
      </c>
      <c r="F10" s="156"/>
      <c r="G10" s="156"/>
      <c r="H10" s="70">
        <f>G10*J10/100</f>
        <v>0</v>
      </c>
      <c r="I10" s="71" t="s">
        <v>1744</v>
      </c>
      <c r="J10" s="72"/>
      <c r="K10" s="157"/>
      <c r="L10" s="157"/>
      <c r="M10" s="73">
        <f>L10*O10/100</f>
        <v>0</v>
      </c>
      <c r="N10" s="74" t="s">
        <v>1744</v>
      </c>
      <c r="O10" s="75"/>
      <c r="P10" s="156"/>
      <c r="Q10" s="156"/>
      <c r="R10" s="70">
        <f>Q10*T10/100</f>
        <v>0</v>
      </c>
      <c r="S10" s="71" t="s">
        <v>1744</v>
      </c>
      <c r="T10" s="72"/>
      <c r="U10" s="157"/>
      <c r="V10" s="157"/>
      <c r="W10" s="73">
        <f>V10*Y10/100</f>
        <v>0</v>
      </c>
      <c r="X10" s="74" t="s">
        <v>1744</v>
      </c>
      <c r="Y10" s="75"/>
      <c r="Z10" s="156"/>
      <c r="AA10" s="156"/>
      <c r="AB10" s="70">
        <f>AA10*AD10/100</f>
        <v>0</v>
      </c>
      <c r="AC10" s="71" t="s">
        <v>1744</v>
      </c>
      <c r="AD10" s="72"/>
      <c r="AE10" s="157"/>
      <c r="AF10" s="157"/>
      <c r="AG10" s="73">
        <f>AF10*AI10/100</f>
        <v>0</v>
      </c>
      <c r="AH10" s="74" t="s">
        <v>1744</v>
      </c>
      <c r="AI10" s="75"/>
      <c r="AJ10" s="156"/>
      <c r="AK10" s="156"/>
      <c r="AL10" s="70">
        <f>AK10*AN10/100</f>
        <v>0</v>
      </c>
      <c r="AM10" s="71" t="s">
        <v>1744</v>
      </c>
      <c r="AN10" s="72"/>
    </row>
    <row r="11" spans="1:40" ht="15" customHeight="1">
      <c r="A11" s="155"/>
      <c r="B11" s="155"/>
      <c r="C11" s="155"/>
      <c r="D11" s="68">
        <f t="shared" si="0"/>
        <v>0</v>
      </c>
      <c r="E11" s="68">
        <f>人员信息!E27</f>
        <v>21.318000000000001</v>
      </c>
      <c r="F11" s="156"/>
      <c r="G11" s="156"/>
      <c r="H11" s="70">
        <f>G10*J11/100</f>
        <v>0</v>
      </c>
      <c r="I11" s="70" t="s">
        <v>1745</v>
      </c>
      <c r="J11" s="72"/>
      <c r="K11" s="157"/>
      <c r="L11" s="157"/>
      <c r="M11" s="73">
        <f>L10*O11/100</f>
        <v>0</v>
      </c>
      <c r="N11" s="73" t="s">
        <v>1745</v>
      </c>
      <c r="O11" s="75"/>
      <c r="P11" s="156"/>
      <c r="Q11" s="156"/>
      <c r="R11" s="70">
        <f>Q10*T11/100</f>
        <v>0</v>
      </c>
      <c r="S11" s="70" t="s">
        <v>1745</v>
      </c>
      <c r="T11" s="72"/>
      <c r="U11" s="157"/>
      <c r="V11" s="157"/>
      <c r="W11" s="73">
        <f>V10*Y11/100</f>
        <v>0</v>
      </c>
      <c r="X11" s="73" t="s">
        <v>1745</v>
      </c>
      <c r="Y11" s="75"/>
      <c r="Z11" s="156"/>
      <c r="AA11" s="156"/>
      <c r="AB11" s="70">
        <f>AA10*AD11/100</f>
        <v>0</v>
      </c>
      <c r="AC11" s="70" t="s">
        <v>1745</v>
      </c>
      <c r="AD11" s="72"/>
      <c r="AE11" s="157"/>
      <c r="AF11" s="157"/>
      <c r="AG11" s="73">
        <f>AF10*AI11/100</f>
        <v>0</v>
      </c>
      <c r="AH11" s="73" t="s">
        <v>1745</v>
      </c>
      <c r="AI11" s="75"/>
      <c r="AJ11" s="156"/>
      <c r="AK11" s="156"/>
      <c r="AL11" s="70">
        <f>AK10*AN11/100</f>
        <v>0</v>
      </c>
      <c r="AM11" s="70" t="s">
        <v>1745</v>
      </c>
      <c r="AN11" s="72"/>
    </row>
    <row r="12" spans="1:40" ht="15" customHeight="1">
      <c r="A12" s="155"/>
      <c r="B12" s="155"/>
      <c r="C12" s="155"/>
      <c r="D12" s="68">
        <f t="shared" si="0"/>
        <v>0</v>
      </c>
      <c r="E12" s="76"/>
      <c r="F12" s="156"/>
      <c r="G12" s="156"/>
      <c r="H12" s="70">
        <f>G10*J12/100</f>
        <v>0</v>
      </c>
      <c r="I12" s="70" t="s">
        <v>1746</v>
      </c>
      <c r="J12" s="72"/>
      <c r="K12" s="157"/>
      <c r="L12" s="157"/>
      <c r="M12" s="73">
        <f>L10*O12/100</f>
        <v>0</v>
      </c>
      <c r="N12" s="73" t="s">
        <v>1746</v>
      </c>
      <c r="O12" s="75"/>
      <c r="P12" s="156"/>
      <c r="Q12" s="156"/>
      <c r="R12" s="70">
        <f>Q10*T12/100</f>
        <v>0</v>
      </c>
      <c r="S12" s="70" t="s">
        <v>1746</v>
      </c>
      <c r="T12" s="72"/>
      <c r="U12" s="157"/>
      <c r="V12" s="157"/>
      <c r="W12" s="73">
        <f>V10*Y12/100</f>
        <v>0</v>
      </c>
      <c r="X12" s="73" t="s">
        <v>1746</v>
      </c>
      <c r="Y12" s="75"/>
      <c r="Z12" s="156"/>
      <c r="AA12" s="156"/>
      <c r="AB12" s="70">
        <f>AA10*AD12/100</f>
        <v>0</v>
      </c>
      <c r="AC12" s="70" t="s">
        <v>1746</v>
      </c>
      <c r="AD12" s="72"/>
      <c r="AE12" s="157"/>
      <c r="AF12" s="157"/>
      <c r="AG12" s="73">
        <f>AF10*AI12/100</f>
        <v>0</v>
      </c>
      <c r="AH12" s="73" t="s">
        <v>1746</v>
      </c>
      <c r="AI12" s="75"/>
      <c r="AJ12" s="156"/>
      <c r="AK12" s="156"/>
      <c r="AL12" s="70">
        <f>AK10*AN12/100</f>
        <v>0</v>
      </c>
      <c r="AM12" s="70" t="s">
        <v>1746</v>
      </c>
      <c r="AN12" s="72"/>
    </row>
    <row r="13" spans="1:40" ht="15" customHeight="1">
      <c r="A13" s="155"/>
      <c r="B13" s="155"/>
      <c r="C13" s="158" t="s">
        <v>1795</v>
      </c>
      <c r="D13" s="68">
        <f t="shared" si="0"/>
        <v>0</v>
      </c>
      <c r="E13" s="68">
        <f>人员信息!E26</f>
        <v>40.629600000000003</v>
      </c>
      <c r="F13" s="156"/>
      <c r="G13" s="156"/>
      <c r="H13" s="70">
        <f>G13*J13/100</f>
        <v>0</v>
      </c>
      <c r="I13" s="71" t="s">
        <v>1744</v>
      </c>
      <c r="J13" s="72"/>
      <c r="K13" s="157"/>
      <c r="L13" s="157"/>
      <c r="M13" s="73">
        <f>L13*O13/100</f>
        <v>0</v>
      </c>
      <c r="N13" s="74" t="s">
        <v>1744</v>
      </c>
      <c r="O13" s="75"/>
      <c r="P13" s="156"/>
      <c r="Q13" s="156"/>
      <c r="R13" s="70">
        <f>Q13*T13/100</f>
        <v>0</v>
      </c>
      <c r="S13" s="71" t="s">
        <v>1744</v>
      </c>
      <c r="T13" s="72"/>
      <c r="U13" s="157"/>
      <c r="V13" s="157"/>
      <c r="W13" s="73">
        <f>V13*Y13/100</f>
        <v>0</v>
      </c>
      <c r="X13" s="74" t="s">
        <v>1744</v>
      </c>
      <c r="Y13" s="75"/>
      <c r="Z13" s="156"/>
      <c r="AA13" s="156"/>
      <c r="AB13" s="70">
        <f>AA13*AD13/100</f>
        <v>0</v>
      </c>
      <c r="AC13" s="71" t="s">
        <v>1744</v>
      </c>
      <c r="AD13" s="72"/>
      <c r="AE13" s="157"/>
      <c r="AF13" s="157"/>
      <c r="AG13" s="73">
        <f>AF13*AI13/100</f>
        <v>0</v>
      </c>
      <c r="AH13" s="74" t="s">
        <v>1744</v>
      </c>
      <c r="AI13" s="75"/>
      <c r="AJ13" s="156"/>
      <c r="AK13" s="156"/>
      <c r="AL13" s="70">
        <f>AK13*AN13/100</f>
        <v>0</v>
      </c>
      <c r="AM13" s="71" t="s">
        <v>1744</v>
      </c>
      <c r="AN13" s="72"/>
    </row>
    <row r="14" spans="1:40" ht="15" customHeight="1">
      <c r="A14" s="155"/>
      <c r="B14" s="155"/>
      <c r="C14" s="155"/>
      <c r="D14" s="68">
        <f t="shared" si="0"/>
        <v>0</v>
      </c>
      <c r="E14" s="68">
        <f>人员信息!E27</f>
        <v>21.318000000000001</v>
      </c>
      <c r="F14" s="156"/>
      <c r="G14" s="156"/>
      <c r="H14" s="70">
        <f>G13*J14/100</f>
        <v>0</v>
      </c>
      <c r="I14" s="70" t="s">
        <v>1745</v>
      </c>
      <c r="J14" s="72"/>
      <c r="K14" s="157"/>
      <c r="L14" s="157"/>
      <c r="M14" s="73">
        <f>L13*O14/100</f>
        <v>0</v>
      </c>
      <c r="N14" s="73" t="s">
        <v>1745</v>
      </c>
      <c r="O14" s="75"/>
      <c r="P14" s="156"/>
      <c r="Q14" s="156"/>
      <c r="R14" s="70">
        <f>Q13*T14/100</f>
        <v>0</v>
      </c>
      <c r="S14" s="70" t="s">
        <v>1745</v>
      </c>
      <c r="T14" s="72"/>
      <c r="U14" s="157"/>
      <c r="V14" s="157"/>
      <c r="W14" s="73">
        <f>V13*Y14/100</f>
        <v>0</v>
      </c>
      <c r="X14" s="73" t="s">
        <v>1745</v>
      </c>
      <c r="Y14" s="75"/>
      <c r="Z14" s="156"/>
      <c r="AA14" s="156"/>
      <c r="AB14" s="70">
        <f>AA13*AD14/100</f>
        <v>0</v>
      </c>
      <c r="AC14" s="70" t="s">
        <v>1745</v>
      </c>
      <c r="AD14" s="72"/>
      <c r="AE14" s="157"/>
      <c r="AF14" s="157"/>
      <c r="AG14" s="73">
        <f>AF13*AI14/100</f>
        <v>0</v>
      </c>
      <c r="AH14" s="73" t="s">
        <v>1745</v>
      </c>
      <c r="AI14" s="75"/>
      <c r="AJ14" s="156"/>
      <c r="AK14" s="156"/>
      <c r="AL14" s="70">
        <f>AK13*AN14/100</f>
        <v>0</v>
      </c>
      <c r="AM14" s="70" t="s">
        <v>1745</v>
      </c>
      <c r="AN14" s="72"/>
    </row>
    <row r="15" spans="1:40" ht="15" customHeight="1">
      <c r="A15" s="155"/>
      <c r="B15" s="155"/>
      <c r="C15" s="155"/>
      <c r="D15" s="68">
        <f t="shared" si="0"/>
        <v>0</v>
      </c>
      <c r="E15" s="76"/>
      <c r="F15" s="156"/>
      <c r="G15" s="156"/>
      <c r="H15" s="70">
        <f>G13*J15/100</f>
        <v>0</v>
      </c>
      <c r="I15" s="70" t="s">
        <v>1746</v>
      </c>
      <c r="J15" s="72"/>
      <c r="K15" s="157"/>
      <c r="L15" s="157"/>
      <c r="M15" s="73">
        <f>L13*O15/100</f>
        <v>0</v>
      </c>
      <c r="N15" s="73" t="s">
        <v>1746</v>
      </c>
      <c r="O15" s="75"/>
      <c r="P15" s="156"/>
      <c r="Q15" s="156"/>
      <c r="R15" s="70">
        <f>Q13*T15/100</f>
        <v>0</v>
      </c>
      <c r="S15" s="70" t="s">
        <v>1746</v>
      </c>
      <c r="T15" s="72"/>
      <c r="U15" s="157"/>
      <c r="V15" s="157"/>
      <c r="W15" s="73">
        <f>V13*Y15/100</f>
        <v>0</v>
      </c>
      <c r="X15" s="73" t="s">
        <v>1746</v>
      </c>
      <c r="Y15" s="75"/>
      <c r="Z15" s="156"/>
      <c r="AA15" s="156"/>
      <c r="AB15" s="70">
        <f>AA13*AD15/100</f>
        <v>0</v>
      </c>
      <c r="AC15" s="70" t="s">
        <v>1746</v>
      </c>
      <c r="AD15" s="72"/>
      <c r="AE15" s="157"/>
      <c r="AF15" s="157"/>
      <c r="AG15" s="73">
        <f>AF13*AI15/100</f>
        <v>0</v>
      </c>
      <c r="AH15" s="73" t="s">
        <v>1746</v>
      </c>
      <c r="AI15" s="75"/>
      <c r="AJ15" s="156"/>
      <c r="AK15" s="156"/>
      <c r="AL15" s="70">
        <f>AK13*AN15/100</f>
        <v>0</v>
      </c>
      <c r="AM15" s="70" t="s">
        <v>1746</v>
      </c>
      <c r="AN15" s="72"/>
    </row>
    <row r="16" spans="1:40" ht="15" customHeight="1">
      <c r="A16" s="155"/>
      <c r="B16" s="155"/>
      <c r="C16" s="158" t="s">
        <v>1796</v>
      </c>
      <c r="D16" s="68">
        <f t="shared" si="0"/>
        <v>0</v>
      </c>
      <c r="E16" s="68">
        <f>人员信息!E26</f>
        <v>40.629600000000003</v>
      </c>
      <c r="F16" s="156"/>
      <c r="G16" s="156"/>
      <c r="H16" s="70">
        <f>G16*J16/100</f>
        <v>0</v>
      </c>
      <c r="I16" s="71" t="s">
        <v>1744</v>
      </c>
      <c r="J16" s="72"/>
      <c r="K16" s="157"/>
      <c r="L16" s="157"/>
      <c r="M16" s="73">
        <f>L16*O16/100</f>
        <v>0</v>
      </c>
      <c r="N16" s="74" t="s">
        <v>1744</v>
      </c>
      <c r="O16" s="75"/>
      <c r="P16" s="156"/>
      <c r="Q16" s="156"/>
      <c r="R16" s="70">
        <f>Q16*T16/100</f>
        <v>0</v>
      </c>
      <c r="S16" s="71" t="s">
        <v>1744</v>
      </c>
      <c r="T16" s="72"/>
      <c r="U16" s="157"/>
      <c r="V16" s="157"/>
      <c r="W16" s="73">
        <f>V16*Y16/100</f>
        <v>0</v>
      </c>
      <c r="X16" s="74" t="s">
        <v>1744</v>
      </c>
      <c r="Y16" s="75"/>
      <c r="Z16" s="156"/>
      <c r="AA16" s="156"/>
      <c r="AB16" s="70">
        <f>AA16*AD16/100</f>
        <v>0</v>
      </c>
      <c r="AC16" s="71" t="s">
        <v>1744</v>
      </c>
      <c r="AD16" s="72"/>
      <c r="AE16" s="157"/>
      <c r="AF16" s="157"/>
      <c r="AG16" s="73">
        <f>AF16*AI16/100</f>
        <v>0</v>
      </c>
      <c r="AH16" s="74" t="s">
        <v>1744</v>
      </c>
      <c r="AI16" s="75"/>
      <c r="AJ16" s="156"/>
      <c r="AK16" s="156"/>
      <c r="AL16" s="70">
        <f>AK16*AN16/100</f>
        <v>0</v>
      </c>
      <c r="AM16" s="71" t="s">
        <v>1744</v>
      </c>
      <c r="AN16" s="72"/>
    </row>
    <row r="17" spans="1:40" ht="15" customHeight="1">
      <c r="A17" s="155"/>
      <c r="B17" s="155"/>
      <c r="C17" s="155"/>
      <c r="D17" s="68">
        <f t="shared" si="0"/>
        <v>0</v>
      </c>
      <c r="E17" s="68">
        <f>人员信息!E27</f>
        <v>21.318000000000001</v>
      </c>
      <c r="F17" s="156"/>
      <c r="G17" s="156"/>
      <c r="H17" s="70">
        <f>G16*J17/100</f>
        <v>0</v>
      </c>
      <c r="I17" s="70" t="s">
        <v>1745</v>
      </c>
      <c r="J17" s="72"/>
      <c r="K17" s="157"/>
      <c r="L17" s="157"/>
      <c r="M17" s="73">
        <f>L16*O17/100</f>
        <v>0</v>
      </c>
      <c r="N17" s="73" t="s">
        <v>1745</v>
      </c>
      <c r="O17" s="75"/>
      <c r="P17" s="156"/>
      <c r="Q17" s="156"/>
      <c r="R17" s="70">
        <f>Q16*T17/100</f>
        <v>0</v>
      </c>
      <c r="S17" s="70" t="s">
        <v>1745</v>
      </c>
      <c r="T17" s="72"/>
      <c r="U17" s="157"/>
      <c r="V17" s="157"/>
      <c r="W17" s="73">
        <f>V16*Y17/100</f>
        <v>0</v>
      </c>
      <c r="X17" s="73" t="s">
        <v>1745</v>
      </c>
      <c r="Y17" s="75"/>
      <c r="Z17" s="156"/>
      <c r="AA17" s="156"/>
      <c r="AB17" s="70">
        <f>AA16*AD17/100</f>
        <v>0</v>
      </c>
      <c r="AC17" s="70" t="s">
        <v>1745</v>
      </c>
      <c r="AD17" s="72"/>
      <c r="AE17" s="157"/>
      <c r="AF17" s="157"/>
      <c r="AG17" s="73">
        <f>AF16*AI17/100</f>
        <v>0</v>
      </c>
      <c r="AH17" s="73" t="s">
        <v>1745</v>
      </c>
      <c r="AI17" s="75"/>
      <c r="AJ17" s="156"/>
      <c r="AK17" s="156"/>
      <c r="AL17" s="70">
        <f>AK16*AN17/100</f>
        <v>0</v>
      </c>
      <c r="AM17" s="70" t="s">
        <v>1745</v>
      </c>
      <c r="AN17" s="72"/>
    </row>
    <row r="18" spans="1:40" ht="15" customHeight="1">
      <c r="A18" s="155"/>
      <c r="B18" s="155"/>
      <c r="C18" s="155"/>
      <c r="D18" s="68">
        <f t="shared" si="0"/>
        <v>0</v>
      </c>
      <c r="E18" s="76"/>
      <c r="F18" s="156"/>
      <c r="G18" s="156"/>
      <c r="H18" s="70">
        <f>G16*J18/100</f>
        <v>0</v>
      </c>
      <c r="I18" s="70" t="s">
        <v>1746</v>
      </c>
      <c r="J18" s="72"/>
      <c r="K18" s="157"/>
      <c r="L18" s="157"/>
      <c r="M18" s="73">
        <f>L16*O18/100</f>
        <v>0</v>
      </c>
      <c r="N18" s="73" t="s">
        <v>1746</v>
      </c>
      <c r="O18" s="75"/>
      <c r="P18" s="156"/>
      <c r="Q18" s="156"/>
      <c r="R18" s="70">
        <f>Q16*T18/100</f>
        <v>0</v>
      </c>
      <c r="S18" s="70" t="s">
        <v>1746</v>
      </c>
      <c r="T18" s="72"/>
      <c r="U18" s="157"/>
      <c r="V18" s="157"/>
      <c r="W18" s="73">
        <f>V16*Y18/100</f>
        <v>0</v>
      </c>
      <c r="X18" s="73" t="s">
        <v>1746</v>
      </c>
      <c r="Y18" s="75"/>
      <c r="Z18" s="156"/>
      <c r="AA18" s="156"/>
      <c r="AB18" s="70">
        <f>AA16*AD18/100</f>
        <v>0</v>
      </c>
      <c r="AC18" s="70" t="s">
        <v>1746</v>
      </c>
      <c r="AD18" s="72"/>
      <c r="AE18" s="157"/>
      <c r="AF18" s="157"/>
      <c r="AG18" s="73">
        <f>AF16*AI18/100</f>
        <v>0</v>
      </c>
      <c r="AH18" s="73" t="s">
        <v>1746</v>
      </c>
      <c r="AI18" s="75"/>
      <c r="AJ18" s="156"/>
      <c r="AK18" s="156"/>
      <c r="AL18" s="70">
        <f>AK16*AN18/100</f>
        <v>0</v>
      </c>
      <c r="AM18" s="70" t="s">
        <v>1746</v>
      </c>
      <c r="AN18" s="72"/>
    </row>
    <row r="19" spans="1:40" ht="15" customHeight="1">
      <c r="A19" s="155"/>
      <c r="B19" s="155"/>
      <c r="C19" s="158" t="s">
        <v>1797</v>
      </c>
      <c r="D19" s="68">
        <f t="shared" si="0"/>
        <v>0</v>
      </c>
      <c r="E19" s="68">
        <f>人员信息!E26</f>
        <v>40.629600000000003</v>
      </c>
      <c r="F19" s="156"/>
      <c r="G19" s="156"/>
      <c r="H19" s="70">
        <f>G19*J19/100</f>
        <v>0</v>
      </c>
      <c r="I19" s="71" t="s">
        <v>1744</v>
      </c>
      <c r="J19" s="72"/>
      <c r="K19" s="157"/>
      <c r="L19" s="157"/>
      <c r="M19" s="73">
        <f>L19*O19/100</f>
        <v>0</v>
      </c>
      <c r="N19" s="74" t="s">
        <v>1744</v>
      </c>
      <c r="O19" s="75"/>
      <c r="P19" s="156"/>
      <c r="Q19" s="156"/>
      <c r="R19" s="70">
        <f>Q19*T19/100</f>
        <v>0</v>
      </c>
      <c r="S19" s="71" t="s">
        <v>1744</v>
      </c>
      <c r="T19" s="72"/>
      <c r="U19" s="157"/>
      <c r="V19" s="157"/>
      <c r="W19" s="73">
        <f>V19*Y19/100</f>
        <v>0</v>
      </c>
      <c r="X19" s="74" t="s">
        <v>1744</v>
      </c>
      <c r="Y19" s="75"/>
      <c r="Z19" s="156"/>
      <c r="AA19" s="156"/>
      <c r="AB19" s="70">
        <f>AA19*AD19/100</f>
        <v>0</v>
      </c>
      <c r="AC19" s="71" t="s">
        <v>1744</v>
      </c>
      <c r="AD19" s="72"/>
      <c r="AE19" s="157"/>
      <c r="AF19" s="157"/>
      <c r="AG19" s="73">
        <f>AF19*AI19/100</f>
        <v>0</v>
      </c>
      <c r="AH19" s="74" t="s">
        <v>1744</v>
      </c>
      <c r="AI19" s="75"/>
      <c r="AJ19" s="156"/>
      <c r="AK19" s="156"/>
      <c r="AL19" s="70">
        <f>AK19*AN19/100</f>
        <v>0</v>
      </c>
      <c r="AM19" s="71" t="s">
        <v>1744</v>
      </c>
      <c r="AN19" s="72"/>
    </row>
    <row r="20" spans="1:40" ht="15" customHeight="1">
      <c r="A20" s="155"/>
      <c r="B20" s="155"/>
      <c r="C20" s="155"/>
      <c r="D20" s="68">
        <f t="shared" si="0"/>
        <v>0</v>
      </c>
      <c r="E20" s="68">
        <f>人员信息!E27</f>
        <v>21.318000000000001</v>
      </c>
      <c r="F20" s="156"/>
      <c r="G20" s="156"/>
      <c r="H20" s="70">
        <f>G19*J20/100</f>
        <v>0</v>
      </c>
      <c r="I20" s="70" t="s">
        <v>1745</v>
      </c>
      <c r="J20" s="72"/>
      <c r="K20" s="157"/>
      <c r="L20" s="157"/>
      <c r="M20" s="73">
        <f>L19*O20/100</f>
        <v>0</v>
      </c>
      <c r="N20" s="73" t="s">
        <v>1745</v>
      </c>
      <c r="O20" s="75"/>
      <c r="P20" s="156"/>
      <c r="Q20" s="156"/>
      <c r="R20" s="70">
        <f>Q19*T20/100</f>
        <v>0</v>
      </c>
      <c r="S20" s="70" t="s">
        <v>1745</v>
      </c>
      <c r="T20" s="72"/>
      <c r="U20" s="157"/>
      <c r="V20" s="157"/>
      <c r="W20" s="73">
        <f>V19*Y20/100</f>
        <v>0</v>
      </c>
      <c r="X20" s="73" t="s">
        <v>1745</v>
      </c>
      <c r="Y20" s="75"/>
      <c r="Z20" s="156"/>
      <c r="AA20" s="156"/>
      <c r="AB20" s="70">
        <f>AA19*AD20/100</f>
        <v>0</v>
      </c>
      <c r="AC20" s="70" t="s">
        <v>1745</v>
      </c>
      <c r="AD20" s="72"/>
      <c r="AE20" s="157"/>
      <c r="AF20" s="157"/>
      <c r="AG20" s="73">
        <f>AF19*AI20/100</f>
        <v>0</v>
      </c>
      <c r="AH20" s="73" t="s">
        <v>1745</v>
      </c>
      <c r="AI20" s="75"/>
      <c r="AJ20" s="156"/>
      <c r="AK20" s="156"/>
      <c r="AL20" s="70">
        <f>AK19*AN20/100</f>
        <v>0</v>
      </c>
      <c r="AM20" s="70" t="s">
        <v>1745</v>
      </c>
      <c r="AN20" s="72"/>
    </row>
    <row r="21" spans="1:40" ht="15" customHeight="1">
      <c r="A21" s="155"/>
      <c r="B21" s="155"/>
      <c r="C21" s="155"/>
      <c r="D21" s="68">
        <f t="shared" si="0"/>
        <v>0</v>
      </c>
      <c r="E21" s="76"/>
      <c r="F21" s="156"/>
      <c r="G21" s="156"/>
      <c r="H21" s="70">
        <f>G19*J21/100</f>
        <v>0</v>
      </c>
      <c r="I21" s="70" t="s">
        <v>1746</v>
      </c>
      <c r="J21" s="72"/>
      <c r="K21" s="157"/>
      <c r="L21" s="157"/>
      <c r="M21" s="73">
        <f>L19*O21/100</f>
        <v>0</v>
      </c>
      <c r="N21" s="73" t="s">
        <v>1746</v>
      </c>
      <c r="O21" s="75"/>
      <c r="P21" s="156"/>
      <c r="Q21" s="156"/>
      <c r="R21" s="70">
        <f>Q19*T21/100</f>
        <v>0</v>
      </c>
      <c r="S21" s="70" t="s">
        <v>1746</v>
      </c>
      <c r="T21" s="72"/>
      <c r="U21" s="157"/>
      <c r="V21" s="157"/>
      <c r="W21" s="73">
        <f>V19*Y21/100</f>
        <v>0</v>
      </c>
      <c r="X21" s="73" t="s">
        <v>1746</v>
      </c>
      <c r="Y21" s="75"/>
      <c r="Z21" s="156"/>
      <c r="AA21" s="156"/>
      <c r="AB21" s="70">
        <f>AA19*AD21/100</f>
        <v>0</v>
      </c>
      <c r="AC21" s="70" t="s">
        <v>1746</v>
      </c>
      <c r="AD21" s="72"/>
      <c r="AE21" s="157"/>
      <c r="AF21" s="157"/>
      <c r="AG21" s="73">
        <f>AF19*AI21/100</f>
        <v>0</v>
      </c>
      <c r="AH21" s="73" t="s">
        <v>1746</v>
      </c>
      <c r="AI21" s="75"/>
      <c r="AJ21" s="156"/>
      <c r="AK21" s="156"/>
      <c r="AL21" s="70">
        <f>AK19*AN21/100</f>
        <v>0</v>
      </c>
      <c r="AM21" s="70" t="s">
        <v>1746</v>
      </c>
      <c r="AN21" s="72"/>
    </row>
    <row r="22" spans="1:40" ht="15" customHeight="1">
      <c r="A22" s="155"/>
      <c r="B22" s="155"/>
      <c r="C22" s="158" t="s">
        <v>1798</v>
      </c>
      <c r="D22" s="68">
        <f t="shared" si="0"/>
        <v>0</v>
      </c>
      <c r="E22" s="68">
        <f>人员信息!E26</f>
        <v>40.629600000000003</v>
      </c>
      <c r="F22" s="156"/>
      <c r="G22" s="156"/>
      <c r="H22" s="70">
        <f>G22*J22/100</f>
        <v>0</v>
      </c>
      <c r="I22" s="71" t="s">
        <v>1744</v>
      </c>
      <c r="J22" s="72"/>
      <c r="K22" s="157"/>
      <c r="L22" s="157"/>
      <c r="M22" s="73">
        <f>L22*O22/100</f>
        <v>0</v>
      </c>
      <c r="N22" s="74" t="s">
        <v>1744</v>
      </c>
      <c r="O22" s="75"/>
      <c r="P22" s="156"/>
      <c r="Q22" s="156"/>
      <c r="R22" s="70">
        <f>Q22*T22/100</f>
        <v>0</v>
      </c>
      <c r="S22" s="71" t="s">
        <v>1744</v>
      </c>
      <c r="T22" s="72"/>
      <c r="U22" s="157"/>
      <c r="V22" s="157"/>
      <c r="W22" s="73">
        <f>V22*Y22/100</f>
        <v>0</v>
      </c>
      <c r="X22" s="74" t="s">
        <v>1744</v>
      </c>
      <c r="Y22" s="75"/>
      <c r="Z22" s="156"/>
      <c r="AA22" s="156"/>
      <c r="AB22" s="70">
        <f>AA22*AD22/100</f>
        <v>0</v>
      </c>
      <c r="AC22" s="71" t="s">
        <v>1744</v>
      </c>
      <c r="AD22" s="72"/>
      <c r="AE22" s="157"/>
      <c r="AF22" s="157"/>
      <c r="AG22" s="73">
        <f>AF22*AI22/100</f>
        <v>0</v>
      </c>
      <c r="AH22" s="74" t="s">
        <v>1744</v>
      </c>
      <c r="AI22" s="75"/>
      <c r="AJ22" s="156"/>
      <c r="AK22" s="156"/>
      <c r="AL22" s="70">
        <f>AK22*AN22/100</f>
        <v>0</v>
      </c>
      <c r="AM22" s="71" t="s">
        <v>1744</v>
      </c>
      <c r="AN22" s="72"/>
    </row>
    <row r="23" spans="1:40" ht="15" customHeight="1">
      <c r="A23" s="155"/>
      <c r="B23" s="155"/>
      <c r="C23" s="155"/>
      <c r="D23" s="68">
        <f t="shared" si="0"/>
        <v>0</v>
      </c>
      <c r="E23" s="68">
        <f>人员信息!E27</f>
        <v>21.318000000000001</v>
      </c>
      <c r="F23" s="156"/>
      <c r="G23" s="156"/>
      <c r="H23" s="70">
        <f>G22*J23/100</f>
        <v>0</v>
      </c>
      <c r="I23" s="70" t="s">
        <v>1745</v>
      </c>
      <c r="J23" s="72"/>
      <c r="K23" s="157"/>
      <c r="L23" s="157"/>
      <c r="M23" s="73">
        <f>L22*O23/100</f>
        <v>0</v>
      </c>
      <c r="N23" s="73" t="s">
        <v>1745</v>
      </c>
      <c r="O23" s="75"/>
      <c r="P23" s="156"/>
      <c r="Q23" s="156"/>
      <c r="R23" s="70">
        <f>Q22*T23/100</f>
        <v>0</v>
      </c>
      <c r="S23" s="70" t="s">
        <v>1745</v>
      </c>
      <c r="T23" s="72"/>
      <c r="U23" s="157"/>
      <c r="V23" s="157"/>
      <c r="W23" s="73">
        <f>V22*Y23/100</f>
        <v>0</v>
      </c>
      <c r="X23" s="73" t="s">
        <v>1745</v>
      </c>
      <c r="Y23" s="75"/>
      <c r="Z23" s="156"/>
      <c r="AA23" s="156"/>
      <c r="AB23" s="70">
        <f>AA22*AD23/100</f>
        <v>0</v>
      </c>
      <c r="AC23" s="70" t="s">
        <v>1745</v>
      </c>
      <c r="AD23" s="72"/>
      <c r="AE23" s="157"/>
      <c r="AF23" s="157"/>
      <c r="AG23" s="73">
        <f>AF22*AI23/100</f>
        <v>0</v>
      </c>
      <c r="AH23" s="73" t="s">
        <v>1745</v>
      </c>
      <c r="AI23" s="75"/>
      <c r="AJ23" s="156"/>
      <c r="AK23" s="156"/>
      <c r="AL23" s="70">
        <f>AK22*AN23/100</f>
        <v>0</v>
      </c>
      <c r="AM23" s="70" t="s">
        <v>1745</v>
      </c>
      <c r="AN23" s="72"/>
    </row>
    <row r="24" spans="1:40" ht="15" customHeight="1">
      <c r="A24" s="155"/>
      <c r="B24" s="155"/>
      <c r="C24" s="155"/>
      <c r="D24" s="68">
        <f t="shared" si="0"/>
        <v>0</v>
      </c>
      <c r="E24" s="76"/>
      <c r="F24" s="156"/>
      <c r="G24" s="156"/>
      <c r="H24" s="70">
        <f>G22*J24/100</f>
        <v>0</v>
      </c>
      <c r="I24" s="70" t="s">
        <v>1746</v>
      </c>
      <c r="J24" s="72"/>
      <c r="K24" s="157"/>
      <c r="L24" s="157"/>
      <c r="M24" s="73">
        <f>L22*O24/100</f>
        <v>0</v>
      </c>
      <c r="N24" s="73" t="s">
        <v>1746</v>
      </c>
      <c r="O24" s="75"/>
      <c r="P24" s="156"/>
      <c r="Q24" s="156"/>
      <c r="R24" s="70">
        <f>Q22*T24/100</f>
        <v>0</v>
      </c>
      <c r="S24" s="70" t="s">
        <v>1746</v>
      </c>
      <c r="T24" s="72"/>
      <c r="U24" s="157"/>
      <c r="V24" s="157"/>
      <c r="W24" s="73">
        <f>V22*Y24/100</f>
        <v>0</v>
      </c>
      <c r="X24" s="73" t="s">
        <v>1746</v>
      </c>
      <c r="Y24" s="75"/>
      <c r="Z24" s="156"/>
      <c r="AA24" s="156"/>
      <c r="AB24" s="70">
        <f>AA22*AD24/100</f>
        <v>0</v>
      </c>
      <c r="AC24" s="70" t="s">
        <v>1746</v>
      </c>
      <c r="AD24" s="72"/>
      <c r="AE24" s="157"/>
      <c r="AF24" s="157"/>
      <c r="AG24" s="73">
        <f>AF22*AI24/100</f>
        <v>0</v>
      </c>
      <c r="AH24" s="73" t="s">
        <v>1746</v>
      </c>
      <c r="AI24" s="75"/>
      <c r="AJ24" s="156"/>
      <c r="AK24" s="156"/>
      <c r="AL24" s="70">
        <f>AK22*AN24/100</f>
        <v>0</v>
      </c>
      <c r="AM24" s="70" t="s">
        <v>1746</v>
      </c>
      <c r="AN24" s="72"/>
    </row>
    <row r="25" spans="1:40" ht="15" customHeight="1">
      <c r="A25" s="155" t="s">
        <v>1758</v>
      </c>
      <c r="B25" s="155" t="s">
        <v>1761</v>
      </c>
      <c r="C25" s="158" t="s">
        <v>1799</v>
      </c>
      <c r="D25" s="68">
        <f t="shared" si="0"/>
        <v>0</v>
      </c>
      <c r="E25" s="68">
        <f>人员信息!F26</f>
        <v>40.629600000000003</v>
      </c>
      <c r="F25" s="180"/>
      <c r="G25" s="180"/>
      <c r="H25" s="70">
        <f>G25*(J25/100)</f>
        <v>0</v>
      </c>
      <c r="I25" s="71" t="s">
        <v>1752</v>
      </c>
      <c r="J25" s="72"/>
      <c r="K25" s="177"/>
      <c r="L25" s="177"/>
      <c r="M25" s="73">
        <f>L25*(O25/100)</f>
        <v>0</v>
      </c>
      <c r="N25" s="74" t="s">
        <v>1744</v>
      </c>
      <c r="O25" s="75"/>
      <c r="P25" s="180"/>
      <c r="Q25" s="180"/>
      <c r="R25" s="70">
        <f>Q25*(T25/100)</f>
        <v>0</v>
      </c>
      <c r="S25" s="71" t="s">
        <v>1744</v>
      </c>
      <c r="T25" s="72"/>
      <c r="U25" s="177"/>
      <c r="V25" s="177"/>
      <c r="W25" s="73">
        <f>V25*(Y25/100)</f>
        <v>0</v>
      </c>
      <c r="X25" s="74" t="s">
        <v>1744</v>
      </c>
      <c r="Y25" s="75"/>
      <c r="Z25" s="180"/>
      <c r="AA25" s="180"/>
      <c r="AB25" s="70">
        <f>AA25*(AD25/100)</f>
        <v>0</v>
      </c>
      <c r="AC25" s="71" t="s">
        <v>1752</v>
      </c>
      <c r="AD25" s="72"/>
      <c r="AE25" s="177"/>
      <c r="AF25" s="177"/>
      <c r="AG25" s="73">
        <f>AF25*(AI25/100)</f>
        <v>0</v>
      </c>
      <c r="AH25" s="74" t="s">
        <v>1744</v>
      </c>
      <c r="AI25" s="75"/>
      <c r="AJ25" s="180"/>
      <c r="AK25" s="180"/>
      <c r="AL25" s="70">
        <f>AK25*(AN25/100)</f>
        <v>0</v>
      </c>
      <c r="AM25" s="71" t="s">
        <v>1744</v>
      </c>
      <c r="AN25" s="72"/>
    </row>
    <row r="26" spans="1:40" ht="15" customHeight="1">
      <c r="A26" s="155"/>
      <c r="B26" s="155"/>
      <c r="C26" s="155"/>
      <c r="D26" s="68">
        <f t="shared" si="0"/>
        <v>0</v>
      </c>
      <c r="E26" s="68">
        <f>人员信息!F27</f>
        <v>21.318000000000001</v>
      </c>
      <c r="F26" s="181"/>
      <c r="G26" s="181"/>
      <c r="H26" s="70">
        <f>G25*(J26/100)</f>
        <v>0</v>
      </c>
      <c r="I26" s="70" t="s">
        <v>1745</v>
      </c>
      <c r="J26" s="72"/>
      <c r="K26" s="178"/>
      <c r="L26" s="178"/>
      <c r="M26" s="73">
        <f>L25*(O26/100)</f>
        <v>0</v>
      </c>
      <c r="N26" s="73" t="s">
        <v>1745</v>
      </c>
      <c r="O26" s="75"/>
      <c r="P26" s="181"/>
      <c r="Q26" s="181"/>
      <c r="R26" s="70">
        <f>Q25*(T26/100)</f>
        <v>0</v>
      </c>
      <c r="S26" s="70" t="s">
        <v>1745</v>
      </c>
      <c r="T26" s="72"/>
      <c r="U26" s="178"/>
      <c r="V26" s="178"/>
      <c r="W26" s="73">
        <f>V25*(Y26/100)</f>
        <v>0</v>
      </c>
      <c r="X26" s="73" t="s">
        <v>1745</v>
      </c>
      <c r="Y26" s="75"/>
      <c r="Z26" s="181"/>
      <c r="AA26" s="181"/>
      <c r="AB26" s="70">
        <f>AA25*(AD26/100)</f>
        <v>0</v>
      </c>
      <c r="AC26" s="70" t="s">
        <v>1745</v>
      </c>
      <c r="AD26" s="72"/>
      <c r="AE26" s="178"/>
      <c r="AF26" s="178"/>
      <c r="AG26" s="73">
        <f>AF25*(AI26/100)</f>
        <v>0</v>
      </c>
      <c r="AH26" s="73" t="s">
        <v>1745</v>
      </c>
      <c r="AI26" s="75"/>
      <c r="AJ26" s="181"/>
      <c r="AK26" s="181"/>
      <c r="AL26" s="70">
        <f>AK25*(AN26/100)</f>
        <v>0</v>
      </c>
      <c r="AM26" s="70" t="s">
        <v>1745</v>
      </c>
      <c r="AN26" s="72"/>
    </row>
    <row r="27" spans="1:40" ht="15" customHeight="1">
      <c r="A27" s="155"/>
      <c r="B27" s="155"/>
      <c r="C27" s="155"/>
      <c r="D27" s="68">
        <f t="shared" si="0"/>
        <v>0</v>
      </c>
      <c r="E27" s="76"/>
      <c r="F27" s="182"/>
      <c r="G27" s="182"/>
      <c r="H27" s="70">
        <f>G25*(J27/100)</f>
        <v>0</v>
      </c>
      <c r="I27" s="70" t="s">
        <v>1746</v>
      </c>
      <c r="J27" s="72"/>
      <c r="K27" s="179"/>
      <c r="L27" s="179"/>
      <c r="M27" s="73">
        <f>L25*(O27/100)</f>
        <v>0</v>
      </c>
      <c r="N27" s="73" t="s">
        <v>1746</v>
      </c>
      <c r="O27" s="75"/>
      <c r="P27" s="182"/>
      <c r="Q27" s="182"/>
      <c r="R27" s="70">
        <f>Q25*(T27/100)</f>
        <v>0</v>
      </c>
      <c r="S27" s="70" t="s">
        <v>1746</v>
      </c>
      <c r="T27" s="72"/>
      <c r="U27" s="179"/>
      <c r="V27" s="179"/>
      <c r="W27" s="73">
        <f>V25*(Y27/100)</f>
        <v>0</v>
      </c>
      <c r="X27" s="73" t="s">
        <v>1746</v>
      </c>
      <c r="Y27" s="75"/>
      <c r="Z27" s="182"/>
      <c r="AA27" s="182"/>
      <c r="AB27" s="70">
        <f>AA25*(AD27/100)</f>
        <v>0</v>
      </c>
      <c r="AC27" s="70" t="s">
        <v>1746</v>
      </c>
      <c r="AD27" s="72"/>
      <c r="AE27" s="179"/>
      <c r="AF27" s="179"/>
      <c r="AG27" s="73">
        <f>AF25*(AI27/100)</f>
        <v>0</v>
      </c>
      <c r="AH27" s="73" t="s">
        <v>1746</v>
      </c>
      <c r="AI27" s="75"/>
      <c r="AJ27" s="182"/>
      <c r="AK27" s="182"/>
      <c r="AL27" s="70">
        <f>AK25*(AN27/100)</f>
        <v>0</v>
      </c>
      <c r="AM27" s="70" t="s">
        <v>1746</v>
      </c>
      <c r="AN27" s="72"/>
    </row>
    <row r="28" spans="1:40" ht="15" customHeight="1">
      <c r="A28" s="155"/>
      <c r="B28" s="155"/>
      <c r="C28" s="158" t="s">
        <v>1800</v>
      </c>
      <c r="D28" s="68">
        <f t="shared" si="0"/>
        <v>0</v>
      </c>
      <c r="E28" s="68">
        <f>人员信息!F26</f>
        <v>40.629600000000003</v>
      </c>
      <c r="F28" s="180"/>
      <c r="G28" s="180"/>
      <c r="H28" s="70">
        <f>G28*(J28/100)</f>
        <v>0</v>
      </c>
      <c r="I28" s="71" t="s">
        <v>1744</v>
      </c>
      <c r="J28" s="72"/>
      <c r="K28" s="177"/>
      <c r="L28" s="177"/>
      <c r="M28" s="73">
        <f>L28*(O28/100)</f>
        <v>0</v>
      </c>
      <c r="N28" s="74" t="s">
        <v>1744</v>
      </c>
      <c r="O28" s="75"/>
      <c r="P28" s="180"/>
      <c r="Q28" s="180"/>
      <c r="R28" s="70">
        <f>Q28*(T28/100)</f>
        <v>0</v>
      </c>
      <c r="S28" s="71" t="s">
        <v>1744</v>
      </c>
      <c r="T28" s="72"/>
      <c r="U28" s="177"/>
      <c r="V28" s="177"/>
      <c r="W28" s="73">
        <f>V28*(Y28/100)</f>
        <v>0</v>
      </c>
      <c r="X28" s="74" t="s">
        <v>1744</v>
      </c>
      <c r="Y28" s="75"/>
      <c r="Z28" s="180"/>
      <c r="AA28" s="180"/>
      <c r="AB28" s="70">
        <f>AA28*(AD28/100)</f>
        <v>0</v>
      </c>
      <c r="AC28" s="71" t="s">
        <v>1744</v>
      </c>
      <c r="AD28" s="72"/>
      <c r="AE28" s="177"/>
      <c r="AF28" s="177"/>
      <c r="AG28" s="73">
        <f>AF28*(AI28/100)</f>
        <v>0</v>
      </c>
      <c r="AH28" s="74" t="s">
        <v>1744</v>
      </c>
      <c r="AI28" s="75"/>
      <c r="AJ28" s="180"/>
      <c r="AK28" s="180"/>
      <c r="AL28" s="70">
        <f>AK28*(AN28/100)</f>
        <v>0</v>
      </c>
      <c r="AM28" s="71" t="s">
        <v>1744</v>
      </c>
      <c r="AN28" s="72"/>
    </row>
    <row r="29" spans="1:40" ht="15" customHeight="1">
      <c r="A29" s="155"/>
      <c r="B29" s="155"/>
      <c r="C29" s="155"/>
      <c r="D29" s="68">
        <f t="shared" si="0"/>
        <v>0</v>
      </c>
      <c r="E29" s="68">
        <f>人员信息!F27</f>
        <v>21.318000000000001</v>
      </c>
      <c r="F29" s="181"/>
      <c r="G29" s="181"/>
      <c r="H29" s="70">
        <f>G28*(J29/100)</f>
        <v>0</v>
      </c>
      <c r="I29" s="70" t="s">
        <v>1745</v>
      </c>
      <c r="J29" s="72"/>
      <c r="K29" s="178"/>
      <c r="L29" s="178"/>
      <c r="M29" s="73">
        <f>L28*(O29/100)</f>
        <v>0</v>
      </c>
      <c r="N29" s="73" t="s">
        <v>1745</v>
      </c>
      <c r="O29" s="75"/>
      <c r="P29" s="181"/>
      <c r="Q29" s="181"/>
      <c r="R29" s="70">
        <f>Q28*(T29/100)</f>
        <v>0</v>
      </c>
      <c r="S29" s="70" t="s">
        <v>1745</v>
      </c>
      <c r="T29" s="72"/>
      <c r="U29" s="178"/>
      <c r="V29" s="178"/>
      <c r="W29" s="73">
        <f>V28*(Y29/100)</f>
        <v>0</v>
      </c>
      <c r="X29" s="73" t="s">
        <v>1745</v>
      </c>
      <c r="Y29" s="75"/>
      <c r="Z29" s="181"/>
      <c r="AA29" s="181"/>
      <c r="AB29" s="70">
        <f>AA28*(AD29/100)</f>
        <v>0</v>
      </c>
      <c r="AC29" s="70" t="s">
        <v>1745</v>
      </c>
      <c r="AD29" s="72"/>
      <c r="AE29" s="178"/>
      <c r="AF29" s="178"/>
      <c r="AG29" s="73">
        <f>AF28*(AI29/100)</f>
        <v>0</v>
      </c>
      <c r="AH29" s="73" t="s">
        <v>1745</v>
      </c>
      <c r="AI29" s="75"/>
      <c r="AJ29" s="181"/>
      <c r="AK29" s="181"/>
      <c r="AL29" s="70">
        <f>AK28*(AN29/100)</f>
        <v>0</v>
      </c>
      <c r="AM29" s="70" t="s">
        <v>1745</v>
      </c>
      <c r="AN29" s="72"/>
    </row>
    <row r="30" spans="1:40" ht="15" customHeight="1">
      <c r="A30" s="155"/>
      <c r="B30" s="155"/>
      <c r="C30" s="155"/>
      <c r="D30" s="68">
        <f t="shared" si="0"/>
        <v>0</v>
      </c>
      <c r="E30" s="76"/>
      <c r="F30" s="182"/>
      <c r="G30" s="182"/>
      <c r="H30" s="70">
        <f>G28*(J30/100)</f>
        <v>0</v>
      </c>
      <c r="I30" s="70" t="s">
        <v>1746</v>
      </c>
      <c r="J30" s="72"/>
      <c r="K30" s="179"/>
      <c r="L30" s="179"/>
      <c r="M30" s="73">
        <f>L28*(O30/100)</f>
        <v>0</v>
      </c>
      <c r="N30" s="73" t="s">
        <v>1746</v>
      </c>
      <c r="O30" s="75"/>
      <c r="P30" s="182"/>
      <c r="Q30" s="182"/>
      <c r="R30" s="70">
        <f>Q28*(T30/100)</f>
        <v>0</v>
      </c>
      <c r="S30" s="70" t="s">
        <v>1746</v>
      </c>
      <c r="T30" s="72"/>
      <c r="U30" s="179"/>
      <c r="V30" s="179"/>
      <c r="W30" s="73">
        <f>V28*(Y30/100)</f>
        <v>0</v>
      </c>
      <c r="X30" s="73" t="s">
        <v>1746</v>
      </c>
      <c r="Y30" s="75"/>
      <c r="Z30" s="182"/>
      <c r="AA30" s="182"/>
      <c r="AB30" s="70">
        <f>AA28*(AD30/100)</f>
        <v>0</v>
      </c>
      <c r="AC30" s="70" t="s">
        <v>1746</v>
      </c>
      <c r="AD30" s="72"/>
      <c r="AE30" s="179"/>
      <c r="AF30" s="179"/>
      <c r="AG30" s="73">
        <f>AF28*(AI30/100)</f>
        <v>0</v>
      </c>
      <c r="AH30" s="73" t="s">
        <v>1746</v>
      </c>
      <c r="AI30" s="75"/>
      <c r="AJ30" s="182"/>
      <c r="AK30" s="182"/>
      <c r="AL30" s="70">
        <f>AK28*(AN30/100)</f>
        <v>0</v>
      </c>
      <c r="AM30" s="70" t="s">
        <v>1746</v>
      </c>
      <c r="AN30" s="72"/>
    </row>
    <row r="31" spans="1:40" ht="15" customHeight="1">
      <c r="A31" s="155"/>
      <c r="B31" s="155"/>
      <c r="C31" s="158" t="s">
        <v>1801</v>
      </c>
      <c r="D31" s="68">
        <f t="shared" si="0"/>
        <v>0</v>
      </c>
      <c r="E31" s="68">
        <f>人员信息!F26</f>
        <v>40.629600000000003</v>
      </c>
      <c r="F31" s="180"/>
      <c r="G31" s="180"/>
      <c r="H31" s="70">
        <f>G31*J31/100</f>
        <v>0</v>
      </c>
      <c r="I31" s="71" t="s">
        <v>1744</v>
      </c>
      <c r="J31" s="72"/>
      <c r="K31" s="177"/>
      <c r="L31" s="177"/>
      <c r="M31" s="73">
        <f>L31*O31/100</f>
        <v>0</v>
      </c>
      <c r="N31" s="74" t="s">
        <v>1744</v>
      </c>
      <c r="O31" s="75"/>
      <c r="P31" s="180"/>
      <c r="Q31" s="180"/>
      <c r="R31" s="70">
        <f>Q31*T31/100</f>
        <v>0</v>
      </c>
      <c r="S31" s="71" t="s">
        <v>1744</v>
      </c>
      <c r="T31" s="72"/>
      <c r="U31" s="177"/>
      <c r="V31" s="177"/>
      <c r="W31" s="73">
        <f>V31*Y31/100</f>
        <v>0</v>
      </c>
      <c r="X31" s="74" t="s">
        <v>1744</v>
      </c>
      <c r="Y31" s="75"/>
      <c r="Z31" s="180"/>
      <c r="AA31" s="180"/>
      <c r="AB31" s="70">
        <f>AA31*AD31/100</f>
        <v>0</v>
      </c>
      <c r="AC31" s="71" t="s">
        <v>1744</v>
      </c>
      <c r="AD31" s="72"/>
      <c r="AE31" s="177"/>
      <c r="AF31" s="177"/>
      <c r="AG31" s="73">
        <f>AF31*AI31/100</f>
        <v>0</v>
      </c>
      <c r="AH31" s="74" t="s">
        <v>1744</v>
      </c>
      <c r="AI31" s="75"/>
      <c r="AJ31" s="180"/>
      <c r="AK31" s="180"/>
      <c r="AL31" s="70">
        <f>AK31*AN31/100</f>
        <v>0</v>
      </c>
      <c r="AM31" s="71" t="s">
        <v>1744</v>
      </c>
      <c r="AN31" s="72"/>
    </row>
    <row r="32" spans="1:40" ht="15" customHeight="1">
      <c r="A32" s="155"/>
      <c r="B32" s="155"/>
      <c r="C32" s="155"/>
      <c r="D32" s="68">
        <f t="shared" si="0"/>
        <v>0</v>
      </c>
      <c r="E32" s="68">
        <f>人员信息!F27</f>
        <v>21.318000000000001</v>
      </c>
      <c r="F32" s="181"/>
      <c r="G32" s="181"/>
      <c r="H32" s="70">
        <f>G31*J32/100</f>
        <v>0</v>
      </c>
      <c r="I32" s="70" t="s">
        <v>1745</v>
      </c>
      <c r="J32" s="72"/>
      <c r="K32" s="178"/>
      <c r="L32" s="178"/>
      <c r="M32" s="73">
        <f>L31*O32/100</f>
        <v>0</v>
      </c>
      <c r="N32" s="73" t="s">
        <v>1745</v>
      </c>
      <c r="O32" s="75"/>
      <c r="P32" s="181"/>
      <c r="Q32" s="181"/>
      <c r="R32" s="70">
        <f>Q31*T32/100</f>
        <v>0</v>
      </c>
      <c r="S32" s="70" t="s">
        <v>1745</v>
      </c>
      <c r="T32" s="72"/>
      <c r="U32" s="178"/>
      <c r="V32" s="178"/>
      <c r="W32" s="73">
        <f>V31*Y32/100</f>
        <v>0</v>
      </c>
      <c r="X32" s="73" t="s">
        <v>1745</v>
      </c>
      <c r="Y32" s="75"/>
      <c r="Z32" s="181"/>
      <c r="AA32" s="181"/>
      <c r="AB32" s="70">
        <f>AA31*AD32/100</f>
        <v>0</v>
      </c>
      <c r="AC32" s="70" t="s">
        <v>1745</v>
      </c>
      <c r="AD32" s="72"/>
      <c r="AE32" s="178"/>
      <c r="AF32" s="178"/>
      <c r="AG32" s="73">
        <f>AF31*AI32/100</f>
        <v>0</v>
      </c>
      <c r="AH32" s="73" t="s">
        <v>1745</v>
      </c>
      <c r="AI32" s="75"/>
      <c r="AJ32" s="181"/>
      <c r="AK32" s="181"/>
      <c r="AL32" s="70">
        <f>AK31*AN32/100</f>
        <v>0</v>
      </c>
      <c r="AM32" s="70" t="s">
        <v>1745</v>
      </c>
      <c r="AN32" s="72"/>
    </row>
    <row r="33" spans="1:40" ht="15" customHeight="1">
      <c r="A33" s="155"/>
      <c r="B33" s="155"/>
      <c r="C33" s="155"/>
      <c r="D33" s="68">
        <f t="shared" si="0"/>
        <v>0</v>
      </c>
      <c r="E33" s="76"/>
      <c r="F33" s="182"/>
      <c r="G33" s="182"/>
      <c r="H33" s="70">
        <f>G31*J33/100</f>
        <v>0</v>
      </c>
      <c r="I33" s="70" t="s">
        <v>1746</v>
      </c>
      <c r="J33" s="72"/>
      <c r="K33" s="179"/>
      <c r="L33" s="179"/>
      <c r="M33" s="73">
        <f>L31*O33/100</f>
        <v>0</v>
      </c>
      <c r="N33" s="73" t="s">
        <v>1746</v>
      </c>
      <c r="O33" s="75"/>
      <c r="P33" s="182"/>
      <c r="Q33" s="182"/>
      <c r="R33" s="70">
        <f>Q31*T33/100</f>
        <v>0</v>
      </c>
      <c r="S33" s="70" t="s">
        <v>1746</v>
      </c>
      <c r="T33" s="72"/>
      <c r="U33" s="179"/>
      <c r="V33" s="179"/>
      <c r="W33" s="73">
        <f>V31*Y33/100</f>
        <v>0</v>
      </c>
      <c r="X33" s="73" t="s">
        <v>1746</v>
      </c>
      <c r="Y33" s="75"/>
      <c r="Z33" s="182"/>
      <c r="AA33" s="182"/>
      <c r="AB33" s="70">
        <f>AA31*AD33/100</f>
        <v>0</v>
      </c>
      <c r="AC33" s="70" t="s">
        <v>1746</v>
      </c>
      <c r="AD33" s="72"/>
      <c r="AE33" s="179"/>
      <c r="AF33" s="179"/>
      <c r="AG33" s="73">
        <f>AF31*AI33/100</f>
        <v>0</v>
      </c>
      <c r="AH33" s="73" t="s">
        <v>1746</v>
      </c>
      <c r="AI33" s="75"/>
      <c r="AJ33" s="182"/>
      <c r="AK33" s="182"/>
      <c r="AL33" s="70">
        <f>AK31*AN33/100</f>
        <v>0</v>
      </c>
      <c r="AM33" s="70" t="s">
        <v>1746</v>
      </c>
      <c r="AN33" s="72"/>
    </row>
    <row r="34" spans="1:40" ht="15" customHeight="1">
      <c r="A34" s="155"/>
      <c r="B34" s="155"/>
      <c r="C34" s="158" t="s">
        <v>1802</v>
      </c>
      <c r="D34" s="68">
        <f t="shared" si="0"/>
        <v>0</v>
      </c>
      <c r="E34" s="68">
        <f>人员信息!F26</f>
        <v>40.629600000000003</v>
      </c>
      <c r="F34" s="180"/>
      <c r="G34" s="180"/>
      <c r="H34" s="70">
        <f>G34*J34/100</f>
        <v>0</v>
      </c>
      <c r="I34" s="71" t="s">
        <v>1744</v>
      </c>
      <c r="J34" s="72"/>
      <c r="K34" s="177"/>
      <c r="L34" s="177"/>
      <c r="M34" s="73">
        <f>L34*O34/100</f>
        <v>0</v>
      </c>
      <c r="N34" s="74" t="s">
        <v>1744</v>
      </c>
      <c r="O34" s="75"/>
      <c r="P34" s="180"/>
      <c r="Q34" s="180"/>
      <c r="R34" s="70">
        <f>Q34*T34/100</f>
        <v>0</v>
      </c>
      <c r="S34" s="71" t="s">
        <v>1744</v>
      </c>
      <c r="T34" s="72"/>
      <c r="U34" s="177"/>
      <c r="V34" s="177"/>
      <c r="W34" s="73">
        <f>V34*Y34/100</f>
        <v>0</v>
      </c>
      <c r="X34" s="74" t="s">
        <v>1744</v>
      </c>
      <c r="Y34" s="75"/>
      <c r="Z34" s="180"/>
      <c r="AA34" s="180"/>
      <c r="AB34" s="70">
        <f>AA34*AD34/100</f>
        <v>0</v>
      </c>
      <c r="AC34" s="71" t="s">
        <v>1744</v>
      </c>
      <c r="AD34" s="72"/>
      <c r="AE34" s="177"/>
      <c r="AF34" s="177"/>
      <c r="AG34" s="73">
        <f>AF34*AI34/100</f>
        <v>0</v>
      </c>
      <c r="AH34" s="74" t="s">
        <v>1744</v>
      </c>
      <c r="AI34" s="75"/>
      <c r="AJ34" s="180"/>
      <c r="AK34" s="180"/>
      <c r="AL34" s="70">
        <f>AK34*AN34/100</f>
        <v>0</v>
      </c>
      <c r="AM34" s="71" t="s">
        <v>1744</v>
      </c>
      <c r="AN34" s="72"/>
    </row>
    <row r="35" spans="1:40" ht="15" customHeight="1">
      <c r="A35" s="155"/>
      <c r="B35" s="155"/>
      <c r="C35" s="155"/>
      <c r="D35" s="68">
        <f t="shared" si="0"/>
        <v>0</v>
      </c>
      <c r="E35" s="68">
        <f>人员信息!F27</f>
        <v>21.318000000000001</v>
      </c>
      <c r="F35" s="181"/>
      <c r="G35" s="181"/>
      <c r="H35" s="70">
        <f>G34*J35/100</f>
        <v>0</v>
      </c>
      <c r="I35" s="70" t="s">
        <v>1745</v>
      </c>
      <c r="J35" s="72"/>
      <c r="K35" s="178"/>
      <c r="L35" s="178"/>
      <c r="M35" s="73">
        <f>L34*O35/100</f>
        <v>0</v>
      </c>
      <c r="N35" s="73" t="s">
        <v>1745</v>
      </c>
      <c r="O35" s="75"/>
      <c r="P35" s="181"/>
      <c r="Q35" s="181"/>
      <c r="R35" s="70">
        <f>Q34*T35/100</f>
        <v>0</v>
      </c>
      <c r="S35" s="70" t="s">
        <v>1745</v>
      </c>
      <c r="T35" s="72"/>
      <c r="U35" s="178"/>
      <c r="V35" s="178"/>
      <c r="W35" s="73">
        <f>V34*Y35/100</f>
        <v>0</v>
      </c>
      <c r="X35" s="73" t="s">
        <v>1745</v>
      </c>
      <c r="Y35" s="75"/>
      <c r="Z35" s="181"/>
      <c r="AA35" s="181"/>
      <c r="AB35" s="70">
        <f>AA34*AD35/100</f>
        <v>0</v>
      </c>
      <c r="AC35" s="70" t="s">
        <v>1745</v>
      </c>
      <c r="AD35" s="72"/>
      <c r="AE35" s="178"/>
      <c r="AF35" s="178"/>
      <c r="AG35" s="73">
        <f>AF34*AI35/100</f>
        <v>0</v>
      </c>
      <c r="AH35" s="73" t="s">
        <v>1745</v>
      </c>
      <c r="AI35" s="75"/>
      <c r="AJ35" s="181"/>
      <c r="AK35" s="181"/>
      <c r="AL35" s="70">
        <f>AK34*AN35/100</f>
        <v>0</v>
      </c>
      <c r="AM35" s="70" t="s">
        <v>1745</v>
      </c>
      <c r="AN35" s="72"/>
    </row>
    <row r="36" spans="1:40" ht="15" customHeight="1">
      <c r="A36" s="155"/>
      <c r="B36" s="155"/>
      <c r="C36" s="155"/>
      <c r="D36" s="68">
        <f t="shared" si="0"/>
        <v>0</v>
      </c>
      <c r="E36" s="76"/>
      <c r="F36" s="182"/>
      <c r="G36" s="182"/>
      <c r="H36" s="70">
        <f>G34*J36/100</f>
        <v>0</v>
      </c>
      <c r="I36" s="70" t="s">
        <v>1746</v>
      </c>
      <c r="J36" s="72"/>
      <c r="K36" s="179"/>
      <c r="L36" s="179"/>
      <c r="M36" s="73">
        <f>L34*O36/100</f>
        <v>0</v>
      </c>
      <c r="N36" s="73" t="s">
        <v>1746</v>
      </c>
      <c r="O36" s="75"/>
      <c r="P36" s="182"/>
      <c r="Q36" s="182"/>
      <c r="R36" s="70">
        <f>Q34*T36/100</f>
        <v>0</v>
      </c>
      <c r="S36" s="70" t="s">
        <v>1746</v>
      </c>
      <c r="T36" s="72"/>
      <c r="U36" s="179"/>
      <c r="V36" s="179"/>
      <c r="W36" s="73">
        <f>V34*Y36/100</f>
        <v>0</v>
      </c>
      <c r="X36" s="73" t="s">
        <v>1746</v>
      </c>
      <c r="Y36" s="75"/>
      <c r="Z36" s="182"/>
      <c r="AA36" s="182"/>
      <c r="AB36" s="70">
        <f>AA34*AD36/100</f>
        <v>0</v>
      </c>
      <c r="AC36" s="70" t="s">
        <v>1746</v>
      </c>
      <c r="AD36" s="72"/>
      <c r="AE36" s="179"/>
      <c r="AF36" s="179"/>
      <c r="AG36" s="73">
        <f>AF34*AI36/100</f>
        <v>0</v>
      </c>
      <c r="AH36" s="73" t="s">
        <v>1746</v>
      </c>
      <c r="AI36" s="75"/>
      <c r="AJ36" s="182"/>
      <c r="AK36" s="182"/>
      <c r="AL36" s="70">
        <f>AK34*AN36/100</f>
        <v>0</v>
      </c>
      <c r="AM36" s="70" t="s">
        <v>1746</v>
      </c>
      <c r="AN36" s="72"/>
    </row>
    <row r="37" spans="1:40" ht="15" customHeight="1">
      <c r="A37" s="155"/>
      <c r="B37" s="155"/>
      <c r="C37" s="158" t="s">
        <v>1803</v>
      </c>
      <c r="D37" s="68">
        <f t="shared" si="0"/>
        <v>0</v>
      </c>
      <c r="E37" s="68">
        <f>人员信息!F26</f>
        <v>40.629600000000003</v>
      </c>
      <c r="F37" s="180"/>
      <c r="G37" s="180"/>
      <c r="H37" s="70">
        <f>G37*J37/100</f>
        <v>0</v>
      </c>
      <c r="I37" s="71" t="s">
        <v>1744</v>
      </c>
      <c r="J37" s="72"/>
      <c r="K37" s="177"/>
      <c r="L37" s="177"/>
      <c r="M37" s="73">
        <f>L37*O37/100</f>
        <v>0</v>
      </c>
      <c r="N37" s="74" t="s">
        <v>1744</v>
      </c>
      <c r="O37" s="75"/>
      <c r="P37" s="180"/>
      <c r="Q37" s="180"/>
      <c r="R37" s="70">
        <f>Q37*T37/100</f>
        <v>0</v>
      </c>
      <c r="S37" s="71" t="s">
        <v>1744</v>
      </c>
      <c r="T37" s="72"/>
      <c r="U37" s="177"/>
      <c r="V37" s="177"/>
      <c r="W37" s="73">
        <f>V37*Y37/100</f>
        <v>0</v>
      </c>
      <c r="X37" s="74" t="s">
        <v>1744</v>
      </c>
      <c r="Y37" s="75"/>
      <c r="Z37" s="180"/>
      <c r="AA37" s="180"/>
      <c r="AB37" s="70">
        <f>AA37*AD37/100</f>
        <v>0</v>
      </c>
      <c r="AC37" s="71" t="s">
        <v>1744</v>
      </c>
      <c r="AD37" s="72"/>
      <c r="AE37" s="177"/>
      <c r="AF37" s="177"/>
      <c r="AG37" s="73">
        <f>AF37*AI37/100</f>
        <v>0</v>
      </c>
      <c r="AH37" s="74" t="s">
        <v>1744</v>
      </c>
      <c r="AI37" s="75"/>
      <c r="AJ37" s="180"/>
      <c r="AK37" s="180"/>
      <c r="AL37" s="70">
        <f>AK37*AN37/100</f>
        <v>0</v>
      </c>
      <c r="AM37" s="71" t="s">
        <v>1744</v>
      </c>
      <c r="AN37" s="72"/>
    </row>
    <row r="38" spans="1:40" ht="15" customHeight="1">
      <c r="A38" s="155"/>
      <c r="B38" s="155"/>
      <c r="C38" s="155"/>
      <c r="D38" s="68">
        <f t="shared" si="0"/>
        <v>0</v>
      </c>
      <c r="E38" s="68">
        <f>人员信息!F27</f>
        <v>21.318000000000001</v>
      </c>
      <c r="F38" s="181"/>
      <c r="G38" s="181"/>
      <c r="H38" s="70">
        <f>G37*J38/100</f>
        <v>0</v>
      </c>
      <c r="I38" s="70" t="s">
        <v>1745</v>
      </c>
      <c r="J38" s="72"/>
      <c r="K38" s="178"/>
      <c r="L38" s="178"/>
      <c r="M38" s="73">
        <f>L37*O38/100</f>
        <v>0</v>
      </c>
      <c r="N38" s="73" t="s">
        <v>1745</v>
      </c>
      <c r="O38" s="75"/>
      <c r="P38" s="181"/>
      <c r="Q38" s="181"/>
      <c r="R38" s="70">
        <f>Q37*T38/100</f>
        <v>0</v>
      </c>
      <c r="S38" s="70" t="s">
        <v>1745</v>
      </c>
      <c r="T38" s="72"/>
      <c r="U38" s="178"/>
      <c r="V38" s="178"/>
      <c r="W38" s="73">
        <f>V37*Y38/100</f>
        <v>0</v>
      </c>
      <c r="X38" s="73" t="s">
        <v>1745</v>
      </c>
      <c r="Y38" s="75"/>
      <c r="Z38" s="181"/>
      <c r="AA38" s="181"/>
      <c r="AB38" s="70">
        <f>AA37*AD38/100</f>
        <v>0</v>
      </c>
      <c r="AC38" s="70" t="s">
        <v>1745</v>
      </c>
      <c r="AD38" s="72"/>
      <c r="AE38" s="178"/>
      <c r="AF38" s="178"/>
      <c r="AG38" s="73">
        <f>AF37*AI38/100</f>
        <v>0</v>
      </c>
      <c r="AH38" s="73" t="s">
        <v>1745</v>
      </c>
      <c r="AI38" s="75"/>
      <c r="AJ38" s="181"/>
      <c r="AK38" s="181"/>
      <c r="AL38" s="70">
        <f>AK37*AN38/100</f>
        <v>0</v>
      </c>
      <c r="AM38" s="70" t="s">
        <v>1745</v>
      </c>
      <c r="AN38" s="72"/>
    </row>
    <row r="39" spans="1:40" ht="15" customHeight="1">
      <c r="A39" s="155"/>
      <c r="B39" s="155"/>
      <c r="C39" s="155"/>
      <c r="D39" s="68">
        <f t="shared" si="0"/>
        <v>0</v>
      </c>
      <c r="E39" s="76"/>
      <c r="F39" s="182"/>
      <c r="G39" s="182"/>
      <c r="H39" s="70">
        <f>G37*J39/100</f>
        <v>0</v>
      </c>
      <c r="I39" s="70" t="s">
        <v>1746</v>
      </c>
      <c r="J39" s="72"/>
      <c r="K39" s="179"/>
      <c r="L39" s="179"/>
      <c r="M39" s="73">
        <f>L37*O39/100</f>
        <v>0</v>
      </c>
      <c r="N39" s="73" t="s">
        <v>1746</v>
      </c>
      <c r="O39" s="75"/>
      <c r="P39" s="182"/>
      <c r="Q39" s="182"/>
      <c r="R39" s="70">
        <f>Q37*T39/100</f>
        <v>0</v>
      </c>
      <c r="S39" s="70" t="s">
        <v>1746</v>
      </c>
      <c r="T39" s="72"/>
      <c r="U39" s="179"/>
      <c r="V39" s="179"/>
      <c r="W39" s="73">
        <f>V37*Y39/100</f>
        <v>0</v>
      </c>
      <c r="X39" s="73" t="s">
        <v>1746</v>
      </c>
      <c r="Y39" s="75"/>
      <c r="Z39" s="182"/>
      <c r="AA39" s="182"/>
      <c r="AB39" s="70">
        <f>AA37*AD39/100</f>
        <v>0</v>
      </c>
      <c r="AC39" s="70" t="s">
        <v>1746</v>
      </c>
      <c r="AD39" s="72"/>
      <c r="AE39" s="179"/>
      <c r="AF39" s="179"/>
      <c r="AG39" s="73">
        <f>AF37*AI39/100</f>
        <v>0</v>
      </c>
      <c r="AH39" s="73" t="s">
        <v>1746</v>
      </c>
      <c r="AI39" s="75"/>
      <c r="AJ39" s="182"/>
      <c r="AK39" s="182"/>
      <c r="AL39" s="70">
        <f>AK37*AN39/100</f>
        <v>0</v>
      </c>
      <c r="AM39" s="70" t="s">
        <v>1746</v>
      </c>
      <c r="AN39" s="72"/>
    </row>
    <row r="40" spans="1:40" ht="15" customHeight="1">
      <c r="A40" s="155"/>
      <c r="B40" s="155"/>
      <c r="C40" s="158" t="s">
        <v>1804</v>
      </c>
      <c r="D40" s="68">
        <f t="shared" si="0"/>
        <v>0</v>
      </c>
      <c r="E40" s="68">
        <f>人员信息!F26</f>
        <v>40.629600000000003</v>
      </c>
      <c r="F40" s="180"/>
      <c r="G40" s="180"/>
      <c r="H40" s="70">
        <f>G40*J40/100</f>
        <v>0</v>
      </c>
      <c r="I40" s="71" t="s">
        <v>1744</v>
      </c>
      <c r="J40" s="72"/>
      <c r="K40" s="177"/>
      <c r="L40" s="177"/>
      <c r="M40" s="73">
        <f>L40*O40/100</f>
        <v>0</v>
      </c>
      <c r="N40" s="74" t="s">
        <v>1744</v>
      </c>
      <c r="O40" s="75"/>
      <c r="P40" s="180"/>
      <c r="Q40" s="180"/>
      <c r="R40" s="70">
        <f>Q40*T40/100</f>
        <v>0</v>
      </c>
      <c r="S40" s="71" t="s">
        <v>1744</v>
      </c>
      <c r="T40" s="72"/>
      <c r="U40" s="177"/>
      <c r="V40" s="177"/>
      <c r="W40" s="73">
        <f>V40*Y40/100</f>
        <v>0</v>
      </c>
      <c r="X40" s="74" t="s">
        <v>1744</v>
      </c>
      <c r="Y40" s="75"/>
      <c r="Z40" s="180"/>
      <c r="AA40" s="180"/>
      <c r="AB40" s="70">
        <f>AA40*AD40/100</f>
        <v>0</v>
      </c>
      <c r="AC40" s="71" t="s">
        <v>1744</v>
      </c>
      <c r="AD40" s="72"/>
      <c r="AE40" s="177"/>
      <c r="AF40" s="177"/>
      <c r="AG40" s="73">
        <f>AF40*AI40/100</f>
        <v>0</v>
      </c>
      <c r="AH40" s="74" t="s">
        <v>1744</v>
      </c>
      <c r="AI40" s="75"/>
      <c r="AJ40" s="180"/>
      <c r="AK40" s="180"/>
      <c r="AL40" s="70">
        <f>AK40*AN40/100</f>
        <v>0</v>
      </c>
      <c r="AM40" s="71" t="s">
        <v>1744</v>
      </c>
      <c r="AN40" s="72"/>
    </row>
    <row r="41" spans="1:40" ht="15" customHeight="1">
      <c r="A41" s="155"/>
      <c r="B41" s="155"/>
      <c r="C41" s="155"/>
      <c r="D41" s="68">
        <f t="shared" si="0"/>
        <v>0</v>
      </c>
      <c r="E41" s="68">
        <f>人员信息!F27</f>
        <v>21.318000000000001</v>
      </c>
      <c r="F41" s="181"/>
      <c r="G41" s="181"/>
      <c r="H41" s="70">
        <f>G40*J41/100</f>
        <v>0</v>
      </c>
      <c r="I41" s="70" t="s">
        <v>1745</v>
      </c>
      <c r="J41" s="72"/>
      <c r="K41" s="178"/>
      <c r="L41" s="178"/>
      <c r="M41" s="73">
        <f>L40*O41/100</f>
        <v>0</v>
      </c>
      <c r="N41" s="73" t="s">
        <v>1745</v>
      </c>
      <c r="O41" s="75"/>
      <c r="P41" s="181"/>
      <c r="Q41" s="181"/>
      <c r="R41" s="70">
        <f>Q40*T41/100</f>
        <v>0</v>
      </c>
      <c r="S41" s="70" t="s">
        <v>1745</v>
      </c>
      <c r="T41" s="72"/>
      <c r="U41" s="178"/>
      <c r="V41" s="178"/>
      <c r="W41" s="73">
        <f>V40*Y41/100</f>
        <v>0</v>
      </c>
      <c r="X41" s="73" t="s">
        <v>1745</v>
      </c>
      <c r="Y41" s="75"/>
      <c r="Z41" s="181"/>
      <c r="AA41" s="181"/>
      <c r="AB41" s="70">
        <f>AA40*AD41/100</f>
        <v>0</v>
      </c>
      <c r="AC41" s="70" t="s">
        <v>1745</v>
      </c>
      <c r="AD41" s="72"/>
      <c r="AE41" s="178"/>
      <c r="AF41" s="178"/>
      <c r="AG41" s="73">
        <f>AF40*AI41/100</f>
        <v>0</v>
      </c>
      <c r="AH41" s="73" t="s">
        <v>1745</v>
      </c>
      <c r="AI41" s="75"/>
      <c r="AJ41" s="181"/>
      <c r="AK41" s="181"/>
      <c r="AL41" s="70">
        <f>AK40*AN41/100</f>
        <v>0</v>
      </c>
      <c r="AM41" s="70" t="s">
        <v>1745</v>
      </c>
      <c r="AN41" s="72"/>
    </row>
    <row r="42" spans="1:40" ht="15" customHeight="1">
      <c r="A42" s="155"/>
      <c r="B42" s="155"/>
      <c r="C42" s="155"/>
      <c r="D42" s="68">
        <f t="shared" si="0"/>
        <v>0</v>
      </c>
      <c r="E42" s="76"/>
      <c r="F42" s="182"/>
      <c r="G42" s="182"/>
      <c r="H42" s="70">
        <f>G40*J42/100</f>
        <v>0</v>
      </c>
      <c r="I42" s="70" t="s">
        <v>1746</v>
      </c>
      <c r="J42" s="72"/>
      <c r="K42" s="179"/>
      <c r="L42" s="179"/>
      <c r="M42" s="73">
        <f>L40*O42/100</f>
        <v>0</v>
      </c>
      <c r="N42" s="73" t="s">
        <v>1746</v>
      </c>
      <c r="O42" s="75"/>
      <c r="P42" s="182"/>
      <c r="Q42" s="182"/>
      <c r="R42" s="70">
        <f>Q40*T42/100</f>
        <v>0</v>
      </c>
      <c r="S42" s="70" t="s">
        <v>1746</v>
      </c>
      <c r="T42" s="72"/>
      <c r="U42" s="179"/>
      <c r="V42" s="179"/>
      <c r="W42" s="73">
        <f>V40*Y42/100</f>
        <v>0</v>
      </c>
      <c r="X42" s="73" t="s">
        <v>1746</v>
      </c>
      <c r="Y42" s="75"/>
      <c r="Z42" s="182"/>
      <c r="AA42" s="182"/>
      <c r="AB42" s="70">
        <f>AA40*AD42/100</f>
        <v>0</v>
      </c>
      <c r="AC42" s="70" t="s">
        <v>1746</v>
      </c>
      <c r="AD42" s="72"/>
      <c r="AE42" s="179"/>
      <c r="AF42" s="179"/>
      <c r="AG42" s="73">
        <f>AF40*AI42/100</f>
        <v>0</v>
      </c>
      <c r="AH42" s="73" t="s">
        <v>1746</v>
      </c>
      <c r="AI42" s="75"/>
      <c r="AJ42" s="182"/>
      <c r="AK42" s="182"/>
      <c r="AL42" s="70">
        <f>AK40*AN42/100</f>
        <v>0</v>
      </c>
      <c r="AM42" s="70" t="s">
        <v>1746</v>
      </c>
      <c r="AN42" s="72"/>
    </row>
    <row r="43" spans="1:40" ht="15" customHeight="1">
      <c r="A43" s="155"/>
      <c r="B43" s="155"/>
      <c r="C43" s="158" t="s">
        <v>1805</v>
      </c>
      <c r="D43" s="68">
        <f t="shared" si="0"/>
        <v>0</v>
      </c>
      <c r="E43" s="68">
        <f>人员信息!F26</f>
        <v>40.629600000000003</v>
      </c>
      <c r="F43" s="180"/>
      <c r="G43" s="180"/>
      <c r="H43" s="70">
        <f>G43*J43/100</f>
        <v>0</v>
      </c>
      <c r="I43" s="71" t="s">
        <v>1744</v>
      </c>
      <c r="J43" s="72"/>
      <c r="K43" s="177"/>
      <c r="L43" s="177"/>
      <c r="M43" s="73">
        <f>L43*O43/100</f>
        <v>0</v>
      </c>
      <c r="N43" s="74" t="s">
        <v>1744</v>
      </c>
      <c r="O43" s="75"/>
      <c r="P43" s="180"/>
      <c r="Q43" s="180"/>
      <c r="R43" s="70">
        <f>Q43*T43/100</f>
        <v>0</v>
      </c>
      <c r="S43" s="71" t="s">
        <v>1744</v>
      </c>
      <c r="T43" s="72"/>
      <c r="U43" s="177"/>
      <c r="V43" s="177"/>
      <c r="W43" s="73">
        <f>V43*Y43/100</f>
        <v>0</v>
      </c>
      <c r="X43" s="74" t="s">
        <v>1744</v>
      </c>
      <c r="Y43" s="75"/>
      <c r="Z43" s="180"/>
      <c r="AA43" s="180"/>
      <c r="AB43" s="70">
        <f>AA43*AD43/100</f>
        <v>0</v>
      </c>
      <c r="AC43" s="71" t="s">
        <v>1744</v>
      </c>
      <c r="AD43" s="72"/>
      <c r="AE43" s="177"/>
      <c r="AF43" s="177"/>
      <c r="AG43" s="73">
        <f>AF43*AI43/100</f>
        <v>0</v>
      </c>
      <c r="AH43" s="74" t="s">
        <v>1744</v>
      </c>
      <c r="AI43" s="75"/>
      <c r="AJ43" s="180"/>
      <c r="AK43" s="180"/>
      <c r="AL43" s="70">
        <f>AK43*AN43/100</f>
        <v>0</v>
      </c>
      <c r="AM43" s="71" t="s">
        <v>1744</v>
      </c>
      <c r="AN43" s="72"/>
    </row>
    <row r="44" spans="1:40" ht="15" customHeight="1">
      <c r="A44" s="155"/>
      <c r="B44" s="155"/>
      <c r="C44" s="155"/>
      <c r="D44" s="68">
        <f t="shared" si="0"/>
        <v>0</v>
      </c>
      <c r="E44" s="68">
        <f>人员信息!F27</f>
        <v>21.318000000000001</v>
      </c>
      <c r="F44" s="181"/>
      <c r="G44" s="181"/>
      <c r="H44" s="70">
        <f>G43*J44/100</f>
        <v>0</v>
      </c>
      <c r="I44" s="70" t="s">
        <v>1745</v>
      </c>
      <c r="J44" s="72"/>
      <c r="K44" s="178"/>
      <c r="L44" s="178"/>
      <c r="M44" s="73">
        <f>L43*O44/100</f>
        <v>0</v>
      </c>
      <c r="N44" s="73" t="s">
        <v>1745</v>
      </c>
      <c r="O44" s="75"/>
      <c r="P44" s="181"/>
      <c r="Q44" s="181"/>
      <c r="R44" s="70">
        <f>Q43*T44/100</f>
        <v>0</v>
      </c>
      <c r="S44" s="70" t="s">
        <v>1745</v>
      </c>
      <c r="T44" s="72"/>
      <c r="U44" s="178"/>
      <c r="V44" s="178"/>
      <c r="W44" s="73">
        <f>V43*Y44/100</f>
        <v>0</v>
      </c>
      <c r="X44" s="73" t="s">
        <v>1745</v>
      </c>
      <c r="Y44" s="75"/>
      <c r="Z44" s="181"/>
      <c r="AA44" s="181"/>
      <c r="AB44" s="70">
        <f>AA43*AD44/100</f>
        <v>0</v>
      </c>
      <c r="AC44" s="70" t="s">
        <v>1745</v>
      </c>
      <c r="AD44" s="72"/>
      <c r="AE44" s="178"/>
      <c r="AF44" s="178"/>
      <c r="AG44" s="73">
        <f>AF43*AI44/100</f>
        <v>0</v>
      </c>
      <c r="AH44" s="73" t="s">
        <v>1745</v>
      </c>
      <c r="AI44" s="75"/>
      <c r="AJ44" s="181"/>
      <c r="AK44" s="181"/>
      <c r="AL44" s="70">
        <f>AK43*AN44/100</f>
        <v>0</v>
      </c>
      <c r="AM44" s="70" t="s">
        <v>1745</v>
      </c>
      <c r="AN44" s="72"/>
    </row>
    <row r="45" spans="1:40" ht="15" customHeight="1">
      <c r="A45" s="155"/>
      <c r="B45" s="155"/>
      <c r="C45" s="155"/>
      <c r="D45" s="68">
        <f t="shared" si="0"/>
        <v>0</v>
      </c>
      <c r="E45" s="76"/>
      <c r="F45" s="182"/>
      <c r="G45" s="182"/>
      <c r="H45" s="70">
        <f>G43*J45/100</f>
        <v>0</v>
      </c>
      <c r="I45" s="70" t="s">
        <v>1746</v>
      </c>
      <c r="J45" s="72"/>
      <c r="K45" s="179"/>
      <c r="L45" s="179"/>
      <c r="M45" s="73">
        <f>L43*O45/100</f>
        <v>0</v>
      </c>
      <c r="N45" s="73" t="s">
        <v>1746</v>
      </c>
      <c r="O45" s="75"/>
      <c r="P45" s="182"/>
      <c r="Q45" s="182"/>
      <c r="R45" s="70">
        <f>Q43*T45/100</f>
        <v>0</v>
      </c>
      <c r="S45" s="70" t="s">
        <v>1746</v>
      </c>
      <c r="T45" s="72"/>
      <c r="U45" s="179"/>
      <c r="V45" s="179"/>
      <c r="W45" s="73">
        <f>V43*Y45/100</f>
        <v>0</v>
      </c>
      <c r="X45" s="73" t="s">
        <v>1746</v>
      </c>
      <c r="Y45" s="75"/>
      <c r="Z45" s="182"/>
      <c r="AA45" s="182"/>
      <c r="AB45" s="70">
        <f>AA43*AD45/100</f>
        <v>0</v>
      </c>
      <c r="AC45" s="70" t="s">
        <v>1746</v>
      </c>
      <c r="AD45" s="72"/>
      <c r="AE45" s="179"/>
      <c r="AF45" s="179"/>
      <c r="AG45" s="73">
        <f>AF43*AI45/100</f>
        <v>0</v>
      </c>
      <c r="AH45" s="73" t="s">
        <v>1746</v>
      </c>
      <c r="AI45" s="75"/>
      <c r="AJ45" s="182"/>
      <c r="AK45" s="182"/>
      <c r="AL45" s="70">
        <f>AK43*AN45/100</f>
        <v>0</v>
      </c>
      <c r="AM45" s="70" t="s">
        <v>1746</v>
      </c>
      <c r="AN45" s="72"/>
    </row>
    <row r="46" spans="1:40" ht="15" customHeight="1">
      <c r="A46" s="158" t="s">
        <v>259</v>
      </c>
      <c r="B46" s="155" t="s">
        <v>253</v>
      </c>
      <c r="C46" s="183" t="s">
        <v>1824</v>
      </c>
      <c r="D46" s="68">
        <f t="shared" si="0"/>
        <v>0</v>
      </c>
      <c r="E46" s="68">
        <f>人员信息!G26</f>
        <v>20.314800000000002</v>
      </c>
      <c r="F46" s="180"/>
      <c r="G46" s="180"/>
      <c r="H46" s="70">
        <f>G46*(J46/100)</f>
        <v>0</v>
      </c>
      <c r="I46" s="71" t="s">
        <v>1752</v>
      </c>
      <c r="J46" s="72"/>
      <c r="K46" s="177"/>
      <c r="L46" s="177"/>
      <c r="M46" s="73">
        <f>L46*(O46/100)</f>
        <v>0</v>
      </c>
      <c r="N46" s="74" t="s">
        <v>1744</v>
      </c>
      <c r="O46" s="75"/>
      <c r="P46" s="180"/>
      <c r="Q46" s="180"/>
      <c r="R46" s="70">
        <f>Q46*(T46/100)</f>
        <v>0</v>
      </c>
      <c r="S46" s="71" t="s">
        <v>1744</v>
      </c>
      <c r="T46" s="72"/>
      <c r="U46" s="177"/>
      <c r="V46" s="177"/>
      <c r="W46" s="73">
        <f>V46*(Y46/100)</f>
        <v>0</v>
      </c>
      <c r="X46" s="74" t="s">
        <v>1744</v>
      </c>
      <c r="Y46" s="75"/>
      <c r="Z46" s="180"/>
      <c r="AA46" s="180"/>
      <c r="AB46" s="70">
        <f>AA46*(AD46/100)</f>
        <v>0</v>
      </c>
      <c r="AC46" s="71" t="s">
        <v>1752</v>
      </c>
      <c r="AD46" s="72"/>
      <c r="AE46" s="177"/>
      <c r="AF46" s="177"/>
      <c r="AG46" s="73">
        <f>AF46*(AI46/100)</f>
        <v>0</v>
      </c>
      <c r="AH46" s="74" t="s">
        <v>1744</v>
      </c>
      <c r="AI46" s="75"/>
      <c r="AJ46" s="180"/>
      <c r="AK46" s="180"/>
      <c r="AL46" s="70">
        <f>AK46*(AN46/100)</f>
        <v>0</v>
      </c>
      <c r="AM46" s="71" t="s">
        <v>1744</v>
      </c>
      <c r="AN46" s="72"/>
    </row>
    <row r="47" spans="1:40" ht="15" customHeight="1">
      <c r="A47" s="155"/>
      <c r="B47" s="155"/>
      <c r="C47" s="184"/>
      <c r="D47" s="68">
        <f t="shared" si="0"/>
        <v>0</v>
      </c>
      <c r="E47" s="68">
        <f>人员信息!G27</f>
        <v>0</v>
      </c>
      <c r="F47" s="181"/>
      <c r="G47" s="181"/>
      <c r="H47" s="70">
        <f>G46*(J47/100)</f>
        <v>0</v>
      </c>
      <c r="I47" s="70" t="s">
        <v>1745</v>
      </c>
      <c r="J47" s="72"/>
      <c r="K47" s="178"/>
      <c r="L47" s="178"/>
      <c r="M47" s="73">
        <f>L46*(O47/100)</f>
        <v>0</v>
      </c>
      <c r="N47" s="73" t="s">
        <v>1745</v>
      </c>
      <c r="O47" s="75"/>
      <c r="P47" s="181"/>
      <c r="Q47" s="181"/>
      <c r="R47" s="70">
        <f>Q46*(T47/100)</f>
        <v>0</v>
      </c>
      <c r="S47" s="70" t="s">
        <v>1745</v>
      </c>
      <c r="T47" s="72"/>
      <c r="U47" s="178"/>
      <c r="V47" s="178"/>
      <c r="W47" s="73">
        <f>V46*(Y47/100)</f>
        <v>0</v>
      </c>
      <c r="X47" s="73" t="s">
        <v>1745</v>
      </c>
      <c r="Y47" s="75"/>
      <c r="Z47" s="181"/>
      <c r="AA47" s="181"/>
      <c r="AB47" s="70">
        <f>AA46*(AD47/100)</f>
        <v>0</v>
      </c>
      <c r="AC47" s="70" t="s">
        <v>1745</v>
      </c>
      <c r="AD47" s="72"/>
      <c r="AE47" s="178"/>
      <c r="AF47" s="178"/>
      <c r="AG47" s="73">
        <f>AF46*(AI47/100)</f>
        <v>0</v>
      </c>
      <c r="AH47" s="73" t="s">
        <v>1745</v>
      </c>
      <c r="AI47" s="75"/>
      <c r="AJ47" s="181"/>
      <c r="AK47" s="181"/>
      <c r="AL47" s="70">
        <f>AK46*(AN47/100)</f>
        <v>0</v>
      </c>
      <c r="AM47" s="70" t="s">
        <v>1745</v>
      </c>
      <c r="AN47" s="72"/>
    </row>
    <row r="48" spans="1:40" ht="15" customHeight="1">
      <c r="A48" s="155"/>
      <c r="B48" s="155"/>
      <c r="C48" s="185"/>
      <c r="D48" s="68">
        <f t="shared" si="0"/>
        <v>0</v>
      </c>
      <c r="E48" s="76"/>
      <c r="F48" s="182"/>
      <c r="G48" s="182"/>
      <c r="H48" s="70">
        <f>G46*(J48/100)</f>
        <v>0</v>
      </c>
      <c r="I48" s="70" t="s">
        <v>1746</v>
      </c>
      <c r="J48" s="72"/>
      <c r="K48" s="179"/>
      <c r="L48" s="179"/>
      <c r="M48" s="73">
        <f>L46*(O48/100)</f>
        <v>0</v>
      </c>
      <c r="N48" s="73" t="s">
        <v>1746</v>
      </c>
      <c r="O48" s="75"/>
      <c r="P48" s="182"/>
      <c r="Q48" s="182"/>
      <c r="R48" s="70">
        <f>Q46*(T48/100)</f>
        <v>0</v>
      </c>
      <c r="S48" s="70" t="s">
        <v>1746</v>
      </c>
      <c r="T48" s="72"/>
      <c r="U48" s="179"/>
      <c r="V48" s="179"/>
      <c r="W48" s="73">
        <f>V46*(Y48/100)</f>
        <v>0</v>
      </c>
      <c r="X48" s="73" t="s">
        <v>1746</v>
      </c>
      <c r="Y48" s="75"/>
      <c r="Z48" s="182"/>
      <c r="AA48" s="182"/>
      <c r="AB48" s="70">
        <f>AA46*(AD48/100)</f>
        <v>0</v>
      </c>
      <c r="AC48" s="70" t="s">
        <v>1746</v>
      </c>
      <c r="AD48" s="72"/>
      <c r="AE48" s="179"/>
      <c r="AF48" s="179"/>
      <c r="AG48" s="73">
        <f>AF46*(AI48/100)</f>
        <v>0</v>
      </c>
      <c r="AH48" s="73" t="s">
        <v>1746</v>
      </c>
      <c r="AI48" s="75"/>
      <c r="AJ48" s="182"/>
      <c r="AK48" s="182"/>
      <c r="AL48" s="70">
        <f>AK46*(AN48/100)</f>
        <v>0</v>
      </c>
      <c r="AM48" s="70" t="s">
        <v>1746</v>
      </c>
      <c r="AN48" s="72"/>
    </row>
    <row r="49" spans="1:40" ht="15" customHeight="1">
      <c r="A49" s="155"/>
      <c r="B49" s="155"/>
      <c r="C49" s="183" t="s">
        <v>1825</v>
      </c>
      <c r="D49" s="68">
        <f t="shared" si="0"/>
        <v>0</v>
      </c>
      <c r="E49" s="68">
        <f>人员信息!G26</f>
        <v>20.314800000000002</v>
      </c>
      <c r="F49" s="180"/>
      <c r="G49" s="180"/>
      <c r="H49" s="70">
        <f>G49*(J49/100)</f>
        <v>0</v>
      </c>
      <c r="I49" s="71" t="s">
        <v>1744</v>
      </c>
      <c r="J49" s="72"/>
      <c r="K49" s="177"/>
      <c r="L49" s="177"/>
      <c r="M49" s="73">
        <f>L49*(O49/100)</f>
        <v>0</v>
      </c>
      <c r="N49" s="74" t="s">
        <v>1744</v>
      </c>
      <c r="O49" s="75"/>
      <c r="P49" s="180"/>
      <c r="Q49" s="180"/>
      <c r="R49" s="70">
        <f>Q49*(T49/100)</f>
        <v>0</v>
      </c>
      <c r="S49" s="71" t="s">
        <v>1744</v>
      </c>
      <c r="T49" s="72"/>
      <c r="U49" s="177"/>
      <c r="V49" s="177"/>
      <c r="W49" s="73">
        <f>V49*(Y49/100)</f>
        <v>0</v>
      </c>
      <c r="X49" s="74" t="s">
        <v>1744</v>
      </c>
      <c r="Y49" s="75"/>
      <c r="Z49" s="180"/>
      <c r="AA49" s="180"/>
      <c r="AB49" s="70">
        <f>AA49*(AD49/100)</f>
        <v>0</v>
      </c>
      <c r="AC49" s="71" t="s">
        <v>1744</v>
      </c>
      <c r="AD49" s="72"/>
      <c r="AE49" s="177"/>
      <c r="AF49" s="177"/>
      <c r="AG49" s="73">
        <f>AF49*(AI49/100)</f>
        <v>0</v>
      </c>
      <c r="AH49" s="74" t="s">
        <v>1744</v>
      </c>
      <c r="AI49" s="75"/>
      <c r="AJ49" s="180"/>
      <c r="AK49" s="180"/>
      <c r="AL49" s="70">
        <f>AK49*(AN49/100)</f>
        <v>0</v>
      </c>
      <c r="AM49" s="71" t="s">
        <v>1744</v>
      </c>
      <c r="AN49" s="72"/>
    </row>
    <row r="50" spans="1:40" ht="15" customHeight="1">
      <c r="A50" s="155"/>
      <c r="B50" s="155"/>
      <c r="C50" s="184"/>
      <c r="D50" s="68">
        <f t="shared" si="0"/>
        <v>0</v>
      </c>
      <c r="E50" s="68">
        <f>人员信息!G27</f>
        <v>0</v>
      </c>
      <c r="F50" s="181"/>
      <c r="G50" s="181"/>
      <c r="H50" s="70">
        <f>G49*(J50/100)</f>
        <v>0</v>
      </c>
      <c r="I50" s="70" t="s">
        <v>1745</v>
      </c>
      <c r="J50" s="72"/>
      <c r="K50" s="178"/>
      <c r="L50" s="178"/>
      <c r="M50" s="73">
        <f>L49*(O50/100)</f>
        <v>0</v>
      </c>
      <c r="N50" s="73" t="s">
        <v>1745</v>
      </c>
      <c r="O50" s="75"/>
      <c r="P50" s="181"/>
      <c r="Q50" s="181"/>
      <c r="R50" s="70">
        <f>Q49*(T50/100)</f>
        <v>0</v>
      </c>
      <c r="S50" s="70" t="s">
        <v>1745</v>
      </c>
      <c r="T50" s="72"/>
      <c r="U50" s="178"/>
      <c r="V50" s="178"/>
      <c r="W50" s="73">
        <f>V49*(Y50/100)</f>
        <v>0</v>
      </c>
      <c r="X50" s="73" t="s">
        <v>1745</v>
      </c>
      <c r="Y50" s="75"/>
      <c r="Z50" s="181"/>
      <c r="AA50" s="181"/>
      <c r="AB50" s="70">
        <f>AA49*(AD50/100)</f>
        <v>0</v>
      </c>
      <c r="AC50" s="70" t="s">
        <v>1745</v>
      </c>
      <c r="AD50" s="72"/>
      <c r="AE50" s="178"/>
      <c r="AF50" s="178"/>
      <c r="AG50" s="73">
        <f>AF49*(AI50/100)</f>
        <v>0</v>
      </c>
      <c r="AH50" s="73" t="s">
        <v>1745</v>
      </c>
      <c r="AI50" s="75"/>
      <c r="AJ50" s="181"/>
      <c r="AK50" s="181"/>
      <c r="AL50" s="70">
        <f>AK49*(AN50/100)</f>
        <v>0</v>
      </c>
      <c r="AM50" s="70" t="s">
        <v>1745</v>
      </c>
      <c r="AN50" s="72"/>
    </row>
    <row r="51" spans="1:40" ht="15" customHeight="1">
      <c r="A51" s="155"/>
      <c r="B51" s="155"/>
      <c r="C51" s="185"/>
      <c r="D51" s="68">
        <f t="shared" si="0"/>
        <v>0</v>
      </c>
      <c r="E51" s="76"/>
      <c r="F51" s="182"/>
      <c r="G51" s="182"/>
      <c r="H51" s="70">
        <f>G49*(J51/100)</f>
        <v>0</v>
      </c>
      <c r="I51" s="70" t="s">
        <v>1746</v>
      </c>
      <c r="J51" s="72"/>
      <c r="K51" s="179"/>
      <c r="L51" s="179"/>
      <c r="M51" s="73">
        <f>L49*(O51/100)</f>
        <v>0</v>
      </c>
      <c r="N51" s="73" t="s">
        <v>1746</v>
      </c>
      <c r="O51" s="75"/>
      <c r="P51" s="182"/>
      <c r="Q51" s="182"/>
      <c r="R51" s="70">
        <f>Q49*(T51/100)</f>
        <v>0</v>
      </c>
      <c r="S51" s="70" t="s">
        <v>1746</v>
      </c>
      <c r="T51" s="72"/>
      <c r="U51" s="179"/>
      <c r="V51" s="179"/>
      <c r="W51" s="73">
        <f>V49*(Y51/100)</f>
        <v>0</v>
      </c>
      <c r="X51" s="73" t="s">
        <v>1746</v>
      </c>
      <c r="Y51" s="75"/>
      <c r="Z51" s="182"/>
      <c r="AA51" s="182"/>
      <c r="AB51" s="70">
        <f>AA49*(AD51/100)</f>
        <v>0</v>
      </c>
      <c r="AC51" s="70" t="s">
        <v>1746</v>
      </c>
      <c r="AD51" s="72"/>
      <c r="AE51" s="179"/>
      <c r="AF51" s="179"/>
      <c r="AG51" s="73">
        <f>AF49*(AI51/100)</f>
        <v>0</v>
      </c>
      <c r="AH51" s="73" t="s">
        <v>1746</v>
      </c>
      <c r="AI51" s="75"/>
      <c r="AJ51" s="182"/>
      <c r="AK51" s="182"/>
      <c r="AL51" s="70">
        <f>AK49*(AN51/100)</f>
        <v>0</v>
      </c>
      <c r="AM51" s="70" t="s">
        <v>1746</v>
      </c>
      <c r="AN51" s="72"/>
    </row>
    <row r="52" spans="1:40" ht="15" customHeight="1">
      <c r="A52" s="155"/>
      <c r="B52" s="155"/>
      <c r="C52" s="183" t="s">
        <v>1826</v>
      </c>
      <c r="D52" s="68">
        <f t="shared" si="0"/>
        <v>0</v>
      </c>
      <c r="E52" s="68">
        <f>人员信息!G26</f>
        <v>20.314800000000002</v>
      </c>
      <c r="F52" s="180"/>
      <c r="G52" s="180"/>
      <c r="H52" s="70">
        <f>G52*J52/100</f>
        <v>0</v>
      </c>
      <c r="I52" s="71" t="s">
        <v>1744</v>
      </c>
      <c r="J52" s="72"/>
      <c r="K52" s="177"/>
      <c r="L52" s="177"/>
      <c r="M52" s="73">
        <f>L52*O52/100</f>
        <v>0</v>
      </c>
      <c r="N52" s="74" t="s">
        <v>1744</v>
      </c>
      <c r="O52" s="75"/>
      <c r="P52" s="180"/>
      <c r="Q52" s="180"/>
      <c r="R52" s="70">
        <f>Q52*T52/100</f>
        <v>0</v>
      </c>
      <c r="S52" s="71" t="s">
        <v>1744</v>
      </c>
      <c r="T52" s="72"/>
      <c r="U52" s="177"/>
      <c r="V52" s="177"/>
      <c r="W52" s="73">
        <f>V52*Y52/100</f>
        <v>0</v>
      </c>
      <c r="X52" s="74" t="s">
        <v>1744</v>
      </c>
      <c r="Y52" s="75"/>
      <c r="Z52" s="180"/>
      <c r="AA52" s="180"/>
      <c r="AB52" s="70">
        <f>AA52*AD52/100</f>
        <v>0</v>
      </c>
      <c r="AC52" s="71" t="s">
        <v>1744</v>
      </c>
      <c r="AD52" s="72"/>
      <c r="AE52" s="177"/>
      <c r="AF52" s="177"/>
      <c r="AG52" s="73">
        <f>AF52*AI52/100</f>
        <v>0</v>
      </c>
      <c r="AH52" s="74" t="s">
        <v>1744</v>
      </c>
      <c r="AI52" s="75"/>
      <c r="AJ52" s="180"/>
      <c r="AK52" s="180"/>
      <c r="AL52" s="70">
        <f>AK52*AN52/100</f>
        <v>0</v>
      </c>
      <c r="AM52" s="71" t="s">
        <v>1744</v>
      </c>
      <c r="AN52" s="72"/>
    </row>
    <row r="53" spans="1:40" ht="15" customHeight="1">
      <c r="A53" s="155"/>
      <c r="B53" s="155"/>
      <c r="C53" s="184"/>
      <c r="D53" s="68">
        <f t="shared" si="0"/>
        <v>0</v>
      </c>
      <c r="E53" s="68">
        <f>人员信息!G27</f>
        <v>0</v>
      </c>
      <c r="F53" s="181"/>
      <c r="G53" s="181"/>
      <c r="H53" s="70">
        <f>G52*J53/100</f>
        <v>0</v>
      </c>
      <c r="I53" s="70" t="s">
        <v>1745</v>
      </c>
      <c r="J53" s="72"/>
      <c r="K53" s="178"/>
      <c r="L53" s="178"/>
      <c r="M53" s="73">
        <f>L52*O53/100</f>
        <v>0</v>
      </c>
      <c r="N53" s="73" t="s">
        <v>1745</v>
      </c>
      <c r="O53" s="75"/>
      <c r="P53" s="181"/>
      <c r="Q53" s="181"/>
      <c r="R53" s="70">
        <f>Q52*T53/100</f>
        <v>0</v>
      </c>
      <c r="S53" s="70" t="s">
        <v>1745</v>
      </c>
      <c r="T53" s="72"/>
      <c r="U53" s="178"/>
      <c r="V53" s="178"/>
      <c r="W53" s="73">
        <f>V52*Y53/100</f>
        <v>0</v>
      </c>
      <c r="X53" s="73" t="s">
        <v>1745</v>
      </c>
      <c r="Y53" s="75"/>
      <c r="Z53" s="181"/>
      <c r="AA53" s="181"/>
      <c r="AB53" s="70">
        <f>AA52*AD53/100</f>
        <v>0</v>
      </c>
      <c r="AC53" s="70" t="s">
        <v>1745</v>
      </c>
      <c r="AD53" s="72"/>
      <c r="AE53" s="178"/>
      <c r="AF53" s="178"/>
      <c r="AG53" s="73">
        <f>AF52*AI53/100</f>
        <v>0</v>
      </c>
      <c r="AH53" s="73" t="s">
        <v>1745</v>
      </c>
      <c r="AI53" s="75"/>
      <c r="AJ53" s="181"/>
      <c r="AK53" s="181"/>
      <c r="AL53" s="70">
        <f>AK52*AN53/100</f>
        <v>0</v>
      </c>
      <c r="AM53" s="70" t="s">
        <v>1745</v>
      </c>
      <c r="AN53" s="72"/>
    </row>
    <row r="54" spans="1:40" ht="15" customHeight="1">
      <c r="A54" s="155"/>
      <c r="B54" s="155"/>
      <c r="C54" s="185"/>
      <c r="D54" s="68">
        <f t="shared" si="0"/>
        <v>0</v>
      </c>
      <c r="E54" s="76"/>
      <c r="F54" s="182"/>
      <c r="G54" s="182"/>
      <c r="H54" s="70">
        <f>G52*J54/100</f>
        <v>0</v>
      </c>
      <c r="I54" s="70" t="s">
        <v>1746</v>
      </c>
      <c r="J54" s="72"/>
      <c r="K54" s="179"/>
      <c r="L54" s="179"/>
      <c r="M54" s="73">
        <f>L52*O54/100</f>
        <v>0</v>
      </c>
      <c r="N54" s="73" t="s">
        <v>1746</v>
      </c>
      <c r="O54" s="75"/>
      <c r="P54" s="182"/>
      <c r="Q54" s="182"/>
      <c r="R54" s="70">
        <f>Q52*T54/100</f>
        <v>0</v>
      </c>
      <c r="S54" s="70" t="s">
        <v>1746</v>
      </c>
      <c r="T54" s="72"/>
      <c r="U54" s="179"/>
      <c r="V54" s="179"/>
      <c r="W54" s="73">
        <f>V52*Y54/100</f>
        <v>0</v>
      </c>
      <c r="X54" s="73" t="s">
        <v>1746</v>
      </c>
      <c r="Y54" s="75"/>
      <c r="Z54" s="182"/>
      <c r="AA54" s="182"/>
      <c r="AB54" s="70">
        <f>AA52*AD54/100</f>
        <v>0</v>
      </c>
      <c r="AC54" s="70" t="s">
        <v>1746</v>
      </c>
      <c r="AD54" s="72"/>
      <c r="AE54" s="179"/>
      <c r="AF54" s="179"/>
      <c r="AG54" s="73">
        <f>AF52*AI54/100</f>
        <v>0</v>
      </c>
      <c r="AH54" s="73" t="s">
        <v>1746</v>
      </c>
      <c r="AI54" s="75"/>
      <c r="AJ54" s="182"/>
      <c r="AK54" s="182"/>
      <c r="AL54" s="70">
        <f>AK52*AN54/100</f>
        <v>0</v>
      </c>
      <c r="AM54" s="70" t="s">
        <v>1746</v>
      </c>
      <c r="AN54" s="72"/>
    </row>
    <row r="55" spans="1:40" ht="15" customHeight="1">
      <c r="A55" s="155"/>
      <c r="B55" s="155"/>
      <c r="C55" s="183" t="s">
        <v>1827</v>
      </c>
      <c r="D55" s="68">
        <f t="shared" si="0"/>
        <v>0</v>
      </c>
      <c r="E55" s="68">
        <f>人员信息!G26</f>
        <v>20.314800000000002</v>
      </c>
      <c r="F55" s="180"/>
      <c r="G55" s="180"/>
      <c r="H55" s="70">
        <f>G55*J55/100</f>
        <v>0</v>
      </c>
      <c r="I55" s="71" t="s">
        <v>1744</v>
      </c>
      <c r="J55" s="72"/>
      <c r="K55" s="177"/>
      <c r="L55" s="177"/>
      <c r="M55" s="73">
        <f>L55*O55/100</f>
        <v>0</v>
      </c>
      <c r="N55" s="74" t="s">
        <v>1744</v>
      </c>
      <c r="O55" s="75"/>
      <c r="P55" s="180"/>
      <c r="Q55" s="180"/>
      <c r="R55" s="70">
        <f>Q55*T55/100</f>
        <v>0</v>
      </c>
      <c r="S55" s="71" t="s">
        <v>1744</v>
      </c>
      <c r="T55" s="72"/>
      <c r="U55" s="177"/>
      <c r="V55" s="177"/>
      <c r="W55" s="73">
        <f>V55*Y55/100</f>
        <v>0</v>
      </c>
      <c r="X55" s="74" t="s">
        <v>1744</v>
      </c>
      <c r="Y55" s="75"/>
      <c r="Z55" s="180"/>
      <c r="AA55" s="180"/>
      <c r="AB55" s="70">
        <f>AA55*AD55/100</f>
        <v>0</v>
      </c>
      <c r="AC55" s="71" t="s">
        <v>1744</v>
      </c>
      <c r="AD55" s="72"/>
      <c r="AE55" s="177"/>
      <c r="AF55" s="177"/>
      <c r="AG55" s="73">
        <f>AF55*AI55/100</f>
        <v>0</v>
      </c>
      <c r="AH55" s="74" t="s">
        <v>1744</v>
      </c>
      <c r="AI55" s="75"/>
      <c r="AJ55" s="180"/>
      <c r="AK55" s="180"/>
      <c r="AL55" s="70">
        <f>AK55*AN55/100</f>
        <v>0</v>
      </c>
      <c r="AM55" s="71" t="s">
        <v>1744</v>
      </c>
      <c r="AN55" s="72"/>
    </row>
    <row r="56" spans="1:40" ht="15" customHeight="1">
      <c r="A56" s="155"/>
      <c r="B56" s="155"/>
      <c r="C56" s="184"/>
      <c r="D56" s="68">
        <f t="shared" si="0"/>
        <v>0</v>
      </c>
      <c r="E56" s="68">
        <f>人员信息!G27</f>
        <v>0</v>
      </c>
      <c r="F56" s="181"/>
      <c r="G56" s="181"/>
      <c r="H56" s="70">
        <f>G55*J56/100</f>
        <v>0</v>
      </c>
      <c r="I56" s="70" t="s">
        <v>1745</v>
      </c>
      <c r="J56" s="72"/>
      <c r="K56" s="178"/>
      <c r="L56" s="178"/>
      <c r="M56" s="73">
        <f>L55*O56/100</f>
        <v>0</v>
      </c>
      <c r="N56" s="73" t="s">
        <v>1745</v>
      </c>
      <c r="O56" s="75"/>
      <c r="P56" s="181"/>
      <c r="Q56" s="181"/>
      <c r="R56" s="70">
        <f>Q55*T56/100</f>
        <v>0</v>
      </c>
      <c r="S56" s="70" t="s">
        <v>1745</v>
      </c>
      <c r="T56" s="72"/>
      <c r="U56" s="178"/>
      <c r="V56" s="178"/>
      <c r="W56" s="73">
        <f>V55*Y56/100</f>
        <v>0</v>
      </c>
      <c r="X56" s="73" t="s">
        <v>1745</v>
      </c>
      <c r="Y56" s="75"/>
      <c r="Z56" s="181"/>
      <c r="AA56" s="181"/>
      <c r="AB56" s="70">
        <f>AA55*AD56/100</f>
        <v>0</v>
      </c>
      <c r="AC56" s="70" t="s">
        <v>1745</v>
      </c>
      <c r="AD56" s="72"/>
      <c r="AE56" s="178"/>
      <c r="AF56" s="178"/>
      <c r="AG56" s="73">
        <f>AF55*AI56/100</f>
        <v>0</v>
      </c>
      <c r="AH56" s="73" t="s">
        <v>1745</v>
      </c>
      <c r="AI56" s="75"/>
      <c r="AJ56" s="181"/>
      <c r="AK56" s="181"/>
      <c r="AL56" s="70">
        <f>AK55*AN56/100</f>
        <v>0</v>
      </c>
      <c r="AM56" s="70" t="s">
        <v>1745</v>
      </c>
      <c r="AN56" s="72"/>
    </row>
    <row r="57" spans="1:40" ht="15" customHeight="1">
      <c r="A57" s="155"/>
      <c r="B57" s="155"/>
      <c r="C57" s="185"/>
      <c r="D57" s="68">
        <f t="shared" si="0"/>
        <v>0</v>
      </c>
      <c r="E57" s="76"/>
      <c r="F57" s="182"/>
      <c r="G57" s="182"/>
      <c r="H57" s="70">
        <f>G55*J57/100</f>
        <v>0</v>
      </c>
      <c r="I57" s="70" t="s">
        <v>1746</v>
      </c>
      <c r="J57" s="72"/>
      <c r="K57" s="179"/>
      <c r="L57" s="179"/>
      <c r="M57" s="73">
        <f>L55*O57/100</f>
        <v>0</v>
      </c>
      <c r="N57" s="73" t="s">
        <v>1746</v>
      </c>
      <c r="O57" s="75"/>
      <c r="P57" s="182"/>
      <c r="Q57" s="182"/>
      <c r="R57" s="70">
        <f>Q55*T57/100</f>
        <v>0</v>
      </c>
      <c r="S57" s="70" t="s">
        <v>1746</v>
      </c>
      <c r="T57" s="72"/>
      <c r="U57" s="179"/>
      <c r="V57" s="179"/>
      <c r="W57" s="73">
        <f>V55*Y57/100</f>
        <v>0</v>
      </c>
      <c r="X57" s="73" t="s">
        <v>1746</v>
      </c>
      <c r="Y57" s="75"/>
      <c r="Z57" s="182"/>
      <c r="AA57" s="182"/>
      <c r="AB57" s="70">
        <f>AA55*AD57/100</f>
        <v>0</v>
      </c>
      <c r="AC57" s="70" t="s">
        <v>1746</v>
      </c>
      <c r="AD57" s="72"/>
      <c r="AE57" s="179"/>
      <c r="AF57" s="179"/>
      <c r="AG57" s="73">
        <f>AF55*AI57/100</f>
        <v>0</v>
      </c>
      <c r="AH57" s="73" t="s">
        <v>1746</v>
      </c>
      <c r="AI57" s="75"/>
      <c r="AJ57" s="182"/>
      <c r="AK57" s="182"/>
      <c r="AL57" s="70">
        <f>AK55*AN57/100</f>
        <v>0</v>
      </c>
      <c r="AM57" s="70" t="s">
        <v>1746</v>
      </c>
      <c r="AN57" s="72"/>
    </row>
    <row r="58" spans="1:40" ht="15" customHeight="1">
      <c r="A58" s="155"/>
      <c r="B58" s="155"/>
      <c r="C58" s="183" t="s">
        <v>1828</v>
      </c>
      <c r="D58" s="68">
        <f t="shared" si="0"/>
        <v>0</v>
      </c>
      <c r="E58" s="68">
        <f>人员信息!G26</f>
        <v>20.314800000000002</v>
      </c>
      <c r="F58" s="180"/>
      <c r="G58" s="180"/>
      <c r="H58" s="70">
        <f>G58*J58/100</f>
        <v>0</v>
      </c>
      <c r="I58" s="71" t="s">
        <v>1744</v>
      </c>
      <c r="J58" s="72"/>
      <c r="K58" s="177"/>
      <c r="L58" s="177"/>
      <c r="M58" s="73">
        <f>L58*O58/100</f>
        <v>0</v>
      </c>
      <c r="N58" s="74" t="s">
        <v>1744</v>
      </c>
      <c r="O58" s="75"/>
      <c r="P58" s="180"/>
      <c r="Q58" s="180"/>
      <c r="R58" s="70">
        <f>Q58*T58/100</f>
        <v>0</v>
      </c>
      <c r="S58" s="71" t="s">
        <v>1744</v>
      </c>
      <c r="T58" s="72"/>
      <c r="U58" s="177"/>
      <c r="V58" s="177"/>
      <c r="W58" s="73">
        <f>V58*Y58/100</f>
        <v>0</v>
      </c>
      <c r="X58" s="74" t="s">
        <v>1744</v>
      </c>
      <c r="Y58" s="75"/>
      <c r="Z58" s="180"/>
      <c r="AA58" s="180"/>
      <c r="AB58" s="70">
        <f>AA58*AD58/100</f>
        <v>0</v>
      </c>
      <c r="AC58" s="71" t="s">
        <v>1744</v>
      </c>
      <c r="AD58" s="72"/>
      <c r="AE58" s="177"/>
      <c r="AF58" s="177"/>
      <c r="AG58" s="73">
        <f>AF58*AI58/100</f>
        <v>0</v>
      </c>
      <c r="AH58" s="74" t="s">
        <v>1744</v>
      </c>
      <c r="AI58" s="75"/>
      <c r="AJ58" s="180"/>
      <c r="AK58" s="180"/>
      <c r="AL58" s="70">
        <f>AK58*AN58/100</f>
        <v>0</v>
      </c>
      <c r="AM58" s="71" t="s">
        <v>1744</v>
      </c>
      <c r="AN58" s="72"/>
    </row>
    <row r="59" spans="1:40" ht="15" customHeight="1">
      <c r="A59" s="155"/>
      <c r="B59" s="155"/>
      <c r="C59" s="184"/>
      <c r="D59" s="68">
        <f t="shared" si="0"/>
        <v>0</v>
      </c>
      <c r="E59" s="68">
        <f>人员信息!G27</f>
        <v>0</v>
      </c>
      <c r="F59" s="181"/>
      <c r="G59" s="181"/>
      <c r="H59" s="70">
        <f>G58*J59/100</f>
        <v>0</v>
      </c>
      <c r="I59" s="70" t="s">
        <v>1745</v>
      </c>
      <c r="J59" s="72"/>
      <c r="K59" s="178"/>
      <c r="L59" s="178"/>
      <c r="M59" s="73">
        <f>L58*O59/100</f>
        <v>0</v>
      </c>
      <c r="N59" s="73" t="s">
        <v>1745</v>
      </c>
      <c r="O59" s="75"/>
      <c r="P59" s="181"/>
      <c r="Q59" s="181"/>
      <c r="R59" s="70">
        <f>Q58*T59/100</f>
        <v>0</v>
      </c>
      <c r="S59" s="70" t="s">
        <v>1745</v>
      </c>
      <c r="T59" s="72"/>
      <c r="U59" s="178"/>
      <c r="V59" s="178"/>
      <c r="W59" s="73">
        <f>V58*Y59/100</f>
        <v>0</v>
      </c>
      <c r="X59" s="73" t="s">
        <v>1745</v>
      </c>
      <c r="Y59" s="75"/>
      <c r="Z59" s="181"/>
      <c r="AA59" s="181"/>
      <c r="AB59" s="70">
        <f>AA58*AD59/100</f>
        <v>0</v>
      </c>
      <c r="AC59" s="70" t="s">
        <v>1745</v>
      </c>
      <c r="AD59" s="72"/>
      <c r="AE59" s="178"/>
      <c r="AF59" s="178"/>
      <c r="AG59" s="73">
        <f>AF58*AI59/100</f>
        <v>0</v>
      </c>
      <c r="AH59" s="73" t="s">
        <v>1745</v>
      </c>
      <c r="AI59" s="75"/>
      <c r="AJ59" s="181"/>
      <c r="AK59" s="181"/>
      <c r="AL59" s="70">
        <f>AK58*AN59/100</f>
        <v>0</v>
      </c>
      <c r="AM59" s="70" t="s">
        <v>1745</v>
      </c>
      <c r="AN59" s="72"/>
    </row>
    <row r="60" spans="1:40" ht="15" customHeight="1">
      <c r="A60" s="155"/>
      <c r="B60" s="155"/>
      <c r="C60" s="185"/>
      <c r="D60" s="68">
        <f t="shared" si="0"/>
        <v>0</v>
      </c>
      <c r="E60" s="76"/>
      <c r="F60" s="182"/>
      <c r="G60" s="182"/>
      <c r="H60" s="70">
        <f>G58*J60/100</f>
        <v>0</v>
      </c>
      <c r="I60" s="70" t="s">
        <v>1746</v>
      </c>
      <c r="J60" s="72"/>
      <c r="K60" s="179"/>
      <c r="L60" s="179"/>
      <c r="M60" s="73">
        <f>L58*O60/100</f>
        <v>0</v>
      </c>
      <c r="N60" s="73" t="s">
        <v>1746</v>
      </c>
      <c r="O60" s="75"/>
      <c r="P60" s="182"/>
      <c r="Q60" s="182"/>
      <c r="R60" s="70">
        <f>Q58*T60/100</f>
        <v>0</v>
      </c>
      <c r="S60" s="70" t="s">
        <v>1746</v>
      </c>
      <c r="T60" s="72"/>
      <c r="U60" s="179"/>
      <c r="V60" s="179"/>
      <c r="W60" s="73">
        <f>V58*Y60/100</f>
        <v>0</v>
      </c>
      <c r="X60" s="73" t="s">
        <v>1746</v>
      </c>
      <c r="Y60" s="75"/>
      <c r="Z60" s="182"/>
      <c r="AA60" s="182"/>
      <c r="AB60" s="70">
        <f>AA58*AD60/100</f>
        <v>0</v>
      </c>
      <c r="AC60" s="70" t="s">
        <v>1746</v>
      </c>
      <c r="AD60" s="72"/>
      <c r="AE60" s="179"/>
      <c r="AF60" s="179"/>
      <c r="AG60" s="73">
        <f>AF58*AI60/100</f>
        <v>0</v>
      </c>
      <c r="AH60" s="73" t="s">
        <v>1746</v>
      </c>
      <c r="AI60" s="75"/>
      <c r="AJ60" s="182"/>
      <c r="AK60" s="182"/>
      <c r="AL60" s="70">
        <f>AK58*AN60/100</f>
        <v>0</v>
      </c>
      <c r="AM60" s="70" t="s">
        <v>1746</v>
      </c>
      <c r="AN60" s="72"/>
    </row>
    <row r="61" spans="1:40" ht="15" customHeight="1">
      <c r="A61" s="155"/>
      <c r="B61" s="155"/>
      <c r="C61" s="183" t="s">
        <v>1829</v>
      </c>
      <c r="D61" s="68">
        <f t="shared" si="0"/>
        <v>0</v>
      </c>
      <c r="E61" s="68">
        <f>人员信息!G26</f>
        <v>20.314800000000002</v>
      </c>
      <c r="F61" s="180"/>
      <c r="G61" s="180"/>
      <c r="H61" s="70">
        <f>G61*J61/100</f>
        <v>0</v>
      </c>
      <c r="I61" s="71" t="s">
        <v>1744</v>
      </c>
      <c r="J61" s="72"/>
      <c r="K61" s="177"/>
      <c r="L61" s="177"/>
      <c r="M61" s="73">
        <f>L61*O61/100</f>
        <v>0</v>
      </c>
      <c r="N61" s="74" t="s">
        <v>1744</v>
      </c>
      <c r="O61" s="75"/>
      <c r="P61" s="180"/>
      <c r="Q61" s="180"/>
      <c r="R61" s="70">
        <f>Q61*T61/100</f>
        <v>0</v>
      </c>
      <c r="S61" s="71" t="s">
        <v>1744</v>
      </c>
      <c r="T61" s="72"/>
      <c r="U61" s="177"/>
      <c r="V61" s="177"/>
      <c r="W61" s="73">
        <f>V61*Y61/100</f>
        <v>0</v>
      </c>
      <c r="X61" s="74" t="s">
        <v>1744</v>
      </c>
      <c r="Y61" s="75"/>
      <c r="Z61" s="180"/>
      <c r="AA61" s="180"/>
      <c r="AB61" s="70">
        <f>AA61*AD61/100</f>
        <v>0</v>
      </c>
      <c r="AC61" s="71" t="s">
        <v>1744</v>
      </c>
      <c r="AD61" s="72"/>
      <c r="AE61" s="177"/>
      <c r="AF61" s="177"/>
      <c r="AG61" s="73">
        <f>AF61*AI61/100</f>
        <v>0</v>
      </c>
      <c r="AH61" s="74" t="s">
        <v>1744</v>
      </c>
      <c r="AI61" s="75"/>
      <c r="AJ61" s="180"/>
      <c r="AK61" s="180"/>
      <c r="AL61" s="70">
        <f>AK61*AN61/100</f>
        <v>0</v>
      </c>
      <c r="AM61" s="71" t="s">
        <v>1744</v>
      </c>
      <c r="AN61" s="72"/>
    </row>
    <row r="62" spans="1:40" ht="15" customHeight="1">
      <c r="A62" s="155"/>
      <c r="B62" s="155"/>
      <c r="C62" s="184"/>
      <c r="D62" s="68">
        <f t="shared" si="0"/>
        <v>0</v>
      </c>
      <c r="E62" s="68">
        <f>人员信息!G27</f>
        <v>0</v>
      </c>
      <c r="F62" s="181"/>
      <c r="G62" s="181"/>
      <c r="H62" s="70">
        <f>G61*J62/100</f>
        <v>0</v>
      </c>
      <c r="I62" s="70" t="s">
        <v>1745</v>
      </c>
      <c r="J62" s="72"/>
      <c r="K62" s="178"/>
      <c r="L62" s="178"/>
      <c r="M62" s="73">
        <f>L61*O62/100</f>
        <v>0</v>
      </c>
      <c r="N62" s="73" t="s">
        <v>1745</v>
      </c>
      <c r="O62" s="75"/>
      <c r="P62" s="181"/>
      <c r="Q62" s="181"/>
      <c r="R62" s="70">
        <f>Q61*T62/100</f>
        <v>0</v>
      </c>
      <c r="S62" s="70" t="s">
        <v>1745</v>
      </c>
      <c r="T62" s="72"/>
      <c r="U62" s="178"/>
      <c r="V62" s="178"/>
      <c r="W62" s="73">
        <f>V61*Y62/100</f>
        <v>0</v>
      </c>
      <c r="X62" s="73" t="s">
        <v>1745</v>
      </c>
      <c r="Y62" s="75"/>
      <c r="Z62" s="181"/>
      <c r="AA62" s="181"/>
      <c r="AB62" s="70">
        <f>AA61*AD62/100</f>
        <v>0</v>
      </c>
      <c r="AC62" s="70" t="s">
        <v>1745</v>
      </c>
      <c r="AD62" s="72"/>
      <c r="AE62" s="178"/>
      <c r="AF62" s="178"/>
      <c r="AG62" s="73">
        <f>AF61*AI62/100</f>
        <v>0</v>
      </c>
      <c r="AH62" s="73" t="s">
        <v>1745</v>
      </c>
      <c r="AI62" s="75"/>
      <c r="AJ62" s="181"/>
      <c r="AK62" s="181"/>
      <c r="AL62" s="70">
        <f>AK61*AN62/100</f>
        <v>0</v>
      </c>
      <c r="AM62" s="70" t="s">
        <v>1745</v>
      </c>
      <c r="AN62" s="72"/>
    </row>
    <row r="63" spans="1:40" ht="15" customHeight="1">
      <c r="A63" s="155"/>
      <c r="B63" s="155"/>
      <c r="C63" s="185"/>
      <c r="D63" s="68">
        <f t="shared" si="0"/>
        <v>0</v>
      </c>
      <c r="E63" s="76"/>
      <c r="F63" s="182"/>
      <c r="G63" s="182"/>
      <c r="H63" s="70">
        <f>G61*J63/100</f>
        <v>0</v>
      </c>
      <c r="I63" s="70" t="s">
        <v>1746</v>
      </c>
      <c r="J63" s="72"/>
      <c r="K63" s="179"/>
      <c r="L63" s="179"/>
      <c r="M63" s="73">
        <f>L61*O63/100</f>
        <v>0</v>
      </c>
      <c r="N63" s="73" t="s">
        <v>1746</v>
      </c>
      <c r="O63" s="75"/>
      <c r="P63" s="182"/>
      <c r="Q63" s="182"/>
      <c r="R63" s="70">
        <f>Q61*T63/100</f>
        <v>0</v>
      </c>
      <c r="S63" s="70" t="s">
        <v>1746</v>
      </c>
      <c r="T63" s="72"/>
      <c r="U63" s="179"/>
      <c r="V63" s="179"/>
      <c r="W63" s="73">
        <f>V61*Y63/100</f>
        <v>0</v>
      </c>
      <c r="X63" s="73" t="s">
        <v>1746</v>
      </c>
      <c r="Y63" s="75"/>
      <c r="Z63" s="182"/>
      <c r="AA63" s="182"/>
      <c r="AB63" s="70">
        <f>AA61*AD63/100</f>
        <v>0</v>
      </c>
      <c r="AC63" s="70" t="s">
        <v>1746</v>
      </c>
      <c r="AD63" s="72"/>
      <c r="AE63" s="179"/>
      <c r="AF63" s="179"/>
      <c r="AG63" s="73">
        <f>AF61*AI63/100</f>
        <v>0</v>
      </c>
      <c r="AH63" s="73" t="s">
        <v>1746</v>
      </c>
      <c r="AI63" s="75"/>
      <c r="AJ63" s="182"/>
      <c r="AK63" s="182"/>
      <c r="AL63" s="70">
        <f>AK61*AN63/100</f>
        <v>0</v>
      </c>
      <c r="AM63" s="70" t="s">
        <v>1746</v>
      </c>
      <c r="AN63" s="72"/>
    </row>
    <row r="64" spans="1:40" ht="15" customHeight="1">
      <c r="A64" s="155"/>
      <c r="B64" s="155"/>
      <c r="C64" s="183" t="s">
        <v>1830</v>
      </c>
      <c r="D64" s="68">
        <f t="shared" si="0"/>
        <v>0</v>
      </c>
      <c r="E64" s="68">
        <f>人员信息!G26</f>
        <v>20.314800000000002</v>
      </c>
      <c r="F64" s="180"/>
      <c r="G64" s="180"/>
      <c r="H64" s="70">
        <f>G64*J64/100</f>
        <v>0</v>
      </c>
      <c r="I64" s="71" t="s">
        <v>1744</v>
      </c>
      <c r="J64" s="72"/>
      <c r="K64" s="177"/>
      <c r="L64" s="177"/>
      <c r="M64" s="73">
        <f>L64*O64/100</f>
        <v>0</v>
      </c>
      <c r="N64" s="74" t="s">
        <v>1744</v>
      </c>
      <c r="O64" s="75"/>
      <c r="P64" s="180"/>
      <c r="Q64" s="180"/>
      <c r="R64" s="70">
        <f>Q64*T64/100</f>
        <v>0</v>
      </c>
      <c r="S64" s="71" t="s">
        <v>1744</v>
      </c>
      <c r="T64" s="72"/>
      <c r="U64" s="177"/>
      <c r="V64" s="177"/>
      <c r="W64" s="73">
        <f>V64*Y64/100</f>
        <v>0</v>
      </c>
      <c r="X64" s="74" t="s">
        <v>1744</v>
      </c>
      <c r="Y64" s="75"/>
      <c r="Z64" s="180"/>
      <c r="AA64" s="180"/>
      <c r="AB64" s="70">
        <f>AA64*AD64/100</f>
        <v>0</v>
      </c>
      <c r="AC64" s="71" t="s">
        <v>1744</v>
      </c>
      <c r="AD64" s="72"/>
      <c r="AE64" s="177"/>
      <c r="AF64" s="177"/>
      <c r="AG64" s="73">
        <f>AF64*AI64/100</f>
        <v>0</v>
      </c>
      <c r="AH64" s="74" t="s">
        <v>1744</v>
      </c>
      <c r="AI64" s="75"/>
      <c r="AJ64" s="180"/>
      <c r="AK64" s="180"/>
      <c r="AL64" s="70">
        <f>AK64*AN64/100</f>
        <v>0</v>
      </c>
      <c r="AM64" s="71" t="s">
        <v>1744</v>
      </c>
      <c r="AN64" s="72"/>
    </row>
    <row r="65" spans="1:40" ht="15" customHeight="1">
      <c r="A65" s="155"/>
      <c r="B65" s="155"/>
      <c r="C65" s="184"/>
      <c r="D65" s="68">
        <f t="shared" si="0"/>
        <v>0</v>
      </c>
      <c r="E65" s="68">
        <f>人员信息!G27</f>
        <v>0</v>
      </c>
      <c r="F65" s="181"/>
      <c r="G65" s="181"/>
      <c r="H65" s="70">
        <f>G64*J65/100</f>
        <v>0</v>
      </c>
      <c r="I65" s="70" t="s">
        <v>1745</v>
      </c>
      <c r="J65" s="72"/>
      <c r="K65" s="178"/>
      <c r="L65" s="178"/>
      <c r="M65" s="73">
        <f>L64*O65/100</f>
        <v>0</v>
      </c>
      <c r="N65" s="73" t="s">
        <v>1745</v>
      </c>
      <c r="O65" s="75"/>
      <c r="P65" s="181"/>
      <c r="Q65" s="181"/>
      <c r="R65" s="70">
        <f>Q64*T65/100</f>
        <v>0</v>
      </c>
      <c r="S65" s="70" t="s">
        <v>1745</v>
      </c>
      <c r="T65" s="72"/>
      <c r="U65" s="178"/>
      <c r="V65" s="178"/>
      <c r="W65" s="73">
        <f>V64*Y65/100</f>
        <v>0</v>
      </c>
      <c r="X65" s="73" t="s">
        <v>1745</v>
      </c>
      <c r="Y65" s="75"/>
      <c r="Z65" s="181"/>
      <c r="AA65" s="181"/>
      <c r="AB65" s="70">
        <f>AA64*AD65/100</f>
        <v>0</v>
      </c>
      <c r="AC65" s="70" t="s">
        <v>1745</v>
      </c>
      <c r="AD65" s="72"/>
      <c r="AE65" s="178"/>
      <c r="AF65" s="178"/>
      <c r="AG65" s="73">
        <f>AF64*AI65/100</f>
        <v>0</v>
      </c>
      <c r="AH65" s="73" t="s">
        <v>1745</v>
      </c>
      <c r="AI65" s="75"/>
      <c r="AJ65" s="181"/>
      <c r="AK65" s="181"/>
      <c r="AL65" s="70">
        <f>AK64*AN65/100</f>
        <v>0</v>
      </c>
      <c r="AM65" s="70" t="s">
        <v>1745</v>
      </c>
      <c r="AN65" s="72"/>
    </row>
    <row r="66" spans="1:40" ht="15" customHeight="1">
      <c r="A66" s="155"/>
      <c r="B66" s="155"/>
      <c r="C66" s="185"/>
      <c r="D66" s="68">
        <f t="shared" si="0"/>
        <v>0</v>
      </c>
      <c r="E66" s="76"/>
      <c r="F66" s="182"/>
      <c r="G66" s="182"/>
      <c r="H66" s="70">
        <f>G64*J66/100</f>
        <v>0</v>
      </c>
      <c r="I66" s="70" t="s">
        <v>1746</v>
      </c>
      <c r="J66" s="72"/>
      <c r="K66" s="179"/>
      <c r="L66" s="179"/>
      <c r="M66" s="73">
        <f>L64*O66/100</f>
        <v>0</v>
      </c>
      <c r="N66" s="73" t="s">
        <v>1746</v>
      </c>
      <c r="O66" s="75"/>
      <c r="P66" s="182"/>
      <c r="Q66" s="182"/>
      <c r="R66" s="70">
        <f>Q64*T66/100</f>
        <v>0</v>
      </c>
      <c r="S66" s="70" t="s">
        <v>1746</v>
      </c>
      <c r="T66" s="72"/>
      <c r="U66" s="179"/>
      <c r="V66" s="179"/>
      <c r="W66" s="73">
        <f>V64*Y66/100</f>
        <v>0</v>
      </c>
      <c r="X66" s="73" t="s">
        <v>1746</v>
      </c>
      <c r="Y66" s="75"/>
      <c r="Z66" s="182"/>
      <c r="AA66" s="182"/>
      <c r="AB66" s="70">
        <f>AA64*AD66/100</f>
        <v>0</v>
      </c>
      <c r="AC66" s="70" t="s">
        <v>1746</v>
      </c>
      <c r="AD66" s="72"/>
      <c r="AE66" s="179"/>
      <c r="AF66" s="179"/>
      <c r="AG66" s="73">
        <f>AF64*AI66/100</f>
        <v>0</v>
      </c>
      <c r="AH66" s="73" t="s">
        <v>1746</v>
      </c>
      <c r="AI66" s="75"/>
      <c r="AJ66" s="182"/>
      <c r="AK66" s="182"/>
      <c r="AL66" s="70">
        <f>AK64*AN66/100</f>
        <v>0</v>
      </c>
      <c r="AM66" s="70" t="s">
        <v>1746</v>
      </c>
      <c r="AN66" s="72"/>
    </row>
    <row r="67" spans="1:40" ht="15" customHeight="1">
      <c r="A67" s="158" t="s">
        <v>260</v>
      </c>
      <c r="B67" s="155" t="s">
        <v>1763</v>
      </c>
      <c r="C67" s="183" t="s">
        <v>1831</v>
      </c>
      <c r="D67" s="68">
        <f t="shared" si="0"/>
        <v>0</v>
      </c>
      <c r="E67" s="68">
        <f>人员信息!H26</f>
        <v>81.259200000000007</v>
      </c>
      <c r="F67" s="180"/>
      <c r="G67" s="180"/>
      <c r="H67" s="70">
        <f>G67*(J67/100)</f>
        <v>0</v>
      </c>
      <c r="I67" s="71" t="s">
        <v>1752</v>
      </c>
      <c r="J67" s="72"/>
      <c r="K67" s="177"/>
      <c r="L67" s="177"/>
      <c r="M67" s="73">
        <f>L67*(O67/100)</f>
        <v>0</v>
      </c>
      <c r="N67" s="74" t="s">
        <v>1744</v>
      </c>
      <c r="O67" s="75"/>
      <c r="P67" s="180"/>
      <c r="Q67" s="180"/>
      <c r="R67" s="70">
        <f>Q67*(T67/100)</f>
        <v>0</v>
      </c>
      <c r="S67" s="71" t="s">
        <v>1744</v>
      </c>
      <c r="T67" s="72"/>
      <c r="U67" s="177"/>
      <c r="V67" s="177"/>
      <c r="W67" s="73">
        <f>V67*(Y67/100)</f>
        <v>0</v>
      </c>
      <c r="X67" s="74" t="s">
        <v>1744</v>
      </c>
      <c r="Y67" s="75"/>
      <c r="Z67" s="180"/>
      <c r="AA67" s="180"/>
      <c r="AB67" s="70">
        <f>AA67*(AD67/100)</f>
        <v>0</v>
      </c>
      <c r="AC67" s="71" t="s">
        <v>1752</v>
      </c>
      <c r="AD67" s="72"/>
      <c r="AE67" s="177"/>
      <c r="AF67" s="177"/>
      <c r="AG67" s="73">
        <f>AF67*(AI67/100)</f>
        <v>0</v>
      </c>
      <c r="AH67" s="74" t="s">
        <v>1744</v>
      </c>
      <c r="AI67" s="75"/>
      <c r="AJ67" s="180"/>
      <c r="AK67" s="180"/>
      <c r="AL67" s="70">
        <f>AK67*(AN67/100)</f>
        <v>0</v>
      </c>
      <c r="AM67" s="71" t="s">
        <v>1744</v>
      </c>
      <c r="AN67" s="72"/>
    </row>
    <row r="68" spans="1:40" ht="15" customHeight="1">
      <c r="A68" s="155"/>
      <c r="B68" s="155"/>
      <c r="C68" s="184"/>
      <c r="D68" s="68">
        <f t="shared" si="0"/>
        <v>0</v>
      </c>
      <c r="E68" s="68">
        <f>人员信息!H27</f>
        <v>42.636000000000003</v>
      </c>
      <c r="F68" s="181"/>
      <c r="G68" s="181"/>
      <c r="H68" s="70">
        <f>G67*(J68/100)</f>
        <v>0</v>
      </c>
      <c r="I68" s="70" t="s">
        <v>1745</v>
      </c>
      <c r="J68" s="72"/>
      <c r="K68" s="178"/>
      <c r="L68" s="178"/>
      <c r="M68" s="73">
        <f>L67*(O68/100)</f>
        <v>0</v>
      </c>
      <c r="N68" s="73" t="s">
        <v>1745</v>
      </c>
      <c r="O68" s="75"/>
      <c r="P68" s="181"/>
      <c r="Q68" s="181"/>
      <c r="R68" s="70">
        <f>Q67*(T68/100)</f>
        <v>0</v>
      </c>
      <c r="S68" s="70" t="s">
        <v>1745</v>
      </c>
      <c r="T68" s="72"/>
      <c r="U68" s="178"/>
      <c r="V68" s="178"/>
      <c r="W68" s="73">
        <f>V67*(Y68/100)</f>
        <v>0</v>
      </c>
      <c r="X68" s="73" t="s">
        <v>1745</v>
      </c>
      <c r="Y68" s="75"/>
      <c r="Z68" s="181"/>
      <c r="AA68" s="181"/>
      <c r="AB68" s="70">
        <f>AA67*(AD68/100)</f>
        <v>0</v>
      </c>
      <c r="AC68" s="70" t="s">
        <v>1745</v>
      </c>
      <c r="AD68" s="72"/>
      <c r="AE68" s="178"/>
      <c r="AF68" s="178"/>
      <c r="AG68" s="73">
        <f>AF67*(AI68/100)</f>
        <v>0</v>
      </c>
      <c r="AH68" s="73" t="s">
        <v>1745</v>
      </c>
      <c r="AI68" s="75"/>
      <c r="AJ68" s="181"/>
      <c r="AK68" s="181"/>
      <c r="AL68" s="70">
        <f>AK67*(AN68/100)</f>
        <v>0</v>
      </c>
      <c r="AM68" s="70" t="s">
        <v>1745</v>
      </c>
      <c r="AN68" s="72"/>
    </row>
    <row r="69" spans="1:40" ht="15" customHeight="1">
      <c r="A69" s="155"/>
      <c r="B69" s="155"/>
      <c r="C69" s="185"/>
      <c r="D69" s="68">
        <f t="shared" ref="D69:D108" si="1">H69+M69+R69+W69+AB69+AG69+AL69</f>
        <v>0</v>
      </c>
      <c r="E69" s="76"/>
      <c r="F69" s="182"/>
      <c r="G69" s="182"/>
      <c r="H69" s="70">
        <f>G67*(J69/100)</f>
        <v>0</v>
      </c>
      <c r="I69" s="70" t="s">
        <v>1746</v>
      </c>
      <c r="J69" s="72"/>
      <c r="K69" s="179"/>
      <c r="L69" s="179"/>
      <c r="M69" s="73">
        <f>L67*(O69/100)</f>
        <v>0</v>
      </c>
      <c r="N69" s="73" t="s">
        <v>1746</v>
      </c>
      <c r="O69" s="75"/>
      <c r="P69" s="182"/>
      <c r="Q69" s="182"/>
      <c r="R69" s="70">
        <f>Q67*(T69/100)</f>
        <v>0</v>
      </c>
      <c r="S69" s="70" t="s">
        <v>1746</v>
      </c>
      <c r="T69" s="72"/>
      <c r="U69" s="179"/>
      <c r="V69" s="179"/>
      <c r="W69" s="73">
        <f>V67*(Y69/100)</f>
        <v>0</v>
      </c>
      <c r="X69" s="73" t="s">
        <v>1746</v>
      </c>
      <c r="Y69" s="75"/>
      <c r="Z69" s="182"/>
      <c r="AA69" s="182"/>
      <c r="AB69" s="70">
        <f>AA67*(AD69/100)</f>
        <v>0</v>
      </c>
      <c r="AC69" s="70" t="s">
        <v>1746</v>
      </c>
      <c r="AD69" s="72"/>
      <c r="AE69" s="179"/>
      <c r="AF69" s="179"/>
      <c r="AG69" s="73">
        <f>AF67*(AI69/100)</f>
        <v>0</v>
      </c>
      <c r="AH69" s="73" t="s">
        <v>1746</v>
      </c>
      <c r="AI69" s="75"/>
      <c r="AJ69" s="182"/>
      <c r="AK69" s="182"/>
      <c r="AL69" s="70">
        <f>AK67*(AN69/100)</f>
        <v>0</v>
      </c>
      <c r="AM69" s="70" t="s">
        <v>1746</v>
      </c>
      <c r="AN69" s="72"/>
    </row>
    <row r="70" spans="1:40" ht="15" customHeight="1">
      <c r="A70" s="155"/>
      <c r="B70" s="155"/>
      <c r="C70" s="183" t="s">
        <v>1832</v>
      </c>
      <c r="D70" s="68">
        <f t="shared" si="1"/>
        <v>0</v>
      </c>
      <c r="E70" s="68">
        <f>人员信息!H26</f>
        <v>81.259200000000007</v>
      </c>
      <c r="F70" s="180"/>
      <c r="G70" s="180"/>
      <c r="H70" s="70">
        <f>G70*(J70/100)</f>
        <v>0</v>
      </c>
      <c r="I70" s="71" t="s">
        <v>1744</v>
      </c>
      <c r="J70" s="72"/>
      <c r="K70" s="177"/>
      <c r="L70" s="177"/>
      <c r="M70" s="73">
        <f>L70*(O70/100)</f>
        <v>0</v>
      </c>
      <c r="N70" s="74" t="s">
        <v>1744</v>
      </c>
      <c r="O70" s="75"/>
      <c r="P70" s="180"/>
      <c r="Q70" s="180"/>
      <c r="R70" s="70">
        <f>Q70*(T70/100)</f>
        <v>0</v>
      </c>
      <c r="S70" s="71" t="s">
        <v>1744</v>
      </c>
      <c r="T70" s="72"/>
      <c r="U70" s="177"/>
      <c r="V70" s="177"/>
      <c r="W70" s="73">
        <f>V70*(Y70/100)</f>
        <v>0</v>
      </c>
      <c r="X70" s="74" t="s">
        <v>1744</v>
      </c>
      <c r="Y70" s="75"/>
      <c r="Z70" s="180"/>
      <c r="AA70" s="180"/>
      <c r="AB70" s="70">
        <f>AA70*(AD70/100)</f>
        <v>0</v>
      </c>
      <c r="AC70" s="71" t="s">
        <v>1744</v>
      </c>
      <c r="AD70" s="72"/>
      <c r="AE70" s="177"/>
      <c r="AF70" s="177"/>
      <c r="AG70" s="73">
        <f>AF70*(AI70/100)</f>
        <v>0</v>
      </c>
      <c r="AH70" s="74" t="s">
        <v>1744</v>
      </c>
      <c r="AI70" s="75"/>
      <c r="AJ70" s="180"/>
      <c r="AK70" s="180"/>
      <c r="AL70" s="70">
        <f>AK70*(AN70/100)</f>
        <v>0</v>
      </c>
      <c r="AM70" s="71" t="s">
        <v>1744</v>
      </c>
      <c r="AN70" s="72"/>
    </row>
    <row r="71" spans="1:40" ht="15" customHeight="1">
      <c r="A71" s="155"/>
      <c r="B71" s="155"/>
      <c r="C71" s="184"/>
      <c r="D71" s="68">
        <f t="shared" si="1"/>
        <v>0</v>
      </c>
      <c r="E71" s="68">
        <f>人员信息!H27</f>
        <v>42.636000000000003</v>
      </c>
      <c r="F71" s="181"/>
      <c r="G71" s="181"/>
      <c r="H71" s="70">
        <f>G70*(J71/100)</f>
        <v>0</v>
      </c>
      <c r="I71" s="70" t="s">
        <v>1745</v>
      </c>
      <c r="J71" s="72"/>
      <c r="K71" s="178"/>
      <c r="L71" s="178"/>
      <c r="M71" s="73">
        <f>L70*(O71/100)</f>
        <v>0</v>
      </c>
      <c r="N71" s="73" t="s">
        <v>1745</v>
      </c>
      <c r="O71" s="75"/>
      <c r="P71" s="181"/>
      <c r="Q71" s="181"/>
      <c r="R71" s="70">
        <f>Q70*(T71/100)</f>
        <v>0</v>
      </c>
      <c r="S71" s="70" t="s">
        <v>1745</v>
      </c>
      <c r="T71" s="72"/>
      <c r="U71" s="178"/>
      <c r="V71" s="178"/>
      <c r="W71" s="73">
        <f>V70*(Y71/100)</f>
        <v>0</v>
      </c>
      <c r="X71" s="73" t="s">
        <v>1745</v>
      </c>
      <c r="Y71" s="75"/>
      <c r="Z71" s="181"/>
      <c r="AA71" s="181"/>
      <c r="AB71" s="70">
        <f>AA70*(AD71/100)</f>
        <v>0</v>
      </c>
      <c r="AC71" s="70" t="s">
        <v>1745</v>
      </c>
      <c r="AD71" s="72"/>
      <c r="AE71" s="178"/>
      <c r="AF71" s="178"/>
      <c r="AG71" s="73">
        <f>AF70*(AI71/100)</f>
        <v>0</v>
      </c>
      <c r="AH71" s="73" t="s">
        <v>1745</v>
      </c>
      <c r="AI71" s="75"/>
      <c r="AJ71" s="181"/>
      <c r="AK71" s="181"/>
      <c r="AL71" s="70">
        <f>AK70*(AN71/100)</f>
        <v>0</v>
      </c>
      <c r="AM71" s="70" t="s">
        <v>1745</v>
      </c>
      <c r="AN71" s="72"/>
    </row>
    <row r="72" spans="1:40" ht="15" customHeight="1">
      <c r="A72" s="155"/>
      <c r="B72" s="155"/>
      <c r="C72" s="185"/>
      <c r="D72" s="68">
        <f t="shared" si="1"/>
        <v>0</v>
      </c>
      <c r="E72" s="76"/>
      <c r="F72" s="182"/>
      <c r="G72" s="182"/>
      <c r="H72" s="70">
        <f>G70*(J72/100)</f>
        <v>0</v>
      </c>
      <c r="I72" s="70" t="s">
        <v>1746</v>
      </c>
      <c r="J72" s="72"/>
      <c r="K72" s="179"/>
      <c r="L72" s="179"/>
      <c r="M72" s="73">
        <f>L70*(O72/100)</f>
        <v>0</v>
      </c>
      <c r="N72" s="73" t="s">
        <v>1746</v>
      </c>
      <c r="O72" s="75"/>
      <c r="P72" s="182"/>
      <c r="Q72" s="182"/>
      <c r="R72" s="70">
        <f>Q70*(T72/100)</f>
        <v>0</v>
      </c>
      <c r="S72" s="70" t="s">
        <v>1746</v>
      </c>
      <c r="T72" s="72"/>
      <c r="U72" s="179"/>
      <c r="V72" s="179"/>
      <c r="W72" s="73">
        <f>V70*(Y72/100)</f>
        <v>0</v>
      </c>
      <c r="X72" s="73" t="s">
        <v>1746</v>
      </c>
      <c r="Y72" s="75"/>
      <c r="Z72" s="182"/>
      <c r="AA72" s="182"/>
      <c r="AB72" s="70">
        <f>AA70*(AD72/100)</f>
        <v>0</v>
      </c>
      <c r="AC72" s="70" t="s">
        <v>1746</v>
      </c>
      <c r="AD72" s="72"/>
      <c r="AE72" s="179"/>
      <c r="AF72" s="179"/>
      <c r="AG72" s="73">
        <f>AF70*(AI72/100)</f>
        <v>0</v>
      </c>
      <c r="AH72" s="73" t="s">
        <v>1746</v>
      </c>
      <c r="AI72" s="75"/>
      <c r="AJ72" s="182"/>
      <c r="AK72" s="182"/>
      <c r="AL72" s="70">
        <f>AK70*(AN72/100)</f>
        <v>0</v>
      </c>
      <c r="AM72" s="70" t="s">
        <v>1746</v>
      </c>
      <c r="AN72" s="72"/>
    </row>
    <row r="73" spans="1:40" ht="15" customHeight="1">
      <c r="A73" s="155"/>
      <c r="B73" s="155"/>
      <c r="C73" s="183" t="s">
        <v>1833</v>
      </c>
      <c r="D73" s="68">
        <f t="shared" si="1"/>
        <v>0</v>
      </c>
      <c r="E73" s="68">
        <f>人员信息!H26</f>
        <v>81.259200000000007</v>
      </c>
      <c r="F73" s="180"/>
      <c r="G73" s="180"/>
      <c r="H73" s="70">
        <f>G73*J73/100</f>
        <v>0</v>
      </c>
      <c r="I73" s="71" t="s">
        <v>1744</v>
      </c>
      <c r="J73" s="72"/>
      <c r="K73" s="177"/>
      <c r="L73" s="177"/>
      <c r="M73" s="73">
        <f>L73*O73/100</f>
        <v>0</v>
      </c>
      <c r="N73" s="74" t="s">
        <v>1744</v>
      </c>
      <c r="O73" s="75"/>
      <c r="P73" s="180"/>
      <c r="Q73" s="180"/>
      <c r="R73" s="70">
        <f>Q73*T73/100</f>
        <v>0</v>
      </c>
      <c r="S73" s="71" t="s">
        <v>1744</v>
      </c>
      <c r="T73" s="72"/>
      <c r="U73" s="177"/>
      <c r="V73" s="177"/>
      <c r="W73" s="73">
        <f>V73*Y73/100</f>
        <v>0</v>
      </c>
      <c r="X73" s="74" t="s">
        <v>1744</v>
      </c>
      <c r="Y73" s="75"/>
      <c r="Z73" s="180"/>
      <c r="AA73" s="180"/>
      <c r="AB73" s="70">
        <f>AA73*AD73/100</f>
        <v>0</v>
      </c>
      <c r="AC73" s="71" t="s">
        <v>1744</v>
      </c>
      <c r="AD73" s="72"/>
      <c r="AE73" s="177"/>
      <c r="AF73" s="177"/>
      <c r="AG73" s="73">
        <f>AF73*AI73/100</f>
        <v>0</v>
      </c>
      <c r="AH73" s="74" t="s">
        <v>1744</v>
      </c>
      <c r="AI73" s="75"/>
      <c r="AJ73" s="180"/>
      <c r="AK73" s="180"/>
      <c r="AL73" s="70">
        <f>AK73*AN73/100</f>
        <v>0</v>
      </c>
      <c r="AM73" s="71" t="s">
        <v>1744</v>
      </c>
      <c r="AN73" s="72"/>
    </row>
    <row r="74" spans="1:40" ht="15" customHeight="1">
      <c r="A74" s="155"/>
      <c r="B74" s="155"/>
      <c r="C74" s="184"/>
      <c r="D74" s="68">
        <f t="shared" si="1"/>
        <v>0</v>
      </c>
      <c r="E74" s="68">
        <f>人员信息!H27</f>
        <v>42.636000000000003</v>
      </c>
      <c r="F74" s="181"/>
      <c r="G74" s="181"/>
      <c r="H74" s="70">
        <f>G73*J74/100</f>
        <v>0</v>
      </c>
      <c r="I74" s="70" t="s">
        <v>1745</v>
      </c>
      <c r="J74" s="72"/>
      <c r="K74" s="178"/>
      <c r="L74" s="178"/>
      <c r="M74" s="73">
        <f>L73*O74/100</f>
        <v>0</v>
      </c>
      <c r="N74" s="73" t="s">
        <v>1745</v>
      </c>
      <c r="O74" s="75"/>
      <c r="P74" s="181"/>
      <c r="Q74" s="181"/>
      <c r="R74" s="70">
        <f>Q73*T74/100</f>
        <v>0</v>
      </c>
      <c r="S74" s="70" t="s">
        <v>1745</v>
      </c>
      <c r="T74" s="72"/>
      <c r="U74" s="178"/>
      <c r="V74" s="178"/>
      <c r="W74" s="73">
        <f>V73*Y74/100</f>
        <v>0</v>
      </c>
      <c r="X74" s="73" t="s">
        <v>1745</v>
      </c>
      <c r="Y74" s="75"/>
      <c r="Z74" s="181"/>
      <c r="AA74" s="181"/>
      <c r="AB74" s="70">
        <f>AA73*AD74/100</f>
        <v>0</v>
      </c>
      <c r="AC74" s="70" t="s">
        <v>1745</v>
      </c>
      <c r="AD74" s="72"/>
      <c r="AE74" s="178"/>
      <c r="AF74" s="178"/>
      <c r="AG74" s="73">
        <f>AF73*AI74/100</f>
        <v>0</v>
      </c>
      <c r="AH74" s="73" t="s">
        <v>1745</v>
      </c>
      <c r="AI74" s="75"/>
      <c r="AJ74" s="181"/>
      <c r="AK74" s="181"/>
      <c r="AL74" s="70">
        <f>AK73*AN74/100</f>
        <v>0</v>
      </c>
      <c r="AM74" s="70" t="s">
        <v>1745</v>
      </c>
      <c r="AN74" s="72"/>
    </row>
    <row r="75" spans="1:40" ht="15" customHeight="1">
      <c r="A75" s="155"/>
      <c r="B75" s="155"/>
      <c r="C75" s="185"/>
      <c r="D75" s="68">
        <f t="shared" si="1"/>
        <v>0</v>
      </c>
      <c r="E75" s="76"/>
      <c r="F75" s="182"/>
      <c r="G75" s="182"/>
      <c r="H75" s="70">
        <f>G73*J75/100</f>
        <v>0</v>
      </c>
      <c r="I75" s="70" t="s">
        <v>1746</v>
      </c>
      <c r="J75" s="72"/>
      <c r="K75" s="179"/>
      <c r="L75" s="179"/>
      <c r="M75" s="73">
        <f>L73*O75/100</f>
        <v>0</v>
      </c>
      <c r="N75" s="73" t="s">
        <v>1746</v>
      </c>
      <c r="O75" s="75"/>
      <c r="P75" s="182"/>
      <c r="Q75" s="182"/>
      <c r="R75" s="70">
        <f>Q73*T75/100</f>
        <v>0</v>
      </c>
      <c r="S75" s="70" t="s">
        <v>1746</v>
      </c>
      <c r="T75" s="72"/>
      <c r="U75" s="179"/>
      <c r="V75" s="179"/>
      <c r="W75" s="73">
        <f>V73*Y75/100</f>
        <v>0</v>
      </c>
      <c r="X75" s="73" t="s">
        <v>1746</v>
      </c>
      <c r="Y75" s="75"/>
      <c r="Z75" s="182"/>
      <c r="AA75" s="182"/>
      <c r="AB75" s="70">
        <f>AA73*AD75/100</f>
        <v>0</v>
      </c>
      <c r="AC75" s="70" t="s">
        <v>1746</v>
      </c>
      <c r="AD75" s="72"/>
      <c r="AE75" s="179"/>
      <c r="AF75" s="179"/>
      <c r="AG75" s="73">
        <f>AF73*AI75/100</f>
        <v>0</v>
      </c>
      <c r="AH75" s="73" t="s">
        <v>1746</v>
      </c>
      <c r="AI75" s="75"/>
      <c r="AJ75" s="182"/>
      <c r="AK75" s="182"/>
      <c r="AL75" s="70">
        <f>AK73*AN75/100</f>
        <v>0</v>
      </c>
      <c r="AM75" s="70" t="s">
        <v>1746</v>
      </c>
      <c r="AN75" s="72"/>
    </row>
    <row r="76" spans="1:40" ht="15" customHeight="1">
      <c r="A76" s="155"/>
      <c r="B76" s="155"/>
      <c r="C76" s="183" t="s">
        <v>1834</v>
      </c>
      <c r="D76" s="68">
        <f t="shared" si="1"/>
        <v>0</v>
      </c>
      <c r="E76" s="68">
        <f>人员信息!H26</f>
        <v>81.259200000000007</v>
      </c>
      <c r="F76" s="180"/>
      <c r="G76" s="180"/>
      <c r="H76" s="70">
        <f>G76*J76/100</f>
        <v>0</v>
      </c>
      <c r="I76" s="71" t="s">
        <v>1744</v>
      </c>
      <c r="J76" s="72"/>
      <c r="K76" s="177"/>
      <c r="L76" s="177"/>
      <c r="M76" s="73">
        <f>L76*O76/100</f>
        <v>0</v>
      </c>
      <c r="N76" s="74" t="s">
        <v>1744</v>
      </c>
      <c r="O76" s="75"/>
      <c r="P76" s="180"/>
      <c r="Q76" s="180"/>
      <c r="R76" s="70">
        <f>Q76*T76/100</f>
        <v>0</v>
      </c>
      <c r="S76" s="71" t="s">
        <v>1744</v>
      </c>
      <c r="T76" s="72"/>
      <c r="U76" s="177"/>
      <c r="V76" s="177"/>
      <c r="W76" s="73">
        <f>V76*Y76/100</f>
        <v>0</v>
      </c>
      <c r="X76" s="74" t="s">
        <v>1744</v>
      </c>
      <c r="Y76" s="75"/>
      <c r="Z76" s="180"/>
      <c r="AA76" s="180"/>
      <c r="AB76" s="70">
        <f>AA76*AD76/100</f>
        <v>0</v>
      </c>
      <c r="AC76" s="71" t="s">
        <v>1744</v>
      </c>
      <c r="AD76" s="72"/>
      <c r="AE76" s="177"/>
      <c r="AF76" s="177"/>
      <c r="AG76" s="73">
        <f>AF76*AI76/100</f>
        <v>0</v>
      </c>
      <c r="AH76" s="74" t="s">
        <v>1744</v>
      </c>
      <c r="AI76" s="75"/>
      <c r="AJ76" s="180"/>
      <c r="AK76" s="180"/>
      <c r="AL76" s="70">
        <f>AK76*AN76/100</f>
        <v>0</v>
      </c>
      <c r="AM76" s="71" t="s">
        <v>1744</v>
      </c>
      <c r="AN76" s="72"/>
    </row>
    <row r="77" spans="1:40" ht="15" customHeight="1">
      <c r="A77" s="155"/>
      <c r="B77" s="155"/>
      <c r="C77" s="184"/>
      <c r="D77" s="68">
        <f t="shared" si="1"/>
        <v>0</v>
      </c>
      <c r="E77" s="68">
        <f>人员信息!H27</f>
        <v>42.636000000000003</v>
      </c>
      <c r="F77" s="181"/>
      <c r="G77" s="181"/>
      <c r="H77" s="70">
        <f>G76*J77/100</f>
        <v>0</v>
      </c>
      <c r="I77" s="70" t="s">
        <v>1745</v>
      </c>
      <c r="J77" s="72"/>
      <c r="K77" s="178"/>
      <c r="L77" s="178"/>
      <c r="M77" s="73">
        <f>L76*O77/100</f>
        <v>0</v>
      </c>
      <c r="N77" s="73" t="s">
        <v>1745</v>
      </c>
      <c r="O77" s="75"/>
      <c r="P77" s="181"/>
      <c r="Q77" s="181"/>
      <c r="R77" s="70">
        <f>Q76*T77/100</f>
        <v>0</v>
      </c>
      <c r="S77" s="70" t="s">
        <v>1745</v>
      </c>
      <c r="T77" s="72"/>
      <c r="U77" s="178"/>
      <c r="V77" s="178"/>
      <c r="W77" s="73">
        <f>V76*Y77/100</f>
        <v>0</v>
      </c>
      <c r="X77" s="73" t="s">
        <v>1745</v>
      </c>
      <c r="Y77" s="75"/>
      <c r="Z77" s="181"/>
      <c r="AA77" s="181"/>
      <c r="AB77" s="70">
        <f>AA76*AD77/100</f>
        <v>0</v>
      </c>
      <c r="AC77" s="70" t="s">
        <v>1745</v>
      </c>
      <c r="AD77" s="72"/>
      <c r="AE77" s="178"/>
      <c r="AF77" s="178"/>
      <c r="AG77" s="73">
        <f>AF76*AI77/100</f>
        <v>0</v>
      </c>
      <c r="AH77" s="73" t="s">
        <v>1745</v>
      </c>
      <c r="AI77" s="75"/>
      <c r="AJ77" s="181"/>
      <c r="AK77" s="181"/>
      <c r="AL77" s="70">
        <f>AK76*AN77/100</f>
        <v>0</v>
      </c>
      <c r="AM77" s="70" t="s">
        <v>1745</v>
      </c>
      <c r="AN77" s="72"/>
    </row>
    <row r="78" spans="1:40" ht="15" customHeight="1">
      <c r="A78" s="155"/>
      <c r="B78" s="155"/>
      <c r="C78" s="185"/>
      <c r="D78" s="68">
        <f t="shared" si="1"/>
        <v>0</v>
      </c>
      <c r="E78" s="76"/>
      <c r="F78" s="182"/>
      <c r="G78" s="182"/>
      <c r="H78" s="70">
        <f>G76*J78/100</f>
        <v>0</v>
      </c>
      <c r="I78" s="70" t="s">
        <v>1746</v>
      </c>
      <c r="J78" s="72"/>
      <c r="K78" s="179"/>
      <c r="L78" s="179"/>
      <c r="M78" s="73">
        <f>L76*O78/100</f>
        <v>0</v>
      </c>
      <c r="N78" s="73" t="s">
        <v>1746</v>
      </c>
      <c r="O78" s="75"/>
      <c r="P78" s="182"/>
      <c r="Q78" s="182"/>
      <c r="R78" s="70">
        <f>Q76*T78/100</f>
        <v>0</v>
      </c>
      <c r="S78" s="70" t="s">
        <v>1746</v>
      </c>
      <c r="T78" s="72"/>
      <c r="U78" s="179"/>
      <c r="V78" s="179"/>
      <c r="W78" s="73">
        <f>V76*Y78/100</f>
        <v>0</v>
      </c>
      <c r="X78" s="73" t="s">
        <v>1746</v>
      </c>
      <c r="Y78" s="75"/>
      <c r="Z78" s="182"/>
      <c r="AA78" s="182"/>
      <c r="AB78" s="70">
        <f>AA76*AD78/100</f>
        <v>0</v>
      </c>
      <c r="AC78" s="70" t="s">
        <v>1746</v>
      </c>
      <c r="AD78" s="72"/>
      <c r="AE78" s="179"/>
      <c r="AF78" s="179"/>
      <c r="AG78" s="73">
        <f>AF76*AI78/100</f>
        <v>0</v>
      </c>
      <c r="AH78" s="73" t="s">
        <v>1746</v>
      </c>
      <c r="AI78" s="75"/>
      <c r="AJ78" s="182"/>
      <c r="AK78" s="182"/>
      <c r="AL78" s="70">
        <f>AK76*AN78/100</f>
        <v>0</v>
      </c>
      <c r="AM78" s="70" t="s">
        <v>1746</v>
      </c>
      <c r="AN78" s="72"/>
    </row>
    <row r="79" spans="1:40" ht="15" customHeight="1">
      <c r="A79" s="155"/>
      <c r="B79" s="155"/>
      <c r="C79" s="183" t="s">
        <v>1835</v>
      </c>
      <c r="D79" s="68">
        <f t="shared" si="1"/>
        <v>0</v>
      </c>
      <c r="E79" s="68">
        <f>人员信息!H26</f>
        <v>81.259200000000007</v>
      </c>
      <c r="F79" s="180"/>
      <c r="G79" s="180"/>
      <c r="H79" s="70">
        <f>G79*J79/100</f>
        <v>0</v>
      </c>
      <c r="I79" s="71" t="s">
        <v>1744</v>
      </c>
      <c r="J79" s="72"/>
      <c r="K79" s="177"/>
      <c r="L79" s="177"/>
      <c r="M79" s="73">
        <f>L79*O79/100</f>
        <v>0</v>
      </c>
      <c r="N79" s="74" t="s">
        <v>1744</v>
      </c>
      <c r="O79" s="75"/>
      <c r="P79" s="180"/>
      <c r="Q79" s="180"/>
      <c r="R79" s="70">
        <f>Q79*T79/100</f>
        <v>0</v>
      </c>
      <c r="S79" s="71" t="s">
        <v>1744</v>
      </c>
      <c r="T79" s="72"/>
      <c r="U79" s="177"/>
      <c r="V79" s="177"/>
      <c r="W79" s="73">
        <f>V79*Y79/100</f>
        <v>0</v>
      </c>
      <c r="X79" s="74" t="s">
        <v>1744</v>
      </c>
      <c r="Y79" s="75"/>
      <c r="Z79" s="180"/>
      <c r="AA79" s="180"/>
      <c r="AB79" s="70">
        <f>AA79*AD79/100</f>
        <v>0</v>
      </c>
      <c r="AC79" s="71" t="s">
        <v>1744</v>
      </c>
      <c r="AD79" s="72"/>
      <c r="AE79" s="177"/>
      <c r="AF79" s="177"/>
      <c r="AG79" s="73">
        <f>AF79*AI79/100</f>
        <v>0</v>
      </c>
      <c r="AH79" s="74" t="s">
        <v>1744</v>
      </c>
      <c r="AI79" s="75"/>
      <c r="AJ79" s="180"/>
      <c r="AK79" s="180"/>
      <c r="AL79" s="70">
        <f>AK79*AN79/100</f>
        <v>0</v>
      </c>
      <c r="AM79" s="71" t="s">
        <v>1744</v>
      </c>
      <c r="AN79" s="72"/>
    </row>
    <row r="80" spans="1:40" ht="15" customHeight="1">
      <c r="A80" s="155"/>
      <c r="B80" s="155"/>
      <c r="C80" s="184"/>
      <c r="D80" s="68">
        <f t="shared" si="1"/>
        <v>0</v>
      </c>
      <c r="E80" s="68">
        <f>人员信息!H27</f>
        <v>42.636000000000003</v>
      </c>
      <c r="F80" s="181"/>
      <c r="G80" s="181"/>
      <c r="H80" s="70">
        <f>G79*J80/100</f>
        <v>0</v>
      </c>
      <c r="I80" s="70" t="s">
        <v>1745</v>
      </c>
      <c r="J80" s="72"/>
      <c r="K80" s="178"/>
      <c r="L80" s="178"/>
      <c r="M80" s="73">
        <f>L79*O80/100</f>
        <v>0</v>
      </c>
      <c r="N80" s="73" t="s">
        <v>1745</v>
      </c>
      <c r="O80" s="75"/>
      <c r="P80" s="181"/>
      <c r="Q80" s="181"/>
      <c r="R80" s="70">
        <f>Q79*T80/100</f>
        <v>0</v>
      </c>
      <c r="S80" s="70" t="s">
        <v>1745</v>
      </c>
      <c r="T80" s="72"/>
      <c r="U80" s="178"/>
      <c r="V80" s="178"/>
      <c r="W80" s="73">
        <f>V79*Y80/100</f>
        <v>0</v>
      </c>
      <c r="X80" s="73" t="s">
        <v>1745</v>
      </c>
      <c r="Y80" s="75"/>
      <c r="Z80" s="181"/>
      <c r="AA80" s="181"/>
      <c r="AB80" s="70">
        <f>AA79*AD80/100</f>
        <v>0</v>
      </c>
      <c r="AC80" s="70" t="s">
        <v>1745</v>
      </c>
      <c r="AD80" s="72"/>
      <c r="AE80" s="178"/>
      <c r="AF80" s="178"/>
      <c r="AG80" s="73">
        <f>AF79*AI80/100</f>
        <v>0</v>
      </c>
      <c r="AH80" s="73" t="s">
        <v>1745</v>
      </c>
      <c r="AI80" s="75"/>
      <c r="AJ80" s="181"/>
      <c r="AK80" s="181"/>
      <c r="AL80" s="70">
        <f>AK79*AN80/100</f>
        <v>0</v>
      </c>
      <c r="AM80" s="70" t="s">
        <v>1745</v>
      </c>
      <c r="AN80" s="72"/>
    </row>
    <row r="81" spans="1:40" ht="15" customHeight="1">
      <c r="A81" s="155"/>
      <c r="B81" s="155"/>
      <c r="C81" s="185"/>
      <c r="D81" s="68">
        <f t="shared" si="1"/>
        <v>0</v>
      </c>
      <c r="E81" s="76"/>
      <c r="F81" s="182"/>
      <c r="G81" s="182"/>
      <c r="H81" s="70">
        <f>G79*J81/100</f>
        <v>0</v>
      </c>
      <c r="I81" s="70" t="s">
        <v>1746</v>
      </c>
      <c r="J81" s="72"/>
      <c r="K81" s="179"/>
      <c r="L81" s="179"/>
      <c r="M81" s="73">
        <f>L79*O81/100</f>
        <v>0</v>
      </c>
      <c r="N81" s="73" t="s">
        <v>1746</v>
      </c>
      <c r="O81" s="75"/>
      <c r="P81" s="182"/>
      <c r="Q81" s="182"/>
      <c r="R81" s="70">
        <f>Q79*T81/100</f>
        <v>0</v>
      </c>
      <c r="S81" s="70" t="s">
        <v>1746</v>
      </c>
      <c r="T81" s="72"/>
      <c r="U81" s="179"/>
      <c r="V81" s="179"/>
      <c r="W81" s="73">
        <f>V79*Y81/100</f>
        <v>0</v>
      </c>
      <c r="X81" s="73" t="s">
        <v>1746</v>
      </c>
      <c r="Y81" s="75"/>
      <c r="Z81" s="182"/>
      <c r="AA81" s="182"/>
      <c r="AB81" s="70">
        <f>AA79*AD81/100</f>
        <v>0</v>
      </c>
      <c r="AC81" s="70" t="s">
        <v>1746</v>
      </c>
      <c r="AD81" s="72"/>
      <c r="AE81" s="179"/>
      <c r="AF81" s="179"/>
      <c r="AG81" s="73">
        <f>AF79*AI81/100</f>
        <v>0</v>
      </c>
      <c r="AH81" s="73" t="s">
        <v>1746</v>
      </c>
      <c r="AI81" s="75"/>
      <c r="AJ81" s="182"/>
      <c r="AK81" s="182"/>
      <c r="AL81" s="70">
        <f>AK79*AN81/100</f>
        <v>0</v>
      </c>
      <c r="AM81" s="70" t="s">
        <v>1746</v>
      </c>
      <c r="AN81" s="72"/>
    </row>
    <row r="82" spans="1:40" ht="15" customHeight="1">
      <c r="A82" s="155"/>
      <c r="B82" s="155"/>
      <c r="C82" s="183" t="s">
        <v>1836</v>
      </c>
      <c r="D82" s="68">
        <f t="shared" si="1"/>
        <v>0</v>
      </c>
      <c r="E82" s="68">
        <f>人员信息!H26</f>
        <v>81.259200000000007</v>
      </c>
      <c r="F82" s="180"/>
      <c r="G82" s="180"/>
      <c r="H82" s="70">
        <f>G82*J82/100</f>
        <v>0</v>
      </c>
      <c r="I82" s="71" t="s">
        <v>1744</v>
      </c>
      <c r="J82" s="72"/>
      <c r="K82" s="177"/>
      <c r="L82" s="177"/>
      <c r="M82" s="73">
        <f>L82*O82/100</f>
        <v>0</v>
      </c>
      <c r="N82" s="74" t="s">
        <v>1744</v>
      </c>
      <c r="O82" s="75"/>
      <c r="P82" s="180"/>
      <c r="Q82" s="180"/>
      <c r="R82" s="70">
        <f>Q82*T82/100</f>
        <v>0</v>
      </c>
      <c r="S82" s="71" t="s">
        <v>1744</v>
      </c>
      <c r="T82" s="72"/>
      <c r="U82" s="177"/>
      <c r="V82" s="177"/>
      <c r="W82" s="73">
        <f>V82*Y82/100</f>
        <v>0</v>
      </c>
      <c r="X82" s="74" t="s">
        <v>1744</v>
      </c>
      <c r="Y82" s="75"/>
      <c r="Z82" s="180"/>
      <c r="AA82" s="180"/>
      <c r="AB82" s="70">
        <f>AA82*AD82/100</f>
        <v>0</v>
      </c>
      <c r="AC82" s="71" t="s">
        <v>1744</v>
      </c>
      <c r="AD82" s="72"/>
      <c r="AE82" s="177"/>
      <c r="AF82" s="177"/>
      <c r="AG82" s="73">
        <f>AF82*AI82/100</f>
        <v>0</v>
      </c>
      <c r="AH82" s="74" t="s">
        <v>1744</v>
      </c>
      <c r="AI82" s="75"/>
      <c r="AJ82" s="180"/>
      <c r="AK82" s="180"/>
      <c r="AL82" s="70">
        <f>AK82*AN82/100</f>
        <v>0</v>
      </c>
      <c r="AM82" s="71" t="s">
        <v>1744</v>
      </c>
      <c r="AN82" s="72"/>
    </row>
    <row r="83" spans="1:40" ht="15" customHeight="1">
      <c r="A83" s="155"/>
      <c r="B83" s="155"/>
      <c r="C83" s="184"/>
      <c r="D83" s="68">
        <f t="shared" si="1"/>
        <v>0</v>
      </c>
      <c r="E83" s="68">
        <f>人员信息!H27</f>
        <v>42.636000000000003</v>
      </c>
      <c r="F83" s="181"/>
      <c r="G83" s="181"/>
      <c r="H83" s="70">
        <f>G82*J83/100</f>
        <v>0</v>
      </c>
      <c r="I83" s="70" t="s">
        <v>1745</v>
      </c>
      <c r="J83" s="72"/>
      <c r="K83" s="178"/>
      <c r="L83" s="178"/>
      <c r="M83" s="73">
        <f>L82*O83/100</f>
        <v>0</v>
      </c>
      <c r="N83" s="73" t="s">
        <v>1745</v>
      </c>
      <c r="O83" s="75"/>
      <c r="P83" s="181"/>
      <c r="Q83" s="181"/>
      <c r="R83" s="70">
        <f>Q82*T83/100</f>
        <v>0</v>
      </c>
      <c r="S83" s="70" t="s">
        <v>1745</v>
      </c>
      <c r="T83" s="72"/>
      <c r="U83" s="178"/>
      <c r="V83" s="178"/>
      <c r="W83" s="73">
        <f>V82*Y83/100</f>
        <v>0</v>
      </c>
      <c r="X83" s="73" t="s">
        <v>1745</v>
      </c>
      <c r="Y83" s="75"/>
      <c r="Z83" s="181"/>
      <c r="AA83" s="181"/>
      <c r="AB83" s="70">
        <f>AA82*AD83/100</f>
        <v>0</v>
      </c>
      <c r="AC83" s="70" t="s">
        <v>1745</v>
      </c>
      <c r="AD83" s="72"/>
      <c r="AE83" s="178"/>
      <c r="AF83" s="178"/>
      <c r="AG83" s="73">
        <f>AF82*AI83/100</f>
        <v>0</v>
      </c>
      <c r="AH83" s="73" t="s">
        <v>1745</v>
      </c>
      <c r="AI83" s="75"/>
      <c r="AJ83" s="181"/>
      <c r="AK83" s="181"/>
      <c r="AL83" s="70">
        <f>AK82*AN83/100</f>
        <v>0</v>
      </c>
      <c r="AM83" s="70" t="s">
        <v>1745</v>
      </c>
      <c r="AN83" s="72"/>
    </row>
    <row r="84" spans="1:40" ht="15" customHeight="1">
      <c r="A84" s="155"/>
      <c r="B84" s="155"/>
      <c r="C84" s="185"/>
      <c r="D84" s="68">
        <f t="shared" si="1"/>
        <v>0</v>
      </c>
      <c r="E84" s="76"/>
      <c r="F84" s="182"/>
      <c r="G84" s="182"/>
      <c r="H84" s="70">
        <f>G82*J84/100</f>
        <v>0</v>
      </c>
      <c r="I84" s="70" t="s">
        <v>1746</v>
      </c>
      <c r="J84" s="72"/>
      <c r="K84" s="179"/>
      <c r="L84" s="179"/>
      <c r="M84" s="73">
        <f>L82*O84/100</f>
        <v>0</v>
      </c>
      <c r="N84" s="73" t="s">
        <v>1746</v>
      </c>
      <c r="O84" s="75"/>
      <c r="P84" s="182"/>
      <c r="Q84" s="182"/>
      <c r="R84" s="70">
        <f>Q82*T84/100</f>
        <v>0</v>
      </c>
      <c r="S84" s="70" t="s">
        <v>1746</v>
      </c>
      <c r="T84" s="72"/>
      <c r="U84" s="179"/>
      <c r="V84" s="179"/>
      <c r="W84" s="73">
        <f>V82*Y84/100</f>
        <v>0</v>
      </c>
      <c r="X84" s="73" t="s">
        <v>1746</v>
      </c>
      <c r="Y84" s="75"/>
      <c r="Z84" s="182"/>
      <c r="AA84" s="182"/>
      <c r="AB84" s="70">
        <f>AA82*AD84/100</f>
        <v>0</v>
      </c>
      <c r="AC84" s="70" t="s">
        <v>1746</v>
      </c>
      <c r="AD84" s="72"/>
      <c r="AE84" s="179"/>
      <c r="AF84" s="179"/>
      <c r="AG84" s="73">
        <f>AF82*AI84/100</f>
        <v>0</v>
      </c>
      <c r="AH84" s="73" t="s">
        <v>1746</v>
      </c>
      <c r="AI84" s="75"/>
      <c r="AJ84" s="182"/>
      <c r="AK84" s="182"/>
      <c r="AL84" s="70">
        <f>AK82*AN84/100</f>
        <v>0</v>
      </c>
      <c r="AM84" s="70" t="s">
        <v>1746</v>
      </c>
      <c r="AN84" s="72"/>
    </row>
    <row r="85" spans="1:40" ht="15" customHeight="1">
      <c r="A85" s="155"/>
      <c r="B85" s="155"/>
      <c r="C85" s="183" t="s">
        <v>1837</v>
      </c>
      <c r="D85" s="68">
        <f t="shared" si="1"/>
        <v>0</v>
      </c>
      <c r="E85" s="68">
        <f>人员信息!H26</f>
        <v>81.259200000000007</v>
      </c>
      <c r="F85" s="180"/>
      <c r="G85" s="180"/>
      <c r="H85" s="70">
        <f>G85*J85/100</f>
        <v>0</v>
      </c>
      <c r="I85" s="71" t="s">
        <v>1744</v>
      </c>
      <c r="J85" s="72"/>
      <c r="K85" s="177"/>
      <c r="L85" s="177"/>
      <c r="M85" s="73">
        <f>L85*O85/100</f>
        <v>0</v>
      </c>
      <c r="N85" s="74" t="s">
        <v>1744</v>
      </c>
      <c r="O85" s="75"/>
      <c r="P85" s="180"/>
      <c r="Q85" s="180"/>
      <c r="R85" s="70">
        <f>Q85*T85/100</f>
        <v>0</v>
      </c>
      <c r="S85" s="71" t="s">
        <v>1744</v>
      </c>
      <c r="T85" s="72"/>
      <c r="U85" s="177"/>
      <c r="V85" s="177"/>
      <c r="W85" s="73">
        <f>V85*Y85/100</f>
        <v>0</v>
      </c>
      <c r="X85" s="74" t="s">
        <v>1744</v>
      </c>
      <c r="Y85" s="75"/>
      <c r="Z85" s="180"/>
      <c r="AA85" s="180"/>
      <c r="AB85" s="70">
        <f>AA85*AD85/100</f>
        <v>0</v>
      </c>
      <c r="AC85" s="71" t="s">
        <v>1744</v>
      </c>
      <c r="AD85" s="72"/>
      <c r="AE85" s="177"/>
      <c r="AF85" s="177"/>
      <c r="AG85" s="73">
        <f>AF85*AI85/100</f>
        <v>0</v>
      </c>
      <c r="AH85" s="74" t="s">
        <v>1744</v>
      </c>
      <c r="AI85" s="75"/>
      <c r="AJ85" s="180"/>
      <c r="AK85" s="180"/>
      <c r="AL85" s="70">
        <f>AK85*AN85/100</f>
        <v>0</v>
      </c>
      <c r="AM85" s="71" t="s">
        <v>1744</v>
      </c>
      <c r="AN85" s="72"/>
    </row>
    <row r="86" spans="1:40" ht="15" customHeight="1">
      <c r="A86" s="155"/>
      <c r="B86" s="155"/>
      <c r="C86" s="184"/>
      <c r="D86" s="68">
        <f t="shared" si="1"/>
        <v>0</v>
      </c>
      <c r="E86" s="68">
        <f>人员信息!H27</f>
        <v>42.636000000000003</v>
      </c>
      <c r="F86" s="181"/>
      <c r="G86" s="181"/>
      <c r="H86" s="70">
        <f>G85*J86/100</f>
        <v>0</v>
      </c>
      <c r="I86" s="70" t="s">
        <v>1745</v>
      </c>
      <c r="J86" s="72"/>
      <c r="K86" s="178"/>
      <c r="L86" s="178"/>
      <c r="M86" s="73">
        <f>L85*O86/100</f>
        <v>0</v>
      </c>
      <c r="N86" s="73" t="s">
        <v>1745</v>
      </c>
      <c r="O86" s="75"/>
      <c r="P86" s="181"/>
      <c r="Q86" s="181"/>
      <c r="R86" s="70">
        <f>Q85*T86/100</f>
        <v>0</v>
      </c>
      <c r="S86" s="70" t="s">
        <v>1745</v>
      </c>
      <c r="T86" s="72"/>
      <c r="U86" s="178"/>
      <c r="V86" s="178"/>
      <c r="W86" s="73">
        <f>V85*Y86/100</f>
        <v>0</v>
      </c>
      <c r="X86" s="73" t="s">
        <v>1745</v>
      </c>
      <c r="Y86" s="75"/>
      <c r="Z86" s="181"/>
      <c r="AA86" s="181"/>
      <c r="AB86" s="70">
        <f>AA85*AD86/100</f>
        <v>0</v>
      </c>
      <c r="AC86" s="70" t="s">
        <v>1745</v>
      </c>
      <c r="AD86" s="72"/>
      <c r="AE86" s="178"/>
      <c r="AF86" s="178"/>
      <c r="AG86" s="73">
        <f>AF85*AI86/100</f>
        <v>0</v>
      </c>
      <c r="AH86" s="73" t="s">
        <v>1745</v>
      </c>
      <c r="AI86" s="75"/>
      <c r="AJ86" s="181"/>
      <c r="AK86" s="181"/>
      <c r="AL86" s="70">
        <f>AK85*AN86/100</f>
        <v>0</v>
      </c>
      <c r="AM86" s="70" t="s">
        <v>1745</v>
      </c>
      <c r="AN86" s="72"/>
    </row>
    <row r="87" spans="1:40" ht="15" customHeight="1">
      <c r="A87" s="155"/>
      <c r="B87" s="155"/>
      <c r="C87" s="185"/>
      <c r="D87" s="68">
        <f t="shared" si="1"/>
        <v>0</v>
      </c>
      <c r="E87" s="76"/>
      <c r="F87" s="182"/>
      <c r="G87" s="182"/>
      <c r="H87" s="70">
        <f>G85*J87/100</f>
        <v>0</v>
      </c>
      <c r="I87" s="70" t="s">
        <v>1746</v>
      </c>
      <c r="J87" s="72"/>
      <c r="K87" s="179"/>
      <c r="L87" s="179"/>
      <c r="M87" s="73">
        <f>L85*O87/100</f>
        <v>0</v>
      </c>
      <c r="N87" s="73" t="s">
        <v>1746</v>
      </c>
      <c r="O87" s="75"/>
      <c r="P87" s="182"/>
      <c r="Q87" s="182"/>
      <c r="R87" s="70">
        <f>Q85*T87/100</f>
        <v>0</v>
      </c>
      <c r="S87" s="70" t="s">
        <v>1746</v>
      </c>
      <c r="T87" s="72"/>
      <c r="U87" s="179"/>
      <c r="V87" s="179"/>
      <c r="W87" s="73">
        <f>V85*Y87/100</f>
        <v>0</v>
      </c>
      <c r="X87" s="73" t="s">
        <v>1746</v>
      </c>
      <c r="Y87" s="75"/>
      <c r="Z87" s="182"/>
      <c r="AA87" s="182"/>
      <c r="AB87" s="70">
        <f>AA85*AD87/100</f>
        <v>0</v>
      </c>
      <c r="AC87" s="70" t="s">
        <v>1746</v>
      </c>
      <c r="AD87" s="72"/>
      <c r="AE87" s="179"/>
      <c r="AF87" s="179"/>
      <c r="AG87" s="73">
        <f>AF85*AI87/100</f>
        <v>0</v>
      </c>
      <c r="AH87" s="73" t="s">
        <v>1746</v>
      </c>
      <c r="AI87" s="75"/>
      <c r="AJ87" s="182"/>
      <c r="AK87" s="182"/>
      <c r="AL87" s="70">
        <f>AK85*AN87/100</f>
        <v>0</v>
      </c>
      <c r="AM87" s="70" t="s">
        <v>1746</v>
      </c>
      <c r="AN87" s="72"/>
    </row>
    <row r="88" spans="1:40" ht="15" customHeight="1">
      <c r="A88" s="158" t="s">
        <v>255</v>
      </c>
      <c r="B88" s="155" t="s">
        <v>1762</v>
      </c>
      <c r="C88" s="183" t="s">
        <v>1823</v>
      </c>
      <c r="D88" s="68">
        <f t="shared" si="1"/>
        <v>0</v>
      </c>
      <c r="E88" s="68">
        <f>人员信息!I26</f>
        <v>20.314800000000002</v>
      </c>
      <c r="F88" s="180"/>
      <c r="G88" s="180"/>
      <c r="H88" s="70">
        <f>G88*(J88/100)</f>
        <v>0</v>
      </c>
      <c r="I88" s="71" t="s">
        <v>1752</v>
      </c>
      <c r="J88" s="72"/>
      <c r="K88" s="177"/>
      <c r="L88" s="177"/>
      <c r="M88" s="73">
        <f>L88*(O88/100)</f>
        <v>0</v>
      </c>
      <c r="N88" s="74" t="s">
        <v>1744</v>
      </c>
      <c r="O88" s="75"/>
      <c r="P88" s="180"/>
      <c r="Q88" s="180"/>
      <c r="R88" s="70">
        <f>Q88*(T88/100)</f>
        <v>0</v>
      </c>
      <c r="S88" s="71" t="s">
        <v>1744</v>
      </c>
      <c r="T88" s="72"/>
      <c r="U88" s="177"/>
      <c r="V88" s="177"/>
      <c r="W88" s="73">
        <f>V88*(Y88/100)</f>
        <v>0</v>
      </c>
      <c r="X88" s="74" t="s">
        <v>1744</v>
      </c>
      <c r="Y88" s="75"/>
      <c r="Z88" s="180"/>
      <c r="AA88" s="180"/>
      <c r="AB88" s="70">
        <f>AA88*(AD88/100)</f>
        <v>0</v>
      </c>
      <c r="AC88" s="71" t="s">
        <v>1752</v>
      </c>
      <c r="AD88" s="72"/>
      <c r="AE88" s="177"/>
      <c r="AF88" s="177"/>
      <c r="AG88" s="73">
        <f>AF88*(AI88/100)</f>
        <v>0</v>
      </c>
      <c r="AH88" s="74" t="s">
        <v>1744</v>
      </c>
      <c r="AI88" s="75"/>
      <c r="AJ88" s="180"/>
      <c r="AK88" s="180"/>
      <c r="AL88" s="70">
        <f>AK88*(AN88/100)</f>
        <v>0</v>
      </c>
      <c r="AM88" s="71" t="s">
        <v>1744</v>
      </c>
      <c r="AN88" s="72"/>
    </row>
    <row r="89" spans="1:40" ht="15" customHeight="1">
      <c r="A89" s="155"/>
      <c r="B89" s="155"/>
      <c r="C89" s="184"/>
      <c r="D89" s="68">
        <f t="shared" si="1"/>
        <v>0</v>
      </c>
      <c r="E89" s="68">
        <f>人员信息!I27</f>
        <v>21.318000000000001</v>
      </c>
      <c r="F89" s="181"/>
      <c r="G89" s="181"/>
      <c r="H89" s="70">
        <f>G88*(J89/100)</f>
        <v>0</v>
      </c>
      <c r="I89" s="70" t="s">
        <v>1745</v>
      </c>
      <c r="J89" s="72"/>
      <c r="K89" s="178"/>
      <c r="L89" s="178"/>
      <c r="M89" s="73">
        <f>L88*(O89/100)</f>
        <v>0</v>
      </c>
      <c r="N89" s="73" t="s">
        <v>1745</v>
      </c>
      <c r="O89" s="75"/>
      <c r="P89" s="181"/>
      <c r="Q89" s="181"/>
      <c r="R89" s="70">
        <f>Q88*(T89/100)</f>
        <v>0</v>
      </c>
      <c r="S89" s="70" t="s">
        <v>1745</v>
      </c>
      <c r="T89" s="72"/>
      <c r="U89" s="178"/>
      <c r="V89" s="178"/>
      <c r="W89" s="73">
        <f>V88*(Y89/100)</f>
        <v>0</v>
      </c>
      <c r="X89" s="73" t="s">
        <v>1745</v>
      </c>
      <c r="Y89" s="75"/>
      <c r="Z89" s="181"/>
      <c r="AA89" s="181"/>
      <c r="AB89" s="70">
        <f>AA88*(AD89/100)</f>
        <v>0</v>
      </c>
      <c r="AC89" s="70" t="s">
        <v>1745</v>
      </c>
      <c r="AD89" s="72"/>
      <c r="AE89" s="178"/>
      <c r="AF89" s="178"/>
      <c r="AG89" s="73">
        <f>AF88*(AI89/100)</f>
        <v>0</v>
      </c>
      <c r="AH89" s="73" t="s">
        <v>1745</v>
      </c>
      <c r="AI89" s="75"/>
      <c r="AJ89" s="181"/>
      <c r="AK89" s="181"/>
      <c r="AL89" s="70">
        <f>AK88*(AN89/100)</f>
        <v>0</v>
      </c>
      <c r="AM89" s="70" t="s">
        <v>1745</v>
      </c>
      <c r="AN89" s="72"/>
    </row>
    <row r="90" spans="1:40" ht="15" customHeight="1">
      <c r="A90" s="155"/>
      <c r="B90" s="155"/>
      <c r="C90" s="185"/>
      <c r="D90" s="68">
        <f t="shared" si="1"/>
        <v>0</v>
      </c>
      <c r="E90" s="76"/>
      <c r="F90" s="182"/>
      <c r="G90" s="182"/>
      <c r="H90" s="70">
        <f>G88*(J90/100)</f>
        <v>0</v>
      </c>
      <c r="I90" s="70" t="s">
        <v>1746</v>
      </c>
      <c r="J90" s="72"/>
      <c r="K90" s="179"/>
      <c r="L90" s="179"/>
      <c r="M90" s="73">
        <f>L88*(O90/100)</f>
        <v>0</v>
      </c>
      <c r="N90" s="73" t="s">
        <v>1746</v>
      </c>
      <c r="O90" s="75"/>
      <c r="P90" s="182"/>
      <c r="Q90" s="182"/>
      <c r="R90" s="70">
        <f>Q88*(T90/100)</f>
        <v>0</v>
      </c>
      <c r="S90" s="70" t="s">
        <v>1746</v>
      </c>
      <c r="T90" s="72"/>
      <c r="U90" s="179"/>
      <c r="V90" s="179"/>
      <c r="W90" s="73">
        <f>V88*(Y90/100)</f>
        <v>0</v>
      </c>
      <c r="X90" s="73" t="s">
        <v>1746</v>
      </c>
      <c r="Y90" s="75"/>
      <c r="Z90" s="182"/>
      <c r="AA90" s="182"/>
      <c r="AB90" s="70">
        <f>AA88*(AD90/100)</f>
        <v>0</v>
      </c>
      <c r="AC90" s="70" t="s">
        <v>1746</v>
      </c>
      <c r="AD90" s="72"/>
      <c r="AE90" s="179"/>
      <c r="AF90" s="179"/>
      <c r="AG90" s="73">
        <f>AF88*(AI90/100)</f>
        <v>0</v>
      </c>
      <c r="AH90" s="73" t="s">
        <v>1746</v>
      </c>
      <c r="AI90" s="75"/>
      <c r="AJ90" s="182"/>
      <c r="AK90" s="182"/>
      <c r="AL90" s="70">
        <f>AK88*(AN90/100)</f>
        <v>0</v>
      </c>
      <c r="AM90" s="70" t="s">
        <v>1746</v>
      </c>
      <c r="AN90" s="72"/>
    </row>
    <row r="91" spans="1:40" ht="15" customHeight="1">
      <c r="A91" s="155"/>
      <c r="B91" s="155"/>
      <c r="C91" s="183" t="s">
        <v>1814</v>
      </c>
      <c r="D91" s="68">
        <f t="shared" si="1"/>
        <v>0</v>
      </c>
      <c r="E91" s="68">
        <f>人员信息!I26</f>
        <v>20.314800000000002</v>
      </c>
      <c r="F91" s="180"/>
      <c r="G91" s="180"/>
      <c r="H91" s="70">
        <f>G91*(J91/100)</f>
        <v>0</v>
      </c>
      <c r="I91" s="71" t="s">
        <v>1744</v>
      </c>
      <c r="J91" s="72"/>
      <c r="K91" s="177"/>
      <c r="L91" s="177"/>
      <c r="M91" s="73">
        <f>L91*(O91/100)</f>
        <v>0</v>
      </c>
      <c r="N91" s="74" t="s">
        <v>1744</v>
      </c>
      <c r="O91" s="75"/>
      <c r="P91" s="180"/>
      <c r="Q91" s="180"/>
      <c r="R91" s="70">
        <f>Q91*(T91/100)</f>
        <v>0</v>
      </c>
      <c r="S91" s="71" t="s">
        <v>1744</v>
      </c>
      <c r="T91" s="72"/>
      <c r="U91" s="177"/>
      <c r="V91" s="177"/>
      <c r="W91" s="73">
        <f>V91*(Y91/100)</f>
        <v>0</v>
      </c>
      <c r="X91" s="74" t="s">
        <v>1744</v>
      </c>
      <c r="Y91" s="75"/>
      <c r="Z91" s="180"/>
      <c r="AA91" s="180"/>
      <c r="AB91" s="70">
        <f>AA91*(AD91/100)</f>
        <v>0</v>
      </c>
      <c r="AC91" s="71" t="s">
        <v>1744</v>
      </c>
      <c r="AD91" s="72"/>
      <c r="AE91" s="177"/>
      <c r="AF91" s="177"/>
      <c r="AG91" s="73">
        <f>AF91*(AI91/100)</f>
        <v>0</v>
      </c>
      <c r="AH91" s="74" t="s">
        <v>1744</v>
      </c>
      <c r="AI91" s="75"/>
      <c r="AJ91" s="180"/>
      <c r="AK91" s="180"/>
      <c r="AL91" s="70">
        <f>AK91*(AN91/100)</f>
        <v>0</v>
      </c>
      <c r="AM91" s="71" t="s">
        <v>1744</v>
      </c>
      <c r="AN91" s="72"/>
    </row>
    <row r="92" spans="1:40" ht="15" customHeight="1">
      <c r="A92" s="155"/>
      <c r="B92" s="155"/>
      <c r="C92" s="184"/>
      <c r="D92" s="68">
        <f t="shared" si="1"/>
        <v>0</v>
      </c>
      <c r="E92" s="68">
        <f>人员信息!I27</f>
        <v>21.318000000000001</v>
      </c>
      <c r="F92" s="181"/>
      <c r="G92" s="181"/>
      <c r="H92" s="70">
        <f>G91*(J92/100)</f>
        <v>0</v>
      </c>
      <c r="I92" s="70" t="s">
        <v>1745</v>
      </c>
      <c r="J92" s="72"/>
      <c r="K92" s="178"/>
      <c r="L92" s="178"/>
      <c r="M92" s="73">
        <f>L91*(O92/100)</f>
        <v>0</v>
      </c>
      <c r="N92" s="73" t="s">
        <v>1745</v>
      </c>
      <c r="O92" s="75"/>
      <c r="P92" s="181"/>
      <c r="Q92" s="181"/>
      <c r="R92" s="70">
        <f>Q91*(T92/100)</f>
        <v>0</v>
      </c>
      <c r="S92" s="70" t="s">
        <v>1745</v>
      </c>
      <c r="T92" s="72"/>
      <c r="U92" s="178"/>
      <c r="V92" s="178"/>
      <c r="W92" s="73">
        <f>V91*(Y92/100)</f>
        <v>0</v>
      </c>
      <c r="X92" s="73" t="s">
        <v>1745</v>
      </c>
      <c r="Y92" s="75"/>
      <c r="Z92" s="181"/>
      <c r="AA92" s="181"/>
      <c r="AB92" s="70">
        <f>AA91*(AD92/100)</f>
        <v>0</v>
      </c>
      <c r="AC92" s="70" t="s">
        <v>1745</v>
      </c>
      <c r="AD92" s="72"/>
      <c r="AE92" s="178"/>
      <c r="AF92" s="178"/>
      <c r="AG92" s="73">
        <f>AF91*(AI92/100)</f>
        <v>0</v>
      </c>
      <c r="AH92" s="73" t="s">
        <v>1745</v>
      </c>
      <c r="AI92" s="75"/>
      <c r="AJ92" s="181"/>
      <c r="AK92" s="181"/>
      <c r="AL92" s="70">
        <f>AK91*(AN92/100)</f>
        <v>0</v>
      </c>
      <c r="AM92" s="70" t="s">
        <v>1745</v>
      </c>
      <c r="AN92" s="72"/>
    </row>
    <row r="93" spans="1:40" ht="15" customHeight="1">
      <c r="A93" s="155"/>
      <c r="B93" s="155"/>
      <c r="C93" s="185"/>
      <c r="D93" s="68">
        <f t="shared" si="1"/>
        <v>0</v>
      </c>
      <c r="E93" s="76"/>
      <c r="F93" s="182"/>
      <c r="G93" s="182"/>
      <c r="H93" s="70">
        <f>G91*(J93/100)</f>
        <v>0</v>
      </c>
      <c r="I93" s="70" t="s">
        <v>1746</v>
      </c>
      <c r="J93" s="72"/>
      <c r="K93" s="179"/>
      <c r="L93" s="179"/>
      <c r="M93" s="73">
        <f>L91*(O93/100)</f>
        <v>0</v>
      </c>
      <c r="N93" s="73" t="s">
        <v>1746</v>
      </c>
      <c r="O93" s="75"/>
      <c r="P93" s="182"/>
      <c r="Q93" s="182"/>
      <c r="R93" s="70">
        <f>Q91*(T93/100)</f>
        <v>0</v>
      </c>
      <c r="S93" s="70" t="s">
        <v>1746</v>
      </c>
      <c r="T93" s="72"/>
      <c r="U93" s="179"/>
      <c r="V93" s="179"/>
      <c r="W93" s="73">
        <f>V91*(Y93/100)</f>
        <v>0</v>
      </c>
      <c r="X93" s="73" t="s">
        <v>1746</v>
      </c>
      <c r="Y93" s="75"/>
      <c r="Z93" s="182"/>
      <c r="AA93" s="182"/>
      <c r="AB93" s="70">
        <f>AA91*(AD93/100)</f>
        <v>0</v>
      </c>
      <c r="AC93" s="70" t="s">
        <v>1746</v>
      </c>
      <c r="AD93" s="72"/>
      <c r="AE93" s="179"/>
      <c r="AF93" s="179"/>
      <c r="AG93" s="73">
        <f>AF91*(AI93/100)</f>
        <v>0</v>
      </c>
      <c r="AH93" s="73" t="s">
        <v>1746</v>
      </c>
      <c r="AI93" s="75"/>
      <c r="AJ93" s="182"/>
      <c r="AK93" s="182"/>
      <c r="AL93" s="70">
        <f>AK91*(AN93/100)</f>
        <v>0</v>
      </c>
      <c r="AM93" s="70" t="s">
        <v>1746</v>
      </c>
      <c r="AN93" s="72"/>
    </row>
    <row r="94" spans="1:40" ht="15" customHeight="1">
      <c r="A94" s="155"/>
      <c r="B94" s="155"/>
      <c r="C94" s="183" t="s">
        <v>1815</v>
      </c>
      <c r="D94" s="68">
        <f t="shared" si="1"/>
        <v>0</v>
      </c>
      <c r="E94" s="68">
        <f>人员信息!I26</f>
        <v>20.314800000000002</v>
      </c>
      <c r="F94" s="180"/>
      <c r="G94" s="180"/>
      <c r="H94" s="70">
        <f>G94*J94/100</f>
        <v>0</v>
      </c>
      <c r="I94" s="71" t="s">
        <v>1744</v>
      </c>
      <c r="J94" s="72"/>
      <c r="K94" s="177"/>
      <c r="L94" s="177"/>
      <c r="M94" s="73">
        <f>L94*O94/100</f>
        <v>0</v>
      </c>
      <c r="N94" s="74" t="s">
        <v>1744</v>
      </c>
      <c r="O94" s="75"/>
      <c r="P94" s="180"/>
      <c r="Q94" s="180"/>
      <c r="R94" s="70">
        <f>Q94*T94/100</f>
        <v>0</v>
      </c>
      <c r="S94" s="71" t="s">
        <v>1744</v>
      </c>
      <c r="T94" s="72"/>
      <c r="U94" s="177"/>
      <c r="V94" s="177"/>
      <c r="W94" s="73">
        <f>V94*Y94/100</f>
        <v>0</v>
      </c>
      <c r="X94" s="74" t="s">
        <v>1744</v>
      </c>
      <c r="Y94" s="75"/>
      <c r="Z94" s="180"/>
      <c r="AA94" s="180"/>
      <c r="AB94" s="70">
        <f>AA94*AD94/100</f>
        <v>0</v>
      </c>
      <c r="AC94" s="71" t="s">
        <v>1744</v>
      </c>
      <c r="AD94" s="72"/>
      <c r="AE94" s="177"/>
      <c r="AF94" s="177"/>
      <c r="AG94" s="73">
        <f>AF94*AI94/100</f>
        <v>0</v>
      </c>
      <c r="AH94" s="74" t="s">
        <v>1744</v>
      </c>
      <c r="AI94" s="75"/>
      <c r="AJ94" s="180"/>
      <c r="AK94" s="180"/>
      <c r="AL94" s="70">
        <f>AK94*AN94/100</f>
        <v>0</v>
      </c>
      <c r="AM94" s="71" t="s">
        <v>1744</v>
      </c>
      <c r="AN94" s="72"/>
    </row>
    <row r="95" spans="1:40" ht="15" customHeight="1">
      <c r="A95" s="155"/>
      <c r="B95" s="155"/>
      <c r="C95" s="184"/>
      <c r="D95" s="68">
        <f t="shared" si="1"/>
        <v>0</v>
      </c>
      <c r="E95" s="68">
        <f>人员信息!I27</f>
        <v>21.318000000000001</v>
      </c>
      <c r="F95" s="181"/>
      <c r="G95" s="181"/>
      <c r="H95" s="70">
        <f>G94*J95/100</f>
        <v>0</v>
      </c>
      <c r="I95" s="70" t="s">
        <v>1745</v>
      </c>
      <c r="J95" s="72"/>
      <c r="K95" s="178"/>
      <c r="L95" s="178"/>
      <c r="M95" s="73">
        <f>L94*O95/100</f>
        <v>0</v>
      </c>
      <c r="N95" s="73" t="s">
        <v>1745</v>
      </c>
      <c r="O95" s="75"/>
      <c r="P95" s="181"/>
      <c r="Q95" s="181"/>
      <c r="R95" s="70">
        <f>Q94*T95/100</f>
        <v>0</v>
      </c>
      <c r="S95" s="70" t="s">
        <v>1745</v>
      </c>
      <c r="T95" s="72"/>
      <c r="U95" s="178"/>
      <c r="V95" s="178"/>
      <c r="W95" s="73">
        <f>V94*Y95/100</f>
        <v>0</v>
      </c>
      <c r="X95" s="73" t="s">
        <v>1745</v>
      </c>
      <c r="Y95" s="75"/>
      <c r="Z95" s="181"/>
      <c r="AA95" s="181"/>
      <c r="AB95" s="70">
        <f>AA94*AD95/100</f>
        <v>0</v>
      </c>
      <c r="AC95" s="70" t="s">
        <v>1745</v>
      </c>
      <c r="AD95" s="72"/>
      <c r="AE95" s="178"/>
      <c r="AF95" s="178"/>
      <c r="AG95" s="73">
        <f>AF94*AI95/100</f>
        <v>0</v>
      </c>
      <c r="AH95" s="73" t="s">
        <v>1745</v>
      </c>
      <c r="AI95" s="75"/>
      <c r="AJ95" s="181"/>
      <c r="AK95" s="181"/>
      <c r="AL95" s="70">
        <f>AK94*AN95/100</f>
        <v>0</v>
      </c>
      <c r="AM95" s="70" t="s">
        <v>1745</v>
      </c>
      <c r="AN95" s="72"/>
    </row>
    <row r="96" spans="1:40" ht="15" customHeight="1">
      <c r="A96" s="155"/>
      <c r="B96" s="155"/>
      <c r="C96" s="185"/>
      <c r="D96" s="68">
        <f t="shared" si="1"/>
        <v>0</v>
      </c>
      <c r="E96" s="76"/>
      <c r="F96" s="182"/>
      <c r="G96" s="182"/>
      <c r="H96" s="70">
        <f>G94*J96/100</f>
        <v>0</v>
      </c>
      <c r="I96" s="70" t="s">
        <v>1746</v>
      </c>
      <c r="J96" s="72"/>
      <c r="K96" s="179"/>
      <c r="L96" s="179"/>
      <c r="M96" s="73">
        <f>L94*O96/100</f>
        <v>0</v>
      </c>
      <c r="N96" s="73" t="s">
        <v>1746</v>
      </c>
      <c r="O96" s="75"/>
      <c r="P96" s="182"/>
      <c r="Q96" s="182"/>
      <c r="R96" s="70">
        <f>Q94*T96/100</f>
        <v>0</v>
      </c>
      <c r="S96" s="70" t="s">
        <v>1746</v>
      </c>
      <c r="T96" s="72"/>
      <c r="U96" s="179"/>
      <c r="V96" s="179"/>
      <c r="W96" s="73">
        <f>V94*Y96/100</f>
        <v>0</v>
      </c>
      <c r="X96" s="73" t="s">
        <v>1746</v>
      </c>
      <c r="Y96" s="75"/>
      <c r="Z96" s="182"/>
      <c r="AA96" s="182"/>
      <c r="AB96" s="70">
        <f>AA94*AD96/100</f>
        <v>0</v>
      </c>
      <c r="AC96" s="70" t="s">
        <v>1746</v>
      </c>
      <c r="AD96" s="72"/>
      <c r="AE96" s="179"/>
      <c r="AF96" s="179"/>
      <c r="AG96" s="73">
        <f>AF94*AI96/100</f>
        <v>0</v>
      </c>
      <c r="AH96" s="73" t="s">
        <v>1746</v>
      </c>
      <c r="AI96" s="75"/>
      <c r="AJ96" s="182"/>
      <c r="AK96" s="182"/>
      <c r="AL96" s="70">
        <f>AK94*AN96/100</f>
        <v>0</v>
      </c>
      <c r="AM96" s="70" t="s">
        <v>1746</v>
      </c>
      <c r="AN96" s="72"/>
    </row>
    <row r="97" spans="1:40" ht="15" customHeight="1">
      <c r="A97" s="155"/>
      <c r="B97" s="155"/>
      <c r="C97" s="183" t="s">
        <v>1816</v>
      </c>
      <c r="D97" s="68">
        <f t="shared" si="1"/>
        <v>0</v>
      </c>
      <c r="E97" s="68">
        <f>人员信息!I26</f>
        <v>20.314800000000002</v>
      </c>
      <c r="F97" s="180"/>
      <c r="G97" s="180"/>
      <c r="H97" s="70">
        <f>G97*J97/100</f>
        <v>0</v>
      </c>
      <c r="I97" s="71" t="s">
        <v>1744</v>
      </c>
      <c r="J97" s="72"/>
      <c r="K97" s="177"/>
      <c r="L97" s="177"/>
      <c r="M97" s="73">
        <f>L97*O97/100</f>
        <v>0</v>
      </c>
      <c r="N97" s="74" t="s">
        <v>1744</v>
      </c>
      <c r="O97" s="75"/>
      <c r="P97" s="180"/>
      <c r="Q97" s="180"/>
      <c r="R97" s="70">
        <f>Q97*T97/100</f>
        <v>0</v>
      </c>
      <c r="S97" s="71" t="s">
        <v>1744</v>
      </c>
      <c r="T97" s="72"/>
      <c r="U97" s="177"/>
      <c r="V97" s="177"/>
      <c r="W97" s="73">
        <f>V97*Y97/100</f>
        <v>0</v>
      </c>
      <c r="X97" s="74" t="s">
        <v>1744</v>
      </c>
      <c r="Y97" s="75"/>
      <c r="Z97" s="180"/>
      <c r="AA97" s="180"/>
      <c r="AB97" s="70">
        <f>AA97*AD97/100</f>
        <v>0</v>
      </c>
      <c r="AC97" s="71" t="s">
        <v>1744</v>
      </c>
      <c r="AD97" s="72"/>
      <c r="AE97" s="177"/>
      <c r="AF97" s="177"/>
      <c r="AG97" s="73">
        <f>AF97*AI97/100</f>
        <v>0</v>
      </c>
      <c r="AH97" s="74" t="s">
        <v>1744</v>
      </c>
      <c r="AI97" s="75"/>
      <c r="AJ97" s="180"/>
      <c r="AK97" s="180"/>
      <c r="AL97" s="70">
        <f>AK97*AN97/100</f>
        <v>0</v>
      </c>
      <c r="AM97" s="71" t="s">
        <v>1744</v>
      </c>
      <c r="AN97" s="72"/>
    </row>
    <row r="98" spans="1:40" ht="15" customHeight="1">
      <c r="A98" s="155"/>
      <c r="B98" s="155"/>
      <c r="C98" s="184"/>
      <c r="D98" s="68">
        <f t="shared" si="1"/>
        <v>0</v>
      </c>
      <c r="E98" s="68">
        <f>人员信息!I27</f>
        <v>21.318000000000001</v>
      </c>
      <c r="F98" s="181"/>
      <c r="G98" s="181"/>
      <c r="H98" s="70">
        <f>G97*J98/100</f>
        <v>0</v>
      </c>
      <c r="I98" s="70" t="s">
        <v>1745</v>
      </c>
      <c r="J98" s="72"/>
      <c r="K98" s="178"/>
      <c r="L98" s="178"/>
      <c r="M98" s="73">
        <f>L97*O98/100</f>
        <v>0</v>
      </c>
      <c r="N98" s="73" t="s">
        <v>1745</v>
      </c>
      <c r="O98" s="75"/>
      <c r="P98" s="181"/>
      <c r="Q98" s="181"/>
      <c r="R98" s="70">
        <f>Q97*T98/100</f>
        <v>0</v>
      </c>
      <c r="S98" s="70" t="s">
        <v>1745</v>
      </c>
      <c r="T98" s="72"/>
      <c r="U98" s="178"/>
      <c r="V98" s="178"/>
      <c r="W98" s="73">
        <f>V97*Y98/100</f>
        <v>0</v>
      </c>
      <c r="X98" s="73" t="s">
        <v>1745</v>
      </c>
      <c r="Y98" s="75"/>
      <c r="Z98" s="181"/>
      <c r="AA98" s="181"/>
      <c r="AB98" s="70">
        <f>AA97*AD98/100</f>
        <v>0</v>
      </c>
      <c r="AC98" s="70" t="s">
        <v>1745</v>
      </c>
      <c r="AD98" s="72"/>
      <c r="AE98" s="178"/>
      <c r="AF98" s="178"/>
      <c r="AG98" s="73">
        <f>AF97*AI98/100</f>
        <v>0</v>
      </c>
      <c r="AH98" s="73" t="s">
        <v>1745</v>
      </c>
      <c r="AI98" s="75"/>
      <c r="AJ98" s="181"/>
      <c r="AK98" s="181"/>
      <c r="AL98" s="70">
        <f>AK97*AN98/100</f>
        <v>0</v>
      </c>
      <c r="AM98" s="70" t="s">
        <v>1745</v>
      </c>
      <c r="AN98" s="72"/>
    </row>
    <row r="99" spans="1:40" ht="15" customHeight="1">
      <c r="A99" s="155"/>
      <c r="B99" s="155"/>
      <c r="C99" s="185"/>
      <c r="D99" s="68">
        <f t="shared" si="1"/>
        <v>0</v>
      </c>
      <c r="E99" s="76"/>
      <c r="F99" s="182"/>
      <c r="G99" s="182"/>
      <c r="H99" s="70">
        <f>G97*J99/100</f>
        <v>0</v>
      </c>
      <c r="I99" s="70" t="s">
        <v>1746</v>
      </c>
      <c r="J99" s="72"/>
      <c r="K99" s="179"/>
      <c r="L99" s="179"/>
      <c r="M99" s="73">
        <f>L97*O99/100</f>
        <v>0</v>
      </c>
      <c r="N99" s="73" t="s">
        <v>1746</v>
      </c>
      <c r="O99" s="75"/>
      <c r="P99" s="182"/>
      <c r="Q99" s="182"/>
      <c r="R99" s="70">
        <f>Q97*T99/100</f>
        <v>0</v>
      </c>
      <c r="S99" s="70" t="s">
        <v>1746</v>
      </c>
      <c r="T99" s="72"/>
      <c r="U99" s="179"/>
      <c r="V99" s="179"/>
      <c r="W99" s="73">
        <f>V97*Y99/100</f>
        <v>0</v>
      </c>
      <c r="X99" s="73" t="s">
        <v>1746</v>
      </c>
      <c r="Y99" s="75"/>
      <c r="Z99" s="182"/>
      <c r="AA99" s="182"/>
      <c r="AB99" s="70">
        <f>AA97*AD99/100</f>
        <v>0</v>
      </c>
      <c r="AC99" s="70" t="s">
        <v>1746</v>
      </c>
      <c r="AD99" s="72"/>
      <c r="AE99" s="179"/>
      <c r="AF99" s="179"/>
      <c r="AG99" s="73">
        <f>AF97*AI99/100</f>
        <v>0</v>
      </c>
      <c r="AH99" s="73" t="s">
        <v>1746</v>
      </c>
      <c r="AI99" s="75"/>
      <c r="AJ99" s="182"/>
      <c r="AK99" s="182"/>
      <c r="AL99" s="70">
        <f>AK97*AN99/100</f>
        <v>0</v>
      </c>
      <c r="AM99" s="70" t="s">
        <v>1746</v>
      </c>
      <c r="AN99" s="72"/>
    </row>
    <row r="100" spans="1:40" ht="15" customHeight="1">
      <c r="A100" s="155"/>
      <c r="B100" s="155"/>
      <c r="C100" s="183" t="s">
        <v>1817</v>
      </c>
      <c r="D100" s="68">
        <f t="shared" si="1"/>
        <v>0</v>
      </c>
      <c r="E100" s="68">
        <f>人员信息!I26</f>
        <v>20.314800000000002</v>
      </c>
      <c r="F100" s="180"/>
      <c r="G100" s="180"/>
      <c r="H100" s="70">
        <f>G100*J100/100</f>
        <v>0</v>
      </c>
      <c r="I100" s="71" t="s">
        <v>1744</v>
      </c>
      <c r="J100" s="72"/>
      <c r="K100" s="177"/>
      <c r="L100" s="177"/>
      <c r="M100" s="73">
        <f>L100*O100/100</f>
        <v>0</v>
      </c>
      <c r="N100" s="74" t="s">
        <v>1744</v>
      </c>
      <c r="O100" s="75"/>
      <c r="P100" s="180"/>
      <c r="Q100" s="180"/>
      <c r="R100" s="70">
        <f>Q100*T100/100</f>
        <v>0</v>
      </c>
      <c r="S100" s="71" t="s">
        <v>1744</v>
      </c>
      <c r="T100" s="72"/>
      <c r="U100" s="177"/>
      <c r="V100" s="177"/>
      <c r="W100" s="73">
        <f>V100*Y100/100</f>
        <v>0</v>
      </c>
      <c r="X100" s="74" t="s">
        <v>1744</v>
      </c>
      <c r="Y100" s="75"/>
      <c r="Z100" s="180"/>
      <c r="AA100" s="180"/>
      <c r="AB100" s="70">
        <f>AA100*AD100/100</f>
        <v>0</v>
      </c>
      <c r="AC100" s="71" t="s">
        <v>1744</v>
      </c>
      <c r="AD100" s="72"/>
      <c r="AE100" s="177"/>
      <c r="AF100" s="177"/>
      <c r="AG100" s="73">
        <f>AF100*AI100/100</f>
        <v>0</v>
      </c>
      <c r="AH100" s="74" t="s">
        <v>1744</v>
      </c>
      <c r="AI100" s="75"/>
      <c r="AJ100" s="180"/>
      <c r="AK100" s="180"/>
      <c r="AL100" s="70">
        <f>AK100*AN100/100</f>
        <v>0</v>
      </c>
      <c r="AM100" s="71" t="s">
        <v>1744</v>
      </c>
      <c r="AN100" s="72"/>
    </row>
    <row r="101" spans="1:40" ht="15" customHeight="1">
      <c r="A101" s="155"/>
      <c r="B101" s="155"/>
      <c r="C101" s="184"/>
      <c r="D101" s="68">
        <f t="shared" si="1"/>
        <v>0</v>
      </c>
      <c r="E101" s="68">
        <f>人员信息!I27</f>
        <v>21.318000000000001</v>
      </c>
      <c r="F101" s="181"/>
      <c r="G101" s="181"/>
      <c r="H101" s="70">
        <f>G100*J101/100</f>
        <v>0</v>
      </c>
      <c r="I101" s="70" t="s">
        <v>1745</v>
      </c>
      <c r="J101" s="72"/>
      <c r="K101" s="178"/>
      <c r="L101" s="178"/>
      <c r="M101" s="73">
        <f>L100*O101/100</f>
        <v>0</v>
      </c>
      <c r="N101" s="73" t="s">
        <v>1745</v>
      </c>
      <c r="O101" s="75"/>
      <c r="P101" s="181"/>
      <c r="Q101" s="181"/>
      <c r="R101" s="70">
        <f>Q100*T101/100</f>
        <v>0</v>
      </c>
      <c r="S101" s="70" t="s">
        <v>1745</v>
      </c>
      <c r="T101" s="72"/>
      <c r="U101" s="178"/>
      <c r="V101" s="178"/>
      <c r="W101" s="73">
        <f>V100*Y101/100</f>
        <v>0</v>
      </c>
      <c r="X101" s="73" t="s">
        <v>1745</v>
      </c>
      <c r="Y101" s="75"/>
      <c r="Z101" s="181"/>
      <c r="AA101" s="181"/>
      <c r="AB101" s="70">
        <f>AA100*AD101/100</f>
        <v>0</v>
      </c>
      <c r="AC101" s="70" t="s">
        <v>1745</v>
      </c>
      <c r="AD101" s="72"/>
      <c r="AE101" s="178"/>
      <c r="AF101" s="178"/>
      <c r="AG101" s="73">
        <f>AF100*AI101/100</f>
        <v>0</v>
      </c>
      <c r="AH101" s="73" t="s">
        <v>1745</v>
      </c>
      <c r="AI101" s="75"/>
      <c r="AJ101" s="181"/>
      <c r="AK101" s="181"/>
      <c r="AL101" s="70">
        <f>AK100*AN101/100</f>
        <v>0</v>
      </c>
      <c r="AM101" s="70" t="s">
        <v>1745</v>
      </c>
      <c r="AN101" s="72"/>
    </row>
    <row r="102" spans="1:40" ht="15" customHeight="1">
      <c r="A102" s="155"/>
      <c r="B102" s="155"/>
      <c r="C102" s="185"/>
      <c r="D102" s="68">
        <f t="shared" si="1"/>
        <v>0</v>
      </c>
      <c r="E102" s="76"/>
      <c r="F102" s="182"/>
      <c r="G102" s="182"/>
      <c r="H102" s="70">
        <f>G100*J102/100</f>
        <v>0</v>
      </c>
      <c r="I102" s="70" t="s">
        <v>1746</v>
      </c>
      <c r="J102" s="72"/>
      <c r="K102" s="179"/>
      <c r="L102" s="179"/>
      <c r="M102" s="73">
        <f>L100*O102/100</f>
        <v>0</v>
      </c>
      <c r="N102" s="73" t="s">
        <v>1746</v>
      </c>
      <c r="O102" s="75"/>
      <c r="P102" s="182"/>
      <c r="Q102" s="182"/>
      <c r="R102" s="70">
        <f>Q100*T102/100</f>
        <v>0</v>
      </c>
      <c r="S102" s="70" t="s">
        <v>1746</v>
      </c>
      <c r="T102" s="72"/>
      <c r="U102" s="179"/>
      <c r="V102" s="179"/>
      <c r="W102" s="73">
        <f>V100*Y102/100</f>
        <v>0</v>
      </c>
      <c r="X102" s="73" t="s">
        <v>1746</v>
      </c>
      <c r="Y102" s="75"/>
      <c r="Z102" s="182"/>
      <c r="AA102" s="182"/>
      <c r="AB102" s="70">
        <f>AA100*AD102/100</f>
        <v>0</v>
      </c>
      <c r="AC102" s="70" t="s">
        <v>1746</v>
      </c>
      <c r="AD102" s="72"/>
      <c r="AE102" s="179"/>
      <c r="AF102" s="179"/>
      <c r="AG102" s="73">
        <f>AF100*AI102/100</f>
        <v>0</v>
      </c>
      <c r="AH102" s="73" t="s">
        <v>1746</v>
      </c>
      <c r="AI102" s="75"/>
      <c r="AJ102" s="182"/>
      <c r="AK102" s="182"/>
      <c r="AL102" s="70">
        <f>AK100*AN102/100</f>
        <v>0</v>
      </c>
      <c r="AM102" s="70" t="s">
        <v>1746</v>
      </c>
      <c r="AN102" s="72"/>
    </row>
    <row r="103" spans="1:40" ht="15" customHeight="1">
      <c r="A103" s="155"/>
      <c r="B103" s="155"/>
      <c r="C103" s="183" t="s">
        <v>1818</v>
      </c>
      <c r="D103" s="68">
        <f t="shared" si="1"/>
        <v>0</v>
      </c>
      <c r="E103" s="68">
        <f>人员信息!I26</f>
        <v>20.314800000000002</v>
      </c>
      <c r="F103" s="180"/>
      <c r="G103" s="180"/>
      <c r="H103" s="70">
        <f>G103*J103/100</f>
        <v>0</v>
      </c>
      <c r="I103" s="71" t="s">
        <v>1744</v>
      </c>
      <c r="J103" s="72"/>
      <c r="K103" s="177"/>
      <c r="L103" s="177"/>
      <c r="M103" s="73">
        <f>L103*O103/100</f>
        <v>0</v>
      </c>
      <c r="N103" s="74" t="s">
        <v>1744</v>
      </c>
      <c r="O103" s="75"/>
      <c r="P103" s="180"/>
      <c r="Q103" s="180"/>
      <c r="R103" s="70">
        <f>Q103*T103/100</f>
        <v>0</v>
      </c>
      <c r="S103" s="71" t="s">
        <v>1744</v>
      </c>
      <c r="T103" s="72"/>
      <c r="U103" s="177"/>
      <c r="V103" s="177"/>
      <c r="W103" s="73">
        <f>V103*Y103/100</f>
        <v>0</v>
      </c>
      <c r="X103" s="74" t="s">
        <v>1744</v>
      </c>
      <c r="Y103" s="75"/>
      <c r="Z103" s="180"/>
      <c r="AA103" s="180"/>
      <c r="AB103" s="70">
        <f>AA103*AD103/100</f>
        <v>0</v>
      </c>
      <c r="AC103" s="71" t="s">
        <v>1744</v>
      </c>
      <c r="AD103" s="72"/>
      <c r="AE103" s="177"/>
      <c r="AF103" s="177"/>
      <c r="AG103" s="73">
        <f>AF103*AI103/100</f>
        <v>0</v>
      </c>
      <c r="AH103" s="74" t="s">
        <v>1744</v>
      </c>
      <c r="AI103" s="75"/>
      <c r="AJ103" s="180"/>
      <c r="AK103" s="180"/>
      <c r="AL103" s="70">
        <f>AK103*AN103/100</f>
        <v>0</v>
      </c>
      <c r="AM103" s="71" t="s">
        <v>1744</v>
      </c>
      <c r="AN103" s="72"/>
    </row>
    <row r="104" spans="1:40" ht="15" customHeight="1">
      <c r="A104" s="155"/>
      <c r="B104" s="155"/>
      <c r="C104" s="184"/>
      <c r="D104" s="68">
        <f t="shared" si="1"/>
        <v>0</v>
      </c>
      <c r="E104" s="68">
        <f>人员信息!I27</f>
        <v>21.318000000000001</v>
      </c>
      <c r="F104" s="181"/>
      <c r="G104" s="181"/>
      <c r="H104" s="70">
        <f>G103*J104/100</f>
        <v>0</v>
      </c>
      <c r="I104" s="70" t="s">
        <v>1745</v>
      </c>
      <c r="J104" s="72"/>
      <c r="K104" s="178"/>
      <c r="L104" s="178"/>
      <c r="M104" s="73">
        <f>L103*O104/100</f>
        <v>0</v>
      </c>
      <c r="N104" s="73" t="s">
        <v>1745</v>
      </c>
      <c r="O104" s="75"/>
      <c r="P104" s="181"/>
      <c r="Q104" s="181"/>
      <c r="R104" s="70">
        <f>Q103*T104/100</f>
        <v>0</v>
      </c>
      <c r="S104" s="70" t="s">
        <v>1745</v>
      </c>
      <c r="T104" s="72"/>
      <c r="U104" s="178"/>
      <c r="V104" s="178"/>
      <c r="W104" s="73">
        <f>V103*Y104/100</f>
        <v>0</v>
      </c>
      <c r="X104" s="73" t="s">
        <v>1745</v>
      </c>
      <c r="Y104" s="75"/>
      <c r="Z104" s="181"/>
      <c r="AA104" s="181"/>
      <c r="AB104" s="70">
        <f>AA103*AD104/100</f>
        <v>0</v>
      </c>
      <c r="AC104" s="70" t="s">
        <v>1745</v>
      </c>
      <c r="AD104" s="72"/>
      <c r="AE104" s="178"/>
      <c r="AF104" s="178"/>
      <c r="AG104" s="73">
        <f>AF103*AI104/100</f>
        <v>0</v>
      </c>
      <c r="AH104" s="73" t="s">
        <v>1745</v>
      </c>
      <c r="AI104" s="75"/>
      <c r="AJ104" s="181"/>
      <c r="AK104" s="181"/>
      <c r="AL104" s="70">
        <f>AK103*AN104/100</f>
        <v>0</v>
      </c>
      <c r="AM104" s="70" t="s">
        <v>1745</v>
      </c>
      <c r="AN104" s="72"/>
    </row>
    <row r="105" spans="1:40" ht="15" customHeight="1">
      <c r="A105" s="155"/>
      <c r="B105" s="155"/>
      <c r="C105" s="185"/>
      <c r="D105" s="68">
        <f t="shared" si="1"/>
        <v>0</v>
      </c>
      <c r="E105" s="76"/>
      <c r="F105" s="182"/>
      <c r="G105" s="182"/>
      <c r="H105" s="70">
        <f>G103*J105/100</f>
        <v>0</v>
      </c>
      <c r="I105" s="70" t="s">
        <v>1746</v>
      </c>
      <c r="J105" s="72"/>
      <c r="K105" s="179"/>
      <c r="L105" s="179"/>
      <c r="M105" s="73">
        <f>L103*O105/100</f>
        <v>0</v>
      </c>
      <c r="N105" s="73" t="s">
        <v>1746</v>
      </c>
      <c r="O105" s="75"/>
      <c r="P105" s="182"/>
      <c r="Q105" s="182"/>
      <c r="R105" s="70">
        <f>Q103*T105/100</f>
        <v>0</v>
      </c>
      <c r="S105" s="70" t="s">
        <v>1746</v>
      </c>
      <c r="T105" s="72"/>
      <c r="U105" s="179"/>
      <c r="V105" s="179"/>
      <c r="W105" s="73">
        <f>V103*Y105/100</f>
        <v>0</v>
      </c>
      <c r="X105" s="73" t="s">
        <v>1746</v>
      </c>
      <c r="Y105" s="75"/>
      <c r="Z105" s="182"/>
      <c r="AA105" s="182"/>
      <c r="AB105" s="70">
        <f>AA103*AD105/100</f>
        <v>0</v>
      </c>
      <c r="AC105" s="70" t="s">
        <v>1746</v>
      </c>
      <c r="AD105" s="72"/>
      <c r="AE105" s="179"/>
      <c r="AF105" s="179"/>
      <c r="AG105" s="73">
        <f>AF103*AI105/100</f>
        <v>0</v>
      </c>
      <c r="AH105" s="73" t="s">
        <v>1746</v>
      </c>
      <c r="AI105" s="75"/>
      <c r="AJ105" s="182"/>
      <c r="AK105" s="182"/>
      <c r="AL105" s="70">
        <f>AK103*AN105/100</f>
        <v>0</v>
      </c>
      <c r="AM105" s="70" t="s">
        <v>1746</v>
      </c>
      <c r="AN105" s="72"/>
    </row>
    <row r="106" spans="1:40" ht="15" customHeight="1">
      <c r="A106" s="155"/>
      <c r="B106" s="155"/>
      <c r="C106" s="183" t="s">
        <v>1819</v>
      </c>
      <c r="D106" s="68">
        <f t="shared" si="1"/>
        <v>0</v>
      </c>
      <c r="E106" s="68">
        <f>人员信息!I26</f>
        <v>20.314800000000002</v>
      </c>
      <c r="F106" s="180"/>
      <c r="G106" s="180"/>
      <c r="H106" s="70">
        <f>G106*J106/100</f>
        <v>0</v>
      </c>
      <c r="I106" s="71" t="s">
        <v>1744</v>
      </c>
      <c r="J106" s="72"/>
      <c r="K106" s="177"/>
      <c r="L106" s="177"/>
      <c r="M106" s="73">
        <f>L106*O106/100</f>
        <v>0</v>
      </c>
      <c r="N106" s="74" t="s">
        <v>1744</v>
      </c>
      <c r="O106" s="75"/>
      <c r="P106" s="180"/>
      <c r="Q106" s="180"/>
      <c r="R106" s="70">
        <f>Q106*T106/100</f>
        <v>0</v>
      </c>
      <c r="S106" s="71" t="s">
        <v>1744</v>
      </c>
      <c r="T106" s="72"/>
      <c r="U106" s="177"/>
      <c r="V106" s="177"/>
      <c r="W106" s="73">
        <f>V106*Y106/100</f>
        <v>0</v>
      </c>
      <c r="X106" s="74" t="s">
        <v>1744</v>
      </c>
      <c r="Y106" s="75"/>
      <c r="Z106" s="180"/>
      <c r="AA106" s="180"/>
      <c r="AB106" s="70">
        <f>AA106*AD106/100</f>
        <v>0</v>
      </c>
      <c r="AC106" s="71" t="s">
        <v>1744</v>
      </c>
      <c r="AD106" s="72"/>
      <c r="AE106" s="177"/>
      <c r="AF106" s="177"/>
      <c r="AG106" s="73">
        <f>AF106*AI106/100</f>
        <v>0</v>
      </c>
      <c r="AH106" s="74" t="s">
        <v>1744</v>
      </c>
      <c r="AI106" s="75"/>
      <c r="AJ106" s="180"/>
      <c r="AK106" s="180"/>
      <c r="AL106" s="70">
        <f>AK106*AN106/100</f>
        <v>0</v>
      </c>
      <c r="AM106" s="71" t="s">
        <v>1744</v>
      </c>
      <c r="AN106" s="72"/>
    </row>
    <row r="107" spans="1:40" ht="15" customHeight="1">
      <c r="A107" s="155"/>
      <c r="B107" s="155"/>
      <c r="C107" s="184"/>
      <c r="D107" s="68">
        <f t="shared" si="1"/>
        <v>0</v>
      </c>
      <c r="E107" s="68">
        <f>人员信息!I27</f>
        <v>21.318000000000001</v>
      </c>
      <c r="F107" s="181"/>
      <c r="G107" s="181"/>
      <c r="H107" s="70">
        <f>G106*J107/100</f>
        <v>0</v>
      </c>
      <c r="I107" s="70" t="s">
        <v>1745</v>
      </c>
      <c r="J107" s="72"/>
      <c r="K107" s="178"/>
      <c r="L107" s="178"/>
      <c r="M107" s="73">
        <f>L106*O107/100</f>
        <v>0</v>
      </c>
      <c r="N107" s="73" t="s">
        <v>1745</v>
      </c>
      <c r="O107" s="75"/>
      <c r="P107" s="181"/>
      <c r="Q107" s="181"/>
      <c r="R107" s="70">
        <f>Q106*T107/100</f>
        <v>0</v>
      </c>
      <c r="S107" s="70" t="s">
        <v>1745</v>
      </c>
      <c r="T107" s="72"/>
      <c r="U107" s="178"/>
      <c r="V107" s="178"/>
      <c r="W107" s="73">
        <f>V106*Y107/100</f>
        <v>0</v>
      </c>
      <c r="X107" s="73" t="s">
        <v>1745</v>
      </c>
      <c r="Y107" s="75"/>
      <c r="Z107" s="181"/>
      <c r="AA107" s="181"/>
      <c r="AB107" s="70">
        <f>AA106*AD107/100</f>
        <v>0</v>
      </c>
      <c r="AC107" s="70" t="s">
        <v>1745</v>
      </c>
      <c r="AD107" s="72"/>
      <c r="AE107" s="178"/>
      <c r="AF107" s="178"/>
      <c r="AG107" s="73">
        <f>AF106*AI107/100</f>
        <v>0</v>
      </c>
      <c r="AH107" s="73" t="s">
        <v>1745</v>
      </c>
      <c r="AI107" s="75"/>
      <c r="AJ107" s="181"/>
      <c r="AK107" s="181"/>
      <c r="AL107" s="70">
        <f>AK106*AN107/100</f>
        <v>0</v>
      </c>
      <c r="AM107" s="70" t="s">
        <v>1745</v>
      </c>
      <c r="AN107" s="72"/>
    </row>
    <row r="108" spans="1:40" ht="15" customHeight="1">
      <c r="A108" s="155"/>
      <c r="B108" s="155"/>
      <c r="C108" s="185"/>
      <c r="D108" s="68">
        <f t="shared" si="1"/>
        <v>0</v>
      </c>
      <c r="E108" s="76"/>
      <c r="F108" s="182"/>
      <c r="G108" s="182"/>
      <c r="H108" s="70">
        <f>G106*J108/100</f>
        <v>0</v>
      </c>
      <c r="I108" s="70" t="s">
        <v>1746</v>
      </c>
      <c r="J108" s="72"/>
      <c r="K108" s="179"/>
      <c r="L108" s="179"/>
      <c r="M108" s="73">
        <f>L106*O108/100</f>
        <v>0</v>
      </c>
      <c r="N108" s="73" t="s">
        <v>1746</v>
      </c>
      <c r="O108" s="75"/>
      <c r="P108" s="182"/>
      <c r="Q108" s="182"/>
      <c r="R108" s="70">
        <f>Q106*T108/100</f>
        <v>0</v>
      </c>
      <c r="S108" s="70" t="s">
        <v>1746</v>
      </c>
      <c r="T108" s="72"/>
      <c r="U108" s="179"/>
      <c r="V108" s="179"/>
      <c r="W108" s="73">
        <f>V106*Y108/100</f>
        <v>0</v>
      </c>
      <c r="X108" s="73" t="s">
        <v>1746</v>
      </c>
      <c r="Y108" s="75"/>
      <c r="Z108" s="182"/>
      <c r="AA108" s="182"/>
      <c r="AB108" s="70">
        <f>AA106*AD108/100</f>
        <v>0</v>
      </c>
      <c r="AC108" s="70" t="s">
        <v>1746</v>
      </c>
      <c r="AD108" s="72"/>
      <c r="AE108" s="179"/>
      <c r="AF108" s="179"/>
      <c r="AG108" s="73">
        <f>AF106*AI108/100</f>
        <v>0</v>
      </c>
      <c r="AH108" s="73" t="s">
        <v>1746</v>
      </c>
      <c r="AI108" s="75"/>
      <c r="AJ108" s="182"/>
      <c r="AK108" s="182"/>
      <c r="AL108" s="70">
        <f>AK106*AN108/100</f>
        <v>0</v>
      </c>
      <c r="AM108" s="70" t="s">
        <v>1746</v>
      </c>
      <c r="AN108" s="72"/>
    </row>
    <row r="109" spans="1:40" ht="15" customHeight="1">
      <c r="A109" s="186" t="s">
        <v>154</v>
      </c>
      <c r="B109" s="186"/>
      <c r="C109" s="186"/>
      <c r="D109" s="186"/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186"/>
      <c r="Q109" s="186"/>
      <c r="R109" s="186"/>
      <c r="S109" s="186"/>
      <c r="T109" s="186"/>
      <c r="U109" s="186"/>
      <c r="V109" s="186"/>
      <c r="W109" s="186"/>
      <c r="X109" s="186"/>
      <c r="Y109" s="186"/>
    </row>
    <row r="110" spans="1:40" ht="15" customHeight="1">
      <c r="A110" s="187" t="s">
        <v>155</v>
      </c>
      <c r="B110" s="187"/>
      <c r="C110" s="187"/>
      <c r="D110" s="187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</row>
  </sheetData>
  <mergeCells count="539">
    <mergeCell ref="A1:AN1"/>
    <mergeCell ref="A2:AN2"/>
    <mergeCell ref="A4:A24"/>
    <mergeCell ref="B4:B24"/>
    <mergeCell ref="C4:C6"/>
    <mergeCell ref="F4:F6"/>
    <mergeCell ref="G4:G6"/>
    <mergeCell ref="K4:K6"/>
    <mergeCell ref="L4:L6"/>
    <mergeCell ref="P4:P6"/>
    <mergeCell ref="AF4:AF6"/>
    <mergeCell ref="AJ4:AJ6"/>
    <mergeCell ref="AK4:AK6"/>
    <mergeCell ref="C7:C9"/>
    <mergeCell ref="F7:F9"/>
    <mergeCell ref="G7:G9"/>
    <mergeCell ref="K7:K9"/>
    <mergeCell ref="L7:L9"/>
    <mergeCell ref="P7:P9"/>
    <mergeCell ref="Q7:Q9"/>
    <mergeCell ref="Q4:Q6"/>
    <mergeCell ref="U4:U6"/>
    <mergeCell ref="V4:V6"/>
    <mergeCell ref="Z4:Z6"/>
    <mergeCell ref="AA4:AA6"/>
    <mergeCell ref="AE4:AE6"/>
    <mergeCell ref="AJ7:AJ9"/>
    <mergeCell ref="AK7:AK9"/>
    <mergeCell ref="C10:C12"/>
    <mergeCell ref="F10:F12"/>
    <mergeCell ref="G10:G12"/>
    <mergeCell ref="K10:K12"/>
    <mergeCell ref="L10:L12"/>
    <mergeCell ref="P10:P12"/>
    <mergeCell ref="Q10:Q12"/>
    <mergeCell ref="U10:U12"/>
    <mergeCell ref="U7:U9"/>
    <mergeCell ref="V7:V9"/>
    <mergeCell ref="Z7:Z9"/>
    <mergeCell ref="AA7:AA9"/>
    <mergeCell ref="AE7:AE9"/>
    <mergeCell ref="AF7:AF9"/>
    <mergeCell ref="AK10:AK12"/>
    <mergeCell ref="V10:V12"/>
    <mergeCell ref="Z10:Z12"/>
    <mergeCell ref="AA10:AA12"/>
    <mergeCell ref="AE10:AE12"/>
    <mergeCell ref="AF10:AF12"/>
    <mergeCell ref="AJ19:AJ21"/>
    <mergeCell ref="AK19:AK21"/>
    <mergeCell ref="Z13:Z15"/>
    <mergeCell ref="AA13:AA15"/>
    <mergeCell ref="AE13:AE15"/>
    <mergeCell ref="AF13:AF15"/>
    <mergeCell ref="AJ13:AJ15"/>
    <mergeCell ref="AK13:AK15"/>
    <mergeCell ref="AF19:AF21"/>
    <mergeCell ref="AE19:AE21"/>
    <mergeCell ref="AF16:AF18"/>
    <mergeCell ref="AJ16:AJ18"/>
    <mergeCell ref="AK16:AK18"/>
    <mergeCell ref="Z16:Z18"/>
    <mergeCell ref="AA16:AA18"/>
    <mergeCell ref="AE16:AE18"/>
    <mergeCell ref="Z19:Z21"/>
    <mergeCell ref="AA19:AA21"/>
    <mergeCell ref="AJ10:AJ12"/>
    <mergeCell ref="K16:K18"/>
    <mergeCell ref="L16:L18"/>
    <mergeCell ref="P16:P18"/>
    <mergeCell ref="V16:V18"/>
    <mergeCell ref="C13:C15"/>
    <mergeCell ref="F13:F15"/>
    <mergeCell ref="G13:G15"/>
    <mergeCell ref="K13:K15"/>
    <mergeCell ref="L13:L15"/>
    <mergeCell ref="P13:P15"/>
    <mergeCell ref="Q13:Q15"/>
    <mergeCell ref="U13:U15"/>
    <mergeCell ref="V13:V15"/>
    <mergeCell ref="P28:P30"/>
    <mergeCell ref="L22:L24"/>
    <mergeCell ref="P22:P24"/>
    <mergeCell ref="Q22:Q24"/>
    <mergeCell ref="U22:U24"/>
    <mergeCell ref="Q16:Q18"/>
    <mergeCell ref="U16:U18"/>
    <mergeCell ref="C16:C18"/>
    <mergeCell ref="F16:F18"/>
    <mergeCell ref="G16:G18"/>
    <mergeCell ref="AA25:AA27"/>
    <mergeCell ref="C19:C21"/>
    <mergeCell ref="F19:F21"/>
    <mergeCell ref="G19:G21"/>
    <mergeCell ref="K19:K21"/>
    <mergeCell ref="L19:L21"/>
    <mergeCell ref="P19:P21"/>
    <mergeCell ref="Q19:Q21"/>
    <mergeCell ref="U19:U21"/>
    <mergeCell ref="V19:V21"/>
    <mergeCell ref="U25:U27"/>
    <mergeCell ref="V25:V27"/>
    <mergeCell ref="C22:C24"/>
    <mergeCell ref="F22:F24"/>
    <mergeCell ref="G22:G24"/>
    <mergeCell ref="K22:K24"/>
    <mergeCell ref="AE25:AE27"/>
    <mergeCell ref="AK22:AK24"/>
    <mergeCell ref="A25:A45"/>
    <mergeCell ref="B25:B45"/>
    <mergeCell ref="C25:C27"/>
    <mergeCell ref="F25:F27"/>
    <mergeCell ref="G25:G27"/>
    <mergeCell ref="K25:K27"/>
    <mergeCell ref="L25:L27"/>
    <mergeCell ref="P25:P27"/>
    <mergeCell ref="Q25:Q27"/>
    <mergeCell ref="V22:V24"/>
    <mergeCell ref="Z22:Z24"/>
    <mergeCell ref="AA22:AA24"/>
    <mergeCell ref="AE22:AE24"/>
    <mergeCell ref="AF22:AF24"/>
    <mergeCell ref="AJ22:AJ24"/>
    <mergeCell ref="AJ25:AJ27"/>
    <mergeCell ref="AF25:AF27"/>
    <mergeCell ref="Z31:Z33"/>
    <mergeCell ref="AA31:AA33"/>
    <mergeCell ref="AE31:AE33"/>
    <mergeCell ref="C28:C30"/>
    <mergeCell ref="AK37:AK39"/>
    <mergeCell ref="AE28:AE30"/>
    <mergeCell ref="AF28:AF30"/>
    <mergeCell ref="AJ28:AJ30"/>
    <mergeCell ref="AK34:AK36"/>
    <mergeCell ref="AJ34:AJ36"/>
    <mergeCell ref="V34:V36"/>
    <mergeCell ref="Z34:Z36"/>
    <mergeCell ref="AA34:AA36"/>
    <mergeCell ref="AE34:AE36"/>
    <mergeCell ref="AK25:AK27"/>
    <mergeCell ref="C31:C33"/>
    <mergeCell ref="F31:F33"/>
    <mergeCell ref="G31:G33"/>
    <mergeCell ref="K31:K33"/>
    <mergeCell ref="L31:L33"/>
    <mergeCell ref="P31:P33"/>
    <mergeCell ref="Q31:Q33"/>
    <mergeCell ref="U31:U33"/>
    <mergeCell ref="V31:V33"/>
    <mergeCell ref="F28:F30"/>
    <mergeCell ref="G28:G30"/>
    <mergeCell ref="K28:K30"/>
    <mergeCell ref="L28:L30"/>
    <mergeCell ref="AF31:AF33"/>
    <mergeCell ref="AJ31:AJ33"/>
    <mergeCell ref="Q28:Q30"/>
    <mergeCell ref="U28:U30"/>
    <mergeCell ref="Z25:Z27"/>
    <mergeCell ref="AK31:AK33"/>
    <mergeCell ref="AK28:AK30"/>
    <mergeCell ref="V28:V30"/>
    <mergeCell ref="Z28:Z30"/>
    <mergeCell ref="AA28:AA30"/>
    <mergeCell ref="AJ37:AJ39"/>
    <mergeCell ref="C34:C36"/>
    <mergeCell ref="F34:F36"/>
    <mergeCell ref="G34:G36"/>
    <mergeCell ref="K34:K36"/>
    <mergeCell ref="L34:L36"/>
    <mergeCell ref="AF34:AF36"/>
    <mergeCell ref="Q34:Q36"/>
    <mergeCell ref="U34:U36"/>
    <mergeCell ref="P34:P36"/>
    <mergeCell ref="Q40:Q42"/>
    <mergeCell ref="U40:U42"/>
    <mergeCell ref="U37:U39"/>
    <mergeCell ref="Q37:Q39"/>
    <mergeCell ref="V37:V39"/>
    <mergeCell ref="Z37:Z39"/>
    <mergeCell ref="AA37:AA39"/>
    <mergeCell ref="AE37:AE39"/>
    <mergeCell ref="AF37:AF39"/>
    <mergeCell ref="G40:G42"/>
    <mergeCell ref="K40:K42"/>
    <mergeCell ref="L40:L42"/>
    <mergeCell ref="P40:P42"/>
    <mergeCell ref="C37:C39"/>
    <mergeCell ref="F37:F39"/>
    <mergeCell ref="G37:G39"/>
    <mergeCell ref="K37:K39"/>
    <mergeCell ref="L37:L39"/>
    <mergeCell ref="P37:P39"/>
    <mergeCell ref="AJ43:AJ45"/>
    <mergeCell ref="AK43:AK45"/>
    <mergeCell ref="AK40:AK42"/>
    <mergeCell ref="C43:C45"/>
    <mergeCell ref="F43:F45"/>
    <mergeCell ref="G43:G45"/>
    <mergeCell ref="K43:K45"/>
    <mergeCell ref="L43:L45"/>
    <mergeCell ref="P43:P45"/>
    <mergeCell ref="Q43:Q45"/>
    <mergeCell ref="U43:U45"/>
    <mergeCell ref="V43:V45"/>
    <mergeCell ref="V40:V42"/>
    <mergeCell ref="Z40:Z42"/>
    <mergeCell ref="AA40:AA42"/>
    <mergeCell ref="AE40:AE42"/>
    <mergeCell ref="AF40:AF42"/>
    <mergeCell ref="AJ40:AJ42"/>
    <mergeCell ref="C40:C42"/>
    <mergeCell ref="F40:F42"/>
    <mergeCell ref="Z43:Z45"/>
    <mergeCell ref="AA43:AA45"/>
    <mergeCell ref="AE43:AE45"/>
    <mergeCell ref="AF43:AF45"/>
    <mergeCell ref="AA46:AA48"/>
    <mergeCell ref="AE46:AE48"/>
    <mergeCell ref="AF46:AF48"/>
    <mergeCell ref="AJ46:AJ48"/>
    <mergeCell ref="AK46:AK48"/>
    <mergeCell ref="C49:C51"/>
    <mergeCell ref="F49:F51"/>
    <mergeCell ref="G49:G51"/>
    <mergeCell ref="K49:K51"/>
    <mergeCell ref="L49:L51"/>
    <mergeCell ref="L46:L48"/>
    <mergeCell ref="P46:P48"/>
    <mergeCell ref="Q46:Q48"/>
    <mergeCell ref="U46:U48"/>
    <mergeCell ref="V46:V48"/>
    <mergeCell ref="Z46:Z48"/>
    <mergeCell ref="C46:C48"/>
    <mergeCell ref="F46:F48"/>
    <mergeCell ref="G46:G48"/>
    <mergeCell ref="K46:K48"/>
    <mergeCell ref="AE49:AE51"/>
    <mergeCell ref="AF49:AF51"/>
    <mergeCell ref="AJ49:AJ51"/>
    <mergeCell ref="AK49:AK51"/>
    <mergeCell ref="Z49:Z51"/>
    <mergeCell ref="AA49:AA51"/>
    <mergeCell ref="AF52:AF54"/>
    <mergeCell ref="AJ52:AJ54"/>
    <mergeCell ref="AK52:AK54"/>
    <mergeCell ref="C55:C57"/>
    <mergeCell ref="F55:F57"/>
    <mergeCell ref="G55:G57"/>
    <mergeCell ref="K55:K57"/>
    <mergeCell ref="L55:L57"/>
    <mergeCell ref="P55:P57"/>
    <mergeCell ref="Q55:Q57"/>
    <mergeCell ref="Q52:Q54"/>
    <mergeCell ref="U52:U54"/>
    <mergeCell ref="V52:V54"/>
    <mergeCell ref="Z52:Z54"/>
    <mergeCell ref="AA52:AA54"/>
    <mergeCell ref="AE52:AE54"/>
    <mergeCell ref="AJ55:AJ57"/>
    <mergeCell ref="AK55:AK57"/>
    <mergeCell ref="V55:V57"/>
    <mergeCell ref="Z55:Z57"/>
    <mergeCell ref="AA55:AA57"/>
    <mergeCell ref="C52:C54"/>
    <mergeCell ref="F58:F60"/>
    <mergeCell ref="G58:G60"/>
    <mergeCell ref="K58:K60"/>
    <mergeCell ref="L58:L60"/>
    <mergeCell ref="P58:P60"/>
    <mergeCell ref="Q58:Q60"/>
    <mergeCell ref="U58:U60"/>
    <mergeCell ref="U55:U57"/>
    <mergeCell ref="V49:V51"/>
    <mergeCell ref="F52:F54"/>
    <mergeCell ref="G52:G54"/>
    <mergeCell ref="K52:K54"/>
    <mergeCell ref="L52:L54"/>
    <mergeCell ref="P52:P54"/>
    <mergeCell ref="P49:P51"/>
    <mergeCell ref="Q49:Q51"/>
    <mergeCell ref="U49:U51"/>
    <mergeCell ref="V58:V60"/>
    <mergeCell ref="AE55:AE57"/>
    <mergeCell ref="AF55:AF57"/>
    <mergeCell ref="Z61:Z63"/>
    <mergeCell ref="AA61:AA63"/>
    <mergeCell ref="AE61:AE63"/>
    <mergeCell ref="AF61:AF63"/>
    <mergeCell ref="AJ61:AJ63"/>
    <mergeCell ref="AK61:AK63"/>
    <mergeCell ref="AK58:AK60"/>
    <mergeCell ref="Z58:Z60"/>
    <mergeCell ref="AA58:AA60"/>
    <mergeCell ref="AE58:AE60"/>
    <mergeCell ref="AF58:AF60"/>
    <mergeCell ref="AJ58:AJ60"/>
    <mergeCell ref="AA64:AA66"/>
    <mergeCell ref="AE64:AE66"/>
    <mergeCell ref="AF64:AF66"/>
    <mergeCell ref="AJ64:AJ66"/>
    <mergeCell ref="V61:V63"/>
    <mergeCell ref="A67:A87"/>
    <mergeCell ref="B67:B87"/>
    <mergeCell ref="C67:C69"/>
    <mergeCell ref="F67:F69"/>
    <mergeCell ref="G67:G69"/>
    <mergeCell ref="L64:L66"/>
    <mergeCell ref="P64:P66"/>
    <mergeCell ref="Q64:Q66"/>
    <mergeCell ref="U64:U66"/>
    <mergeCell ref="A46:A66"/>
    <mergeCell ref="B46:B66"/>
    <mergeCell ref="C64:C66"/>
    <mergeCell ref="F64:F66"/>
    <mergeCell ref="G64:G66"/>
    <mergeCell ref="K64:K66"/>
    <mergeCell ref="C61:C63"/>
    <mergeCell ref="F61:F63"/>
    <mergeCell ref="G61:G63"/>
    <mergeCell ref="K61:K63"/>
    <mergeCell ref="L61:L63"/>
    <mergeCell ref="P61:P63"/>
    <mergeCell ref="Q61:Q63"/>
    <mergeCell ref="U61:U63"/>
    <mergeCell ref="C58:C60"/>
    <mergeCell ref="V67:V69"/>
    <mergeCell ref="AF70:AF72"/>
    <mergeCell ref="AJ70:AJ72"/>
    <mergeCell ref="AK70:AK72"/>
    <mergeCell ref="V70:V72"/>
    <mergeCell ref="Z70:Z72"/>
    <mergeCell ref="AA70:AA72"/>
    <mergeCell ref="AE70:AE72"/>
    <mergeCell ref="AK64:AK66"/>
    <mergeCell ref="V64:V66"/>
    <mergeCell ref="Z64:Z66"/>
    <mergeCell ref="Z67:Z69"/>
    <mergeCell ref="AA67:AA69"/>
    <mergeCell ref="AE67:AE69"/>
    <mergeCell ref="AF67:AF69"/>
    <mergeCell ref="AJ67:AJ69"/>
    <mergeCell ref="AK67:AK69"/>
    <mergeCell ref="Q70:Q72"/>
    <mergeCell ref="U70:U72"/>
    <mergeCell ref="C70:C72"/>
    <mergeCell ref="F70:F72"/>
    <mergeCell ref="G70:G72"/>
    <mergeCell ref="K70:K72"/>
    <mergeCell ref="L70:L72"/>
    <mergeCell ref="P70:P72"/>
    <mergeCell ref="K67:K69"/>
    <mergeCell ref="L67:L69"/>
    <mergeCell ref="P67:P69"/>
    <mergeCell ref="Q67:Q69"/>
    <mergeCell ref="U67:U69"/>
    <mergeCell ref="AJ73:AJ75"/>
    <mergeCell ref="AK73:AK75"/>
    <mergeCell ref="C76:C78"/>
    <mergeCell ref="F76:F78"/>
    <mergeCell ref="G76:G78"/>
    <mergeCell ref="K76:K78"/>
    <mergeCell ref="L76:L78"/>
    <mergeCell ref="P76:P78"/>
    <mergeCell ref="Q76:Q78"/>
    <mergeCell ref="U76:U78"/>
    <mergeCell ref="U73:U75"/>
    <mergeCell ref="V73:V75"/>
    <mergeCell ref="Z73:Z75"/>
    <mergeCell ref="AA73:AA75"/>
    <mergeCell ref="AE73:AE75"/>
    <mergeCell ref="AF73:AF75"/>
    <mergeCell ref="C73:C75"/>
    <mergeCell ref="F73:F75"/>
    <mergeCell ref="G73:G75"/>
    <mergeCell ref="K73:K75"/>
    <mergeCell ref="L73:L75"/>
    <mergeCell ref="P73:P75"/>
    <mergeCell ref="Q73:Q75"/>
    <mergeCell ref="Z79:Z81"/>
    <mergeCell ref="AA79:AA81"/>
    <mergeCell ref="AE79:AE81"/>
    <mergeCell ref="AF79:AF81"/>
    <mergeCell ref="AJ79:AJ81"/>
    <mergeCell ref="AK79:AK81"/>
    <mergeCell ref="AK76:AK78"/>
    <mergeCell ref="C79:C81"/>
    <mergeCell ref="F79:F81"/>
    <mergeCell ref="G79:G81"/>
    <mergeCell ref="K79:K81"/>
    <mergeCell ref="L79:L81"/>
    <mergeCell ref="P79:P81"/>
    <mergeCell ref="Q79:Q81"/>
    <mergeCell ref="U79:U81"/>
    <mergeCell ref="V79:V81"/>
    <mergeCell ref="V76:V78"/>
    <mergeCell ref="Z76:Z78"/>
    <mergeCell ref="AA76:AA78"/>
    <mergeCell ref="AE76:AE78"/>
    <mergeCell ref="AF76:AF78"/>
    <mergeCell ref="AJ76:AJ78"/>
    <mergeCell ref="AF82:AF84"/>
    <mergeCell ref="AJ82:AJ84"/>
    <mergeCell ref="AK82:AK84"/>
    <mergeCell ref="C85:C87"/>
    <mergeCell ref="F85:F87"/>
    <mergeCell ref="G85:G87"/>
    <mergeCell ref="K85:K87"/>
    <mergeCell ref="L85:L87"/>
    <mergeCell ref="P85:P87"/>
    <mergeCell ref="Q85:Q87"/>
    <mergeCell ref="Q82:Q84"/>
    <mergeCell ref="U82:U84"/>
    <mergeCell ref="V82:V84"/>
    <mergeCell ref="Z82:Z84"/>
    <mergeCell ref="AA82:AA84"/>
    <mergeCell ref="AE82:AE84"/>
    <mergeCell ref="C82:C84"/>
    <mergeCell ref="F82:F84"/>
    <mergeCell ref="G82:G84"/>
    <mergeCell ref="K82:K84"/>
    <mergeCell ref="L82:L84"/>
    <mergeCell ref="P82:P84"/>
    <mergeCell ref="AJ85:AJ87"/>
    <mergeCell ref="AK85:AK87"/>
    <mergeCell ref="U85:U87"/>
    <mergeCell ref="V85:V87"/>
    <mergeCell ref="C91:C93"/>
    <mergeCell ref="F91:F93"/>
    <mergeCell ref="G91:G93"/>
    <mergeCell ref="K91:K93"/>
    <mergeCell ref="L91:L93"/>
    <mergeCell ref="L88:L90"/>
    <mergeCell ref="P88:P90"/>
    <mergeCell ref="Q88:Q90"/>
    <mergeCell ref="U88:U90"/>
    <mergeCell ref="V88:V90"/>
    <mergeCell ref="P91:P93"/>
    <mergeCell ref="Q91:Q93"/>
    <mergeCell ref="U91:U93"/>
    <mergeCell ref="V91:V93"/>
    <mergeCell ref="AK88:AK90"/>
    <mergeCell ref="Z88:Z90"/>
    <mergeCell ref="A109:Y109"/>
    <mergeCell ref="A110:Y110"/>
    <mergeCell ref="A88:A108"/>
    <mergeCell ref="B88:B108"/>
    <mergeCell ref="C88:C90"/>
    <mergeCell ref="F88:F90"/>
    <mergeCell ref="G88:G90"/>
    <mergeCell ref="K88:K90"/>
    <mergeCell ref="C97:C99"/>
    <mergeCell ref="F97:F99"/>
    <mergeCell ref="G97:G99"/>
    <mergeCell ref="K97:K99"/>
    <mergeCell ref="AE91:AE93"/>
    <mergeCell ref="AF91:AF93"/>
    <mergeCell ref="AK94:AK96"/>
    <mergeCell ref="Q94:Q96"/>
    <mergeCell ref="U94:U96"/>
    <mergeCell ref="V94:V96"/>
    <mergeCell ref="K94:K96"/>
    <mergeCell ref="L94:L96"/>
    <mergeCell ref="P94:P96"/>
    <mergeCell ref="AK97:AK99"/>
    <mergeCell ref="Z85:Z87"/>
    <mergeCell ref="AA85:AA87"/>
    <mergeCell ref="AE85:AE87"/>
    <mergeCell ref="AF85:AF87"/>
    <mergeCell ref="AA88:AA90"/>
    <mergeCell ref="AE88:AE90"/>
    <mergeCell ref="AF88:AF90"/>
    <mergeCell ref="AF94:AF96"/>
    <mergeCell ref="AJ94:AJ96"/>
    <mergeCell ref="Z94:Z96"/>
    <mergeCell ref="AA94:AA96"/>
    <mergeCell ref="AE94:AE96"/>
    <mergeCell ref="Z91:Z93"/>
    <mergeCell ref="AA91:AA93"/>
    <mergeCell ref="AJ91:AJ93"/>
    <mergeCell ref="AJ88:AJ90"/>
    <mergeCell ref="Z97:Z99"/>
    <mergeCell ref="AA97:AA99"/>
    <mergeCell ref="AE97:AE99"/>
    <mergeCell ref="AF97:AF99"/>
    <mergeCell ref="L97:L99"/>
    <mergeCell ref="P97:P99"/>
    <mergeCell ref="Q97:Q99"/>
    <mergeCell ref="AK91:AK93"/>
    <mergeCell ref="C100:C102"/>
    <mergeCell ref="F100:F102"/>
    <mergeCell ref="G100:G102"/>
    <mergeCell ref="K100:K102"/>
    <mergeCell ref="L100:L102"/>
    <mergeCell ref="P100:P102"/>
    <mergeCell ref="Q100:Q102"/>
    <mergeCell ref="U100:U102"/>
    <mergeCell ref="U97:U99"/>
    <mergeCell ref="C94:C96"/>
    <mergeCell ref="F94:F96"/>
    <mergeCell ref="G94:G96"/>
    <mergeCell ref="AJ97:AJ99"/>
    <mergeCell ref="V97:V99"/>
    <mergeCell ref="AF103:AF105"/>
    <mergeCell ref="AJ103:AJ105"/>
    <mergeCell ref="AK103:AK105"/>
    <mergeCell ref="AK100:AK102"/>
    <mergeCell ref="C103:C105"/>
    <mergeCell ref="F103:F105"/>
    <mergeCell ref="G103:G105"/>
    <mergeCell ref="K103:K105"/>
    <mergeCell ref="L103:L105"/>
    <mergeCell ref="P103:P105"/>
    <mergeCell ref="Q103:Q105"/>
    <mergeCell ref="U103:U105"/>
    <mergeCell ref="V103:V105"/>
    <mergeCell ref="V100:V102"/>
    <mergeCell ref="Z100:Z102"/>
    <mergeCell ref="AA100:AA102"/>
    <mergeCell ref="AE100:AE102"/>
    <mergeCell ref="AF100:AF102"/>
    <mergeCell ref="AJ100:AJ102"/>
    <mergeCell ref="C106:C108"/>
    <mergeCell ref="F106:F108"/>
    <mergeCell ref="G106:G108"/>
    <mergeCell ref="K106:K108"/>
    <mergeCell ref="L106:L108"/>
    <mergeCell ref="P106:P108"/>
    <mergeCell ref="Z103:Z105"/>
    <mergeCell ref="AA103:AA105"/>
    <mergeCell ref="AE103:AE105"/>
    <mergeCell ref="AF106:AF108"/>
    <mergeCell ref="AJ106:AJ108"/>
    <mergeCell ref="AK106:AK108"/>
    <mergeCell ref="Q106:Q108"/>
    <mergeCell ref="U106:U108"/>
    <mergeCell ref="V106:V108"/>
    <mergeCell ref="Z106:Z108"/>
    <mergeCell ref="AA106:AA108"/>
    <mergeCell ref="AE106:AE108"/>
  </mergeCells>
  <phoneticPr fontId="16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All_L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307818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45"/>
  <sheetViews>
    <sheetView zoomScale="140" zoomScaleNormal="140" workbookViewId="0">
      <selection activeCell="E46" sqref="E46"/>
    </sheetView>
  </sheetViews>
  <sheetFormatPr defaultColWidth="9" defaultRowHeight="15.7"/>
  <cols>
    <col min="1" max="1" width="15.25" style="1" customWidth="1"/>
    <col min="2" max="2" width="99.625" style="1" customWidth="1"/>
    <col min="3" max="7" width="9" style="1"/>
    <col min="8" max="8" width="23.25" style="1" customWidth="1"/>
    <col min="9" max="16384" width="9" style="1"/>
  </cols>
  <sheetData>
    <row r="1" spans="1:2">
      <c r="A1" s="149" t="s">
        <v>185</v>
      </c>
      <c r="B1" s="149"/>
    </row>
    <row r="2" spans="1:2" ht="31.4">
      <c r="A2" s="2" t="s">
        <v>186</v>
      </c>
      <c r="B2" s="6" t="s">
        <v>187</v>
      </c>
    </row>
    <row r="3" spans="1:2" ht="219.6">
      <c r="A3" s="2" t="s">
        <v>188</v>
      </c>
      <c r="B3" s="6" t="s">
        <v>189</v>
      </c>
    </row>
    <row r="4" spans="1:2" ht="78.45">
      <c r="A4" s="2" t="s">
        <v>190</v>
      </c>
      <c r="B4" s="6" t="s">
        <v>191</v>
      </c>
    </row>
    <row r="5" spans="1:2" ht="31.4">
      <c r="A5" s="2" t="s">
        <v>192</v>
      </c>
      <c r="B5" s="6" t="s">
        <v>193</v>
      </c>
    </row>
    <row r="6" spans="1:2">
      <c r="A6" s="194" t="s">
        <v>194</v>
      </c>
      <c r="B6" s="194"/>
    </row>
    <row r="8" spans="1:2">
      <c r="A8" s="149" t="s">
        <v>195</v>
      </c>
      <c r="B8" s="149"/>
    </row>
    <row r="9" spans="1:2" ht="94.1">
      <c r="A9" s="3" t="s">
        <v>196</v>
      </c>
      <c r="B9" s="6" t="s">
        <v>197</v>
      </c>
    </row>
    <row r="10" spans="1:2" ht="47.05">
      <c r="A10" s="3" t="s">
        <v>198</v>
      </c>
      <c r="B10" s="6" t="s">
        <v>199</v>
      </c>
    </row>
    <row r="12" spans="1:2">
      <c r="A12" s="149" t="s">
        <v>200</v>
      </c>
      <c r="B12" s="149"/>
    </row>
    <row r="13" spans="1:2" ht="27.1" customHeight="1">
      <c r="A13" s="3" t="s">
        <v>201</v>
      </c>
      <c r="B13" s="6" t="s">
        <v>202</v>
      </c>
    </row>
    <row r="14" spans="1:2" ht="27.1" customHeight="1">
      <c r="A14" s="3" t="s">
        <v>203</v>
      </c>
      <c r="B14" s="6" t="s">
        <v>204</v>
      </c>
    </row>
    <row r="15" spans="1:2" ht="27.1" customHeight="1">
      <c r="A15" s="2" t="s">
        <v>205</v>
      </c>
      <c r="B15" s="6" t="s">
        <v>206</v>
      </c>
    </row>
    <row r="19" spans="1:2">
      <c r="A19" s="152" t="s">
        <v>207</v>
      </c>
      <c r="B19" s="154"/>
    </row>
    <row r="20" spans="1:2" ht="31.4">
      <c r="A20" s="4" t="s">
        <v>208</v>
      </c>
      <c r="B20" s="6" t="s">
        <v>209</v>
      </c>
    </row>
    <row r="21" spans="1:2" ht="47.05">
      <c r="A21" s="4" t="s">
        <v>210</v>
      </c>
      <c r="B21" s="6" t="s">
        <v>211</v>
      </c>
    </row>
    <row r="23" spans="1:2">
      <c r="A23" s="149" t="s">
        <v>212</v>
      </c>
      <c r="B23" s="149"/>
    </row>
    <row r="24" spans="1:2">
      <c r="A24" s="4" t="s">
        <v>126</v>
      </c>
      <c r="B24" s="4" t="s">
        <v>213</v>
      </c>
    </row>
    <row r="25" spans="1:2">
      <c r="A25" s="4" t="s">
        <v>214</v>
      </c>
      <c r="B25" s="4" t="s">
        <v>215</v>
      </c>
    </row>
    <row r="26" spans="1:2">
      <c r="A26" s="192" t="s">
        <v>216</v>
      </c>
      <c r="B26" s="193"/>
    </row>
    <row r="27" spans="1:2">
      <c r="A27" s="192" t="s">
        <v>217</v>
      </c>
      <c r="B27" s="193"/>
    </row>
    <row r="29" spans="1:2">
      <c r="A29" s="149" t="s">
        <v>218</v>
      </c>
      <c r="B29" s="149"/>
    </row>
    <row r="30" spans="1:2" ht="31.4">
      <c r="A30" s="4" t="s">
        <v>219</v>
      </c>
      <c r="B30" s="6" t="s">
        <v>220</v>
      </c>
    </row>
    <row r="31" spans="1:2" ht="31.4">
      <c r="A31" s="4" t="s">
        <v>221</v>
      </c>
      <c r="B31" s="6" t="s">
        <v>222</v>
      </c>
    </row>
    <row r="33" spans="1:2">
      <c r="A33" s="152" t="s">
        <v>223</v>
      </c>
      <c r="B33" s="154"/>
    </row>
    <row r="34" spans="1:2" ht="31.4">
      <c r="A34" s="3" t="s">
        <v>224</v>
      </c>
      <c r="B34" s="6" t="s">
        <v>225</v>
      </c>
    </row>
    <row r="35" spans="1:2" ht="78.45">
      <c r="A35" s="3" t="s">
        <v>226</v>
      </c>
      <c r="B35" s="6" t="s">
        <v>227</v>
      </c>
    </row>
    <row r="36" spans="1:2" ht="31.4">
      <c r="A36" s="3" t="s">
        <v>228</v>
      </c>
      <c r="B36" s="4" t="s">
        <v>229</v>
      </c>
    </row>
    <row r="38" spans="1:2">
      <c r="A38"/>
      <c r="B38"/>
    </row>
    <row r="39" spans="1:2" ht="15.7" customHeight="1">
      <c r="A39"/>
      <c r="B39"/>
    </row>
    <row r="40" spans="1:2">
      <c r="A40"/>
      <c r="B40"/>
    </row>
    <row r="41" spans="1:2">
      <c r="A41"/>
      <c r="B41"/>
    </row>
    <row r="42" spans="1:2" ht="15.7" customHeight="1">
      <c r="A42"/>
      <c r="B42"/>
    </row>
    <row r="43" spans="1:2">
      <c r="A43"/>
      <c r="B43"/>
    </row>
    <row r="44" spans="1:2">
      <c r="A44"/>
      <c r="B44"/>
    </row>
    <row r="45" spans="1:2" ht="15.7" customHeight="1">
      <c r="A45"/>
      <c r="B45"/>
    </row>
  </sheetData>
  <mergeCells count="10">
    <mergeCell ref="A1:B1"/>
    <mergeCell ref="A6:B6"/>
    <mergeCell ref="A8:B8"/>
    <mergeCell ref="A12:B12"/>
    <mergeCell ref="A19:B19"/>
    <mergeCell ref="A23:B23"/>
    <mergeCell ref="A26:B26"/>
    <mergeCell ref="A27:B27"/>
    <mergeCell ref="A29:B29"/>
    <mergeCell ref="A33:B33"/>
  </mergeCells>
  <phoneticPr fontId="15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44A1A-CE60-4CEE-BCBA-F5013357D1C7}">
  <sheetPr codeName="Sheet5"/>
  <dimension ref="A1:Z89"/>
  <sheetViews>
    <sheetView zoomScale="140" zoomScaleNormal="140" workbookViewId="0">
      <selection activeCell="E46" sqref="E46"/>
    </sheetView>
  </sheetViews>
  <sheetFormatPr defaultColWidth="9" defaultRowHeight="15" customHeight="1"/>
  <cols>
    <col min="1" max="1" width="8.875" style="60" customWidth="1"/>
    <col min="2" max="2" width="13" style="60" customWidth="1"/>
    <col min="3" max="3" width="4.75" style="60" customWidth="1"/>
    <col min="4" max="4" width="9.25" style="64" customWidth="1"/>
    <col min="5" max="5" width="10.75" style="64" customWidth="1"/>
    <col min="6" max="6" width="9" style="60" customWidth="1"/>
    <col min="7" max="7" width="5" style="60" customWidth="1"/>
    <col min="8" max="8" width="7.625" style="60" customWidth="1"/>
    <col min="9" max="9" width="9.25" style="60" customWidth="1"/>
    <col min="10" max="10" width="6.375" style="60" customWidth="1"/>
    <col min="11" max="11" width="9" style="60" customWidth="1"/>
    <col min="12" max="12" width="5" style="60" customWidth="1"/>
    <col min="13" max="13" width="7.625" style="60" customWidth="1"/>
    <col min="14" max="14" width="9.25" style="60" customWidth="1"/>
    <col min="15" max="15" width="6.375" style="60" customWidth="1"/>
    <col min="16" max="16" width="9" style="60" customWidth="1"/>
    <col min="17" max="17" width="5" style="60" customWidth="1"/>
    <col min="18" max="18" width="7.625" style="60" customWidth="1"/>
    <col min="19" max="19" width="8.125" style="60" customWidth="1"/>
    <col min="20" max="20" width="6.375" style="60" customWidth="1"/>
    <col min="21" max="26" width="6.75" style="60" customWidth="1"/>
    <col min="27" max="16384" width="9" style="60"/>
  </cols>
  <sheetData>
    <row r="1" spans="1:26" ht="15" customHeight="1">
      <c r="A1" s="195" t="s">
        <v>254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</row>
    <row r="2" spans="1:26" ht="15" customHeight="1">
      <c r="A2" s="195" t="s">
        <v>141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5"/>
    </row>
    <row r="3" spans="1:26" ht="32.1" customHeight="1">
      <c r="A3" s="57" t="s">
        <v>142</v>
      </c>
      <c r="B3" s="57" t="s">
        <v>143</v>
      </c>
      <c r="C3" s="57" t="s">
        <v>1754</v>
      </c>
      <c r="D3" s="62" t="s">
        <v>1750</v>
      </c>
      <c r="E3" s="62" t="s">
        <v>1749</v>
      </c>
      <c r="F3" s="61" t="s">
        <v>285</v>
      </c>
      <c r="G3" s="57" t="s">
        <v>1747</v>
      </c>
      <c r="H3" s="58" t="s">
        <v>1748</v>
      </c>
      <c r="I3" s="196" t="s">
        <v>1753</v>
      </c>
      <c r="J3" s="191"/>
      <c r="K3" s="61" t="s">
        <v>285</v>
      </c>
      <c r="L3" s="57" t="s">
        <v>1747</v>
      </c>
      <c r="M3" s="58" t="s">
        <v>1748</v>
      </c>
      <c r="N3" s="196" t="s">
        <v>1753</v>
      </c>
      <c r="O3" s="191"/>
      <c r="P3" s="61" t="s">
        <v>285</v>
      </c>
      <c r="Q3" s="57" t="s">
        <v>1747</v>
      </c>
      <c r="R3" s="58" t="s">
        <v>1748</v>
      </c>
      <c r="S3" s="196" t="s">
        <v>1753</v>
      </c>
      <c r="T3" s="191"/>
      <c r="U3" s="57"/>
      <c r="V3" s="57"/>
      <c r="W3" s="57"/>
      <c r="X3" s="57"/>
      <c r="Y3" s="57"/>
      <c r="Z3" s="57"/>
    </row>
    <row r="4" spans="1:26" ht="15" customHeight="1">
      <c r="A4" s="195" t="s">
        <v>257</v>
      </c>
      <c r="B4" s="195" t="s">
        <v>1755</v>
      </c>
      <c r="C4" s="197">
        <v>1</v>
      </c>
      <c r="D4" s="63">
        <f t="shared" ref="D4:D67" si="0">I4+N4+S4</f>
        <v>34.56</v>
      </c>
      <c r="E4" s="63">
        <f>人员信息!E30</f>
        <v>33.105600000000003</v>
      </c>
      <c r="F4" s="197" t="s">
        <v>1743</v>
      </c>
      <c r="G4" s="56" t="s">
        <v>1752</v>
      </c>
      <c r="H4" s="59">
        <v>76.8</v>
      </c>
      <c r="I4" s="58">
        <f>J4*(H4/100)</f>
        <v>34.56</v>
      </c>
      <c r="J4" s="200">
        <v>45</v>
      </c>
      <c r="K4" s="197" t="s">
        <v>235</v>
      </c>
      <c r="L4" s="56" t="s">
        <v>1744</v>
      </c>
      <c r="M4" s="59"/>
      <c r="N4" s="58">
        <f>O4*(M4/100)</f>
        <v>0</v>
      </c>
      <c r="O4" s="200">
        <v>55</v>
      </c>
      <c r="P4" s="197" t="s">
        <v>1743</v>
      </c>
      <c r="Q4" s="56" t="s">
        <v>1744</v>
      </c>
      <c r="R4" s="59">
        <v>76.8</v>
      </c>
      <c r="S4" s="58">
        <f>T4*(R4/100)</f>
        <v>0</v>
      </c>
      <c r="T4" s="200"/>
      <c r="U4" s="57"/>
      <c r="V4" s="57"/>
      <c r="W4" s="57"/>
      <c r="X4" s="57"/>
      <c r="Y4" s="57"/>
      <c r="Z4" s="57"/>
    </row>
    <row r="5" spans="1:26" ht="15" customHeight="1">
      <c r="A5" s="195"/>
      <c r="B5" s="195"/>
      <c r="C5" s="198"/>
      <c r="D5" s="63">
        <f t="shared" si="0"/>
        <v>19.240000000000002</v>
      </c>
      <c r="E5" s="63">
        <f>人员信息!E31</f>
        <v>21.318000000000001</v>
      </c>
      <c r="F5" s="198"/>
      <c r="G5" s="58" t="s">
        <v>1745</v>
      </c>
      <c r="H5" s="59">
        <v>12.2</v>
      </c>
      <c r="I5" s="58">
        <f>J4*(H5/100)</f>
        <v>5.49</v>
      </c>
      <c r="J5" s="201"/>
      <c r="K5" s="201"/>
      <c r="L5" s="58" t="s">
        <v>1745</v>
      </c>
      <c r="M5" s="59">
        <v>25</v>
      </c>
      <c r="N5" s="58">
        <f>O4*(M5/100)</f>
        <v>13.75</v>
      </c>
      <c r="O5" s="201"/>
      <c r="P5" s="201"/>
      <c r="Q5" s="58" t="s">
        <v>1745</v>
      </c>
      <c r="R5" s="59">
        <v>12.2</v>
      </c>
      <c r="S5" s="58">
        <f>T4*(R5/100)</f>
        <v>0</v>
      </c>
      <c r="T5" s="201"/>
      <c r="U5" s="58"/>
      <c r="V5" s="57"/>
      <c r="W5" s="57"/>
      <c r="X5" s="57"/>
      <c r="Y5" s="57"/>
      <c r="Z5" s="57"/>
    </row>
    <row r="6" spans="1:26" ht="15" customHeight="1">
      <c r="A6" s="195"/>
      <c r="B6" s="195"/>
      <c r="C6" s="199"/>
      <c r="D6" s="63">
        <f t="shared" si="0"/>
        <v>0.36</v>
      </c>
      <c r="E6" s="63" t="s">
        <v>263</v>
      </c>
      <c r="F6" s="199"/>
      <c r="G6" s="58" t="s">
        <v>1746</v>
      </c>
      <c r="H6" s="59">
        <v>0.8</v>
      </c>
      <c r="I6" s="58">
        <f>J4*(H6/100)</f>
        <v>0.36</v>
      </c>
      <c r="J6" s="202"/>
      <c r="K6" s="202"/>
      <c r="L6" s="58" t="s">
        <v>1746</v>
      </c>
      <c r="M6" s="59"/>
      <c r="N6" s="58">
        <f>O4*(M6/100)</f>
        <v>0</v>
      </c>
      <c r="O6" s="202"/>
      <c r="P6" s="202"/>
      <c r="Q6" s="58" t="s">
        <v>1746</v>
      </c>
      <c r="R6" s="59">
        <v>0.8</v>
      </c>
      <c r="S6" s="58">
        <f>T4*(R6/100)</f>
        <v>0</v>
      </c>
      <c r="T6" s="202"/>
      <c r="U6" s="58"/>
      <c r="V6" s="57"/>
      <c r="W6" s="57"/>
      <c r="X6" s="57"/>
      <c r="Y6" s="57"/>
      <c r="Z6" s="57"/>
    </row>
    <row r="7" spans="1:26" ht="15" customHeight="1">
      <c r="A7" s="195"/>
      <c r="B7" s="195"/>
      <c r="C7" s="197">
        <v>2</v>
      </c>
      <c r="D7" s="63">
        <f t="shared" si="0"/>
        <v>50.688000000000002</v>
      </c>
      <c r="E7" s="63">
        <f>人员信息!E30</f>
        <v>33.105600000000003</v>
      </c>
      <c r="F7" s="197" t="s">
        <v>1743</v>
      </c>
      <c r="G7" s="56" t="s">
        <v>1744</v>
      </c>
      <c r="H7" s="59">
        <v>76.8</v>
      </c>
      <c r="I7" s="58">
        <f>J7*(H7/100)</f>
        <v>25.344000000000001</v>
      </c>
      <c r="J7" s="200">
        <v>33</v>
      </c>
      <c r="K7" s="197" t="s">
        <v>235</v>
      </c>
      <c r="L7" s="56" t="s">
        <v>1744</v>
      </c>
      <c r="M7" s="59"/>
      <c r="N7" s="58">
        <f>O7*(M7/100)</f>
        <v>0</v>
      </c>
      <c r="O7" s="200">
        <v>100</v>
      </c>
      <c r="P7" s="197" t="s">
        <v>1743</v>
      </c>
      <c r="Q7" s="56" t="s">
        <v>1744</v>
      </c>
      <c r="R7" s="59">
        <v>76.8</v>
      </c>
      <c r="S7" s="58">
        <f>T7*(R7/100)</f>
        <v>25.344000000000001</v>
      </c>
      <c r="T7" s="200">
        <v>33</v>
      </c>
      <c r="U7" s="57"/>
      <c r="V7" s="57"/>
      <c r="W7" s="57"/>
      <c r="X7" s="57"/>
      <c r="Y7" s="57"/>
      <c r="Z7" s="57"/>
    </row>
    <row r="8" spans="1:26" ht="15" customHeight="1">
      <c r="A8" s="195"/>
      <c r="B8" s="195"/>
      <c r="C8" s="198"/>
      <c r="D8" s="63">
        <f t="shared" si="0"/>
        <v>33.052</v>
      </c>
      <c r="E8" s="63">
        <f>人员信息!E31</f>
        <v>21.318000000000001</v>
      </c>
      <c r="F8" s="198"/>
      <c r="G8" s="58" t="s">
        <v>1745</v>
      </c>
      <c r="H8" s="59">
        <v>12.2</v>
      </c>
      <c r="I8" s="58">
        <f>J7*(H8/100)</f>
        <v>4.0259999999999998</v>
      </c>
      <c r="J8" s="201"/>
      <c r="K8" s="201"/>
      <c r="L8" s="58" t="s">
        <v>1745</v>
      </c>
      <c r="M8" s="59">
        <v>25</v>
      </c>
      <c r="N8" s="58">
        <f>O7*(M8/100)</f>
        <v>25</v>
      </c>
      <c r="O8" s="201"/>
      <c r="P8" s="201"/>
      <c r="Q8" s="58" t="s">
        <v>1745</v>
      </c>
      <c r="R8" s="59">
        <v>12.2</v>
      </c>
      <c r="S8" s="58">
        <f>T7*(R8/100)</f>
        <v>4.0259999999999998</v>
      </c>
      <c r="T8" s="201"/>
      <c r="U8" s="58"/>
      <c r="V8" s="57"/>
      <c r="W8" s="57"/>
      <c r="X8" s="57"/>
      <c r="Y8" s="57"/>
      <c r="Z8" s="57"/>
    </row>
    <row r="9" spans="1:26" ht="15" customHeight="1">
      <c r="A9" s="195"/>
      <c r="B9" s="195"/>
      <c r="C9" s="199"/>
      <c r="D9" s="63">
        <f t="shared" si="0"/>
        <v>0.52800000000000002</v>
      </c>
      <c r="E9" s="63" t="s">
        <v>1751</v>
      </c>
      <c r="F9" s="199"/>
      <c r="G9" s="58" t="s">
        <v>1746</v>
      </c>
      <c r="H9" s="59">
        <v>0.8</v>
      </c>
      <c r="I9" s="58">
        <f>J7*(H9/100)</f>
        <v>0.26400000000000001</v>
      </c>
      <c r="J9" s="202"/>
      <c r="K9" s="202"/>
      <c r="L9" s="58" t="s">
        <v>1746</v>
      </c>
      <c r="M9" s="59"/>
      <c r="N9" s="58">
        <f>O7*(M9/100)</f>
        <v>0</v>
      </c>
      <c r="O9" s="202"/>
      <c r="P9" s="202"/>
      <c r="Q9" s="58" t="s">
        <v>1746</v>
      </c>
      <c r="R9" s="59">
        <v>0.8</v>
      </c>
      <c r="S9" s="58">
        <f>T7*(R9/100)</f>
        <v>0.26400000000000001</v>
      </c>
      <c r="T9" s="202"/>
      <c r="U9" s="58"/>
      <c r="V9" s="57"/>
      <c r="W9" s="57"/>
      <c r="X9" s="57"/>
      <c r="Y9" s="57"/>
      <c r="Z9" s="57"/>
    </row>
    <row r="10" spans="1:26" ht="15" customHeight="1">
      <c r="A10" s="195"/>
      <c r="B10" s="195"/>
      <c r="C10" s="197">
        <v>3</v>
      </c>
      <c r="D10" s="63">
        <f t="shared" si="0"/>
        <v>76.032000000000011</v>
      </c>
      <c r="E10" s="63">
        <f>人员信息!E30</f>
        <v>33.105600000000003</v>
      </c>
      <c r="F10" s="197"/>
      <c r="G10" s="56" t="s">
        <v>1744</v>
      </c>
      <c r="H10" s="59">
        <v>76.8</v>
      </c>
      <c r="I10" s="58">
        <f>J10*H10/100</f>
        <v>25.344000000000001</v>
      </c>
      <c r="J10" s="200">
        <v>33</v>
      </c>
      <c r="K10" s="197"/>
      <c r="L10" s="56" t="s">
        <v>1744</v>
      </c>
      <c r="M10" s="59">
        <v>76.8</v>
      </c>
      <c r="N10" s="58">
        <f>O10*M10/100</f>
        <v>25.344000000000001</v>
      </c>
      <c r="O10" s="200">
        <v>33</v>
      </c>
      <c r="P10" s="197"/>
      <c r="Q10" s="56" t="s">
        <v>1744</v>
      </c>
      <c r="R10" s="59">
        <v>76.8</v>
      </c>
      <c r="S10" s="58">
        <f>T10*R10/100</f>
        <v>25.344000000000001</v>
      </c>
      <c r="T10" s="200">
        <v>33</v>
      </c>
      <c r="U10" s="57"/>
      <c r="V10" s="57"/>
      <c r="W10" s="57"/>
      <c r="X10" s="57"/>
      <c r="Y10" s="57"/>
      <c r="Z10" s="57"/>
    </row>
    <row r="11" spans="1:26" ht="15" customHeight="1">
      <c r="A11" s="195"/>
      <c r="B11" s="195"/>
      <c r="C11" s="198"/>
      <c r="D11" s="63">
        <f t="shared" si="0"/>
        <v>12.077999999999999</v>
      </c>
      <c r="E11" s="63">
        <f>人员信息!E31</f>
        <v>21.318000000000001</v>
      </c>
      <c r="F11" s="198"/>
      <c r="G11" s="58" t="s">
        <v>1745</v>
      </c>
      <c r="H11" s="59">
        <v>12.2</v>
      </c>
      <c r="I11" s="58">
        <f>J10*H11/100</f>
        <v>4.0259999999999998</v>
      </c>
      <c r="J11" s="201"/>
      <c r="K11" s="201"/>
      <c r="L11" s="58" t="s">
        <v>1745</v>
      </c>
      <c r="M11" s="59">
        <v>12.2</v>
      </c>
      <c r="N11" s="58">
        <f>O10*M11/100</f>
        <v>4.0259999999999998</v>
      </c>
      <c r="O11" s="201"/>
      <c r="P11" s="201"/>
      <c r="Q11" s="58" t="s">
        <v>1745</v>
      </c>
      <c r="R11" s="59">
        <v>12.2</v>
      </c>
      <c r="S11" s="58">
        <f>T10*R11/100</f>
        <v>4.0259999999999998</v>
      </c>
      <c r="T11" s="201"/>
      <c r="U11" s="58"/>
      <c r="V11" s="57"/>
      <c r="W11" s="57"/>
      <c r="X11" s="57"/>
      <c r="Y11" s="57"/>
      <c r="Z11" s="57"/>
    </row>
    <row r="12" spans="1:26" ht="15" customHeight="1">
      <c r="A12" s="195"/>
      <c r="B12" s="195"/>
      <c r="C12" s="199"/>
      <c r="D12" s="63">
        <f t="shared" si="0"/>
        <v>0.79200000000000004</v>
      </c>
      <c r="E12" s="63" t="s">
        <v>1751</v>
      </c>
      <c r="F12" s="199"/>
      <c r="G12" s="58" t="s">
        <v>1746</v>
      </c>
      <c r="H12" s="59">
        <v>0.8</v>
      </c>
      <c r="I12" s="58">
        <f>J10*H12/100</f>
        <v>0.26400000000000001</v>
      </c>
      <c r="J12" s="202"/>
      <c r="K12" s="202"/>
      <c r="L12" s="58" t="s">
        <v>1746</v>
      </c>
      <c r="M12" s="59">
        <v>0.8</v>
      </c>
      <c r="N12" s="58">
        <f>O10*M12/100</f>
        <v>0.26400000000000001</v>
      </c>
      <c r="O12" s="202"/>
      <c r="P12" s="202"/>
      <c r="Q12" s="58" t="s">
        <v>1746</v>
      </c>
      <c r="R12" s="59">
        <v>0.8</v>
      </c>
      <c r="S12" s="58">
        <f>T10*R12/100</f>
        <v>0.26400000000000001</v>
      </c>
      <c r="T12" s="202"/>
      <c r="U12" s="58"/>
      <c r="V12" s="57"/>
      <c r="W12" s="57"/>
      <c r="X12" s="57"/>
      <c r="Y12" s="57"/>
      <c r="Z12" s="57"/>
    </row>
    <row r="13" spans="1:26" ht="15" customHeight="1">
      <c r="A13" s="195"/>
      <c r="B13" s="195"/>
      <c r="C13" s="197">
        <v>4</v>
      </c>
      <c r="D13" s="63">
        <f t="shared" si="0"/>
        <v>0</v>
      </c>
      <c r="E13" s="63">
        <f>人员信息!E30</f>
        <v>33.105600000000003</v>
      </c>
      <c r="F13" s="197"/>
      <c r="G13" s="56" t="s">
        <v>1744</v>
      </c>
      <c r="H13" s="59"/>
      <c r="I13" s="58">
        <f>J13*H13/100</f>
        <v>0</v>
      </c>
      <c r="J13" s="200">
        <v>100</v>
      </c>
      <c r="K13" s="197"/>
      <c r="L13" s="56" t="s">
        <v>1744</v>
      </c>
      <c r="M13" s="59"/>
      <c r="N13" s="58">
        <f>O13*M13/100</f>
        <v>0</v>
      </c>
      <c r="O13" s="200">
        <v>100</v>
      </c>
      <c r="P13" s="197"/>
      <c r="Q13" s="56" t="s">
        <v>1744</v>
      </c>
      <c r="R13" s="59"/>
      <c r="S13" s="58">
        <f>T13*R13/100</f>
        <v>0</v>
      </c>
      <c r="T13" s="200">
        <v>100</v>
      </c>
      <c r="U13" s="57"/>
      <c r="V13" s="57"/>
      <c r="W13" s="57"/>
      <c r="X13" s="57"/>
      <c r="Y13" s="57"/>
      <c r="Z13" s="57"/>
    </row>
    <row r="14" spans="1:26" ht="15" customHeight="1">
      <c r="A14" s="195"/>
      <c r="B14" s="195"/>
      <c r="C14" s="198"/>
      <c r="D14" s="63">
        <f t="shared" si="0"/>
        <v>75</v>
      </c>
      <c r="E14" s="63">
        <f>人员信息!E31</f>
        <v>21.318000000000001</v>
      </c>
      <c r="F14" s="198"/>
      <c r="G14" s="58" t="s">
        <v>1745</v>
      </c>
      <c r="H14" s="59">
        <v>25</v>
      </c>
      <c r="I14" s="58">
        <f>J13*H14/100</f>
        <v>25</v>
      </c>
      <c r="J14" s="201"/>
      <c r="K14" s="201"/>
      <c r="L14" s="58" t="s">
        <v>1745</v>
      </c>
      <c r="M14" s="59">
        <v>25</v>
      </c>
      <c r="N14" s="58">
        <f>O13*M14/100</f>
        <v>25</v>
      </c>
      <c r="O14" s="201"/>
      <c r="P14" s="201"/>
      <c r="Q14" s="58" t="s">
        <v>1745</v>
      </c>
      <c r="R14" s="59">
        <v>25</v>
      </c>
      <c r="S14" s="58">
        <f>T13*R14/100</f>
        <v>25</v>
      </c>
      <c r="T14" s="201"/>
      <c r="U14" s="58"/>
      <c r="V14" s="57"/>
      <c r="W14" s="57"/>
      <c r="X14" s="57"/>
      <c r="Y14" s="57"/>
      <c r="Z14" s="57"/>
    </row>
    <row r="15" spans="1:26" ht="15" customHeight="1">
      <c r="A15" s="195"/>
      <c r="B15" s="195"/>
      <c r="C15" s="199"/>
      <c r="D15" s="63">
        <f t="shared" si="0"/>
        <v>0</v>
      </c>
      <c r="E15" s="63" t="s">
        <v>1751</v>
      </c>
      <c r="F15" s="199"/>
      <c r="G15" s="58" t="s">
        <v>1746</v>
      </c>
      <c r="H15" s="59"/>
      <c r="I15" s="58">
        <f>J13*H15/100</f>
        <v>0</v>
      </c>
      <c r="J15" s="202"/>
      <c r="K15" s="202"/>
      <c r="L15" s="58" t="s">
        <v>1746</v>
      </c>
      <c r="M15" s="59"/>
      <c r="N15" s="58">
        <f>O13*M15/100</f>
        <v>0</v>
      </c>
      <c r="O15" s="202"/>
      <c r="P15" s="202"/>
      <c r="Q15" s="58" t="s">
        <v>1746</v>
      </c>
      <c r="R15" s="59"/>
      <c r="S15" s="58">
        <f>T13*R15/100</f>
        <v>0</v>
      </c>
      <c r="T15" s="202"/>
      <c r="U15" s="58"/>
      <c r="V15" s="57"/>
      <c r="W15" s="57"/>
      <c r="X15" s="57"/>
      <c r="Y15" s="57"/>
      <c r="Z15" s="57"/>
    </row>
    <row r="16" spans="1:26" ht="15" customHeight="1">
      <c r="A16" s="195"/>
      <c r="B16" s="195"/>
      <c r="C16" s="197">
        <v>5</v>
      </c>
      <c r="D16" s="63">
        <f t="shared" si="0"/>
        <v>76.032000000000011</v>
      </c>
      <c r="E16" s="63">
        <f>人员信息!E30</f>
        <v>33.105600000000003</v>
      </c>
      <c r="F16" s="197"/>
      <c r="G16" s="56" t="s">
        <v>1744</v>
      </c>
      <c r="H16" s="59">
        <v>76.8</v>
      </c>
      <c r="I16" s="58">
        <f>J16*H16/100</f>
        <v>25.344000000000001</v>
      </c>
      <c r="J16" s="200">
        <v>33</v>
      </c>
      <c r="K16" s="197"/>
      <c r="L16" s="56" t="s">
        <v>1744</v>
      </c>
      <c r="M16" s="59">
        <v>76.8</v>
      </c>
      <c r="N16" s="58">
        <f>O16*M16/100</f>
        <v>25.344000000000001</v>
      </c>
      <c r="O16" s="200">
        <v>33</v>
      </c>
      <c r="P16" s="197"/>
      <c r="Q16" s="56" t="s">
        <v>1744</v>
      </c>
      <c r="R16" s="59">
        <v>76.8</v>
      </c>
      <c r="S16" s="58">
        <f>T16*R16/100</f>
        <v>25.344000000000001</v>
      </c>
      <c r="T16" s="200">
        <v>33</v>
      </c>
      <c r="U16" s="57"/>
      <c r="V16" s="57"/>
      <c r="W16" s="57"/>
      <c r="X16" s="57"/>
      <c r="Y16" s="57"/>
      <c r="Z16" s="57"/>
    </row>
    <row r="17" spans="1:26" ht="15" customHeight="1">
      <c r="A17" s="195"/>
      <c r="B17" s="195"/>
      <c r="C17" s="198"/>
      <c r="D17" s="63">
        <f t="shared" si="0"/>
        <v>12.077999999999999</v>
      </c>
      <c r="E17" s="63">
        <f>人员信息!E31</f>
        <v>21.318000000000001</v>
      </c>
      <c r="F17" s="198"/>
      <c r="G17" s="58" t="s">
        <v>1745</v>
      </c>
      <c r="H17" s="59">
        <v>12.2</v>
      </c>
      <c r="I17" s="58">
        <f>J16*H17/100</f>
        <v>4.0259999999999998</v>
      </c>
      <c r="J17" s="201"/>
      <c r="K17" s="201"/>
      <c r="L17" s="58" t="s">
        <v>1745</v>
      </c>
      <c r="M17" s="59">
        <v>12.2</v>
      </c>
      <c r="N17" s="58">
        <f>O16*M17/100</f>
        <v>4.0259999999999998</v>
      </c>
      <c r="O17" s="201"/>
      <c r="P17" s="201"/>
      <c r="Q17" s="58" t="s">
        <v>1745</v>
      </c>
      <c r="R17" s="59">
        <v>12.2</v>
      </c>
      <c r="S17" s="58">
        <f>T16*R17/100</f>
        <v>4.0259999999999998</v>
      </c>
      <c r="T17" s="201"/>
      <c r="U17" s="58"/>
      <c r="V17" s="57"/>
      <c r="W17" s="57"/>
      <c r="X17" s="57"/>
      <c r="Y17" s="57"/>
      <c r="Z17" s="57"/>
    </row>
    <row r="18" spans="1:26" ht="15" customHeight="1">
      <c r="A18" s="195"/>
      <c r="B18" s="195"/>
      <c r="C18" s="199"/>
      <c r="D18" s="63">
        <f t="shared" si="0"/>
        <v>0.79200000000000004</v>
      </c>
      <c r="E18" s="63" t="s">
        <v>1751</v>
      </c>
      <c r="F18" s="199"/>
      <c r="G18" s="58" t="s">
        <v>1746</v>
      </c>
      <c r="H18" s="59">
        <v>0.8</v>
      </c>
      <c r="I18" s="58">
        <f>J16*H18/100</f>
        <v>0.26400000000000001</v>
      </c>
      <c r="J18" s="202"/>
      <c r="K18" s="202"/>
      <c r="L18" s="58" t="s">
        <v>1746</v>
      </c>
      <c r="M18" s="59">
        <v>0.8</v>
      </c>
      <c r="N18" s="58">
        <f>O16*M18/100</f>
        <v>0.26400000000000001</v>
      </c>
      <c r="O18" s="202"/>
      <c r="P18" s="202"/>
      <c r="Q18" s="58" t="s">
        <v>1746</v>
      </c>
      <c r="R18" s="59">
        <v>0.8</v>
      </c>
      <c r="S18" s="58">
        <f>T16*R18/100</f>
        <v>0.26400000000000001</v>
      </c>
      <c r="T18" s="202"/>
      <c r="U18" s="58"/>
      <c r="V18" s="57"/>
      <c r="W18" s="57"/>
      <c r="X18" s="57"/>
      <c r="Y18" s="57"/>
      <c r="Z18" s="57"/>
    </row>
    <row r="19" spans="1:26" ht="15" customHeight="1">
      <c r="A19" s="195"/>
      <c r="B19" s="195"/>
      <c r="C19" s="197">
        <v>6</v>
      </c>
      <c r="D19" s="63">
        <f t="shared" si="0"/>
        <v>0</v>
      </c>
      <c r="E19" s="63">
        <f>人员信息!E30</f>
        <v>33.105600000000003</v>
      </c>
      <c r="F19" s="197"/>
      <c r="G19" s="56" t="s">
        <v>1744</v>
      </c>
      <c r="H19" s="59"/>
      <c r="I19" s="58">
        <f>J19*H19/100</f>
        <v>0</v>
      </c>
      <c r="J19" s="200">
        <v>100</v>
      </c>
      <c r="K19" s="197"/>
      <c r="L19" s="56" t="s">
        <v>1744</v>
      </c>
      <c r="M19" s="59"/>
      <c r="N19" s="58">
        <f>O19*M19/100</f>
        <v>0</v>
      </c>
      <c r="O19" s="200">
        <v>100</v>
      </c>
      <c r="P19" s="197"/>
      <c r="Q19" s="56" t="s">
        <v>1744</v>
      </c>
      <c r="R19" s="59"/>
      <c r="S19" s="58">
        <f>T19*R19/100</f>
        <v>0</v>
      </c>
      <c r="T19" s="200">
        <v>100</v>
      </c>
      <c r="U19" s="57"/>
      <c r="V19" s="57"/>
      <c r="W19" s="57"/>
      <c r="X19" s="57"/>
      <c r="Y19" s="57"/>
      <c r="Z19" s="57"/>
    </row>
    <row r="20" spans="1:26" ht="15" customHeight="1">
      <c r="A20" s="195"/>
      <c r="B20" s="195"/>
      <c r="C20" s="198"/>
      <c r="D20" s="63">
        <f t="shared" si="0"/>
        <v>75</v>
      </c>
      <c r="E20" s="63">
        <f>人员信息!E31</f>
        <v>21.318000000000001</v>
      </c>
      <c r="F20" s="198"/>
      <c r="G20" s="58" t="s">
        <v>1745</v>
      </c>
      <c r="H20" s="59">
        <v>25</v>
      </c>
      <c r="I20" s="58">
        <f>J19*H20/100</f>
        <v>25</v>
      </c>
      <c r="J20" s="201"/>
      <c r="K20" s="201"/>
      <c r="L20" s="58" t="s">
        <v>1745</v>
      </c>
      <c r="M20" s="59">
        <v>25</v>
      </c>
      <c r="N20" s="58">
        <f>O19*M20/100</f>
        <v>25</v>
      </c>
      <c r="O20" s="201"/>
      <c r="P20" s="201"/>
      <c r="Q20" s="58" t="s">
        <v>1745</v>
      </c>
      <c r="R20" s="59">
        <v>25</v>
      </c>
      <c r="S20" s="58">
        <f>T19*R20/100</f>
        <v>25</v>
      </c>
      <c r="T20" s="201"/>
      <c r="U20" s="58"/>
      <c r="V20" s="57"/>
      <c r="W20" s="57"/>
      <c r="X20" s="57"/>
      <c r="Y20" s="57"/>
      <c r="Z20" s="57"/>
    </row>
    <row r="21" spans="1:26" ht="15" customHeight="1">
      <c r="A21" s="195"/>
      <c r="B21" s="195"/>
      <c r="C21" s="199"/>
      <c r="D21" s="63">
        <f t="shared" si="0"/>
        <v>0</v>
      </c>
      <c r="E21" s="63" t="s">
        <v>1751</v>
      </c>
      <c r="F21" s="199"/>
      <c r="G21" s="58" t="s">
        <v>1746</v>
      </c>
      <c r="H21" s="59"/>
      <c r="I21" s="58">
        <f>J19*H21/100</f>
        <v>0</v>
      </c>
      <c r="J21" s="202"/>
      <c r="K21" s="202"/>
      <c r="L21" s="58" t="s">
        <v>1746</v>
      </c>
      <c r="M21" s="59"/>
      <c r="N21" s="58">
        <f>O19*M21/100</f>
        <v>0</v>
      </c>
      <c r="O21" s="202"/>
      <c r="P21" s="202"/>
      <c r="Q21" s="58" t="s">
        <v>1746</v>
      </c>
      <c r="R21" s="59"/>
      <c r="S21" s="58">
        <f>T19*R21/100</f>
        <v>0</v>
      </c>
      <c r="T21" s="202"/>
      <c r="U21" s="58"/>
      <c r="V21" s="57"/>
      <c r="W21" s="57"/>
      <c r="X21" s="57"/>
      <c r="Y21" s="57"/>
      <c r="Z21" s="57"/>
    </row>
    <row r="22" spans="1:26" ht="15" customHeight="1">
      <c r="A22" s="195"/>
      <c r="B22" s="195"/>
      <c r="C22" s="197">
        <v>7</v>
      </c>
      <c r="D22" s="63">
        <f t="shared" si="0"/>
        <v>76.032000000000011</v>
      </c>
      <c r="E22" s="63">
        <f>人员信息!E30</f>
        <v>33.105600000000003</v>
      </c>
      <c r="F22" s="197"/>
      <c r="G22" s="56" t="s">
        <v>1744</v>
      </c>
      <c r="H22" s="59">
        <v>76.8</v>
      </c>
      <c r="I22" s="58">
        <f>J22*H22/100</f>
        <v>25.344000000000001</v>
      </c>
      <c r="J22" s="200">
        <v>33</v>
      </c>
      <c r="K22" s="197"/>
      <c r="L22" s="56" t="s">
        <v>1744</v>
      </c>
      <c r="M22" s="59">
        <v>76.8</v>
      </c>
      <c r="N22" s="58">
        <f>O22*M22/100</f>
        <v>25.344000000000001</v>
      </c>
      <c r="O22" s="200">
        <v>33</v>
      </c>
      <c r="P22" s="197"/>
      <c r="Q22" s="56" t="s">
        <v>1744</v>
      </c>
      <c r="R22" s="59">
        <v>76.8</v>
      </c>
      <c r="S22" s="58">
        <f>T22*R22/100</f>
        <v>25.344000000000001</v>
      </c>
      <c r="T22" s="200">
        <v>33</v>
      </c>
      <c r="U22" s="57"/>
      <c r="V22" s="57"/>
      <c r="W22" s="57"/>
      <c r="X22" s="57"/>
      <c r="Y22" s="57"/>
      <c r="Z22" s="57"/>
    </row>
    <row r="23" spans="1:26" ht="15" customHeight="1">
      <c r="A23" s="195"/>
      <c r="B23" s="195"/>
      <c r="C23" s="198"/>
      <c r="D23" s="63">
        <f t="shared" si="0"/>
        <v>12.077999999999999</v>
      </c>
      <c r="E23" s="63">
        <f>人员信息!E31</f>
        <v>21.318000000000001</v>
      </c>
      <c r="F23" s="198"/>
      <c r="G23" s="58" t="s">
        <v>1745</v>
      </c>
      <c r="H23" s="59">
        <v>12.2</v>
      </c>
      <c r="I23" s="58">
        <f>J22*H23/100</f>
        <v>4.0259999999999998</v>
      </c>
      <c r="J23" s="201"/>
      <c r="K23" s="201"/>
      <c r="L23" s="58" t="s">
        <v>1745</v>
      </c>
      <c r="M23" s="59">
        <v>12.2</v>
      </c>
      <c r="N23" s="58">
        <f>O22*M23/100</f>
        <v>4.0259999999999998</v>
      </c>
      <c r="O23" s="201"/>
      <c r="P23" s="201"/>
      <c r="Q23" s="58" t="s">
        <v>1745</v>
      </c>
      <c r="R23" s="59">
        <v>12.2</v>
      </c>
      <c r="S23" s="58">
        <f>T22*R23/100</f>
        <v>4.0259999999999998</v>
      </c>
      <c r="T23" s="201"/>
      <c r="U23" s="58"/>
      <c r="V23" s="57"/>
      <c r="W23" s="57"/>
      <c r="X23" s="57"/>
      <c r="Y23" s="57"/>
      <c r="Z23" s="57"/>
    </row>
    <row r="24" spans="1:26" ht="15" customHeight="1">
      <c r="A24" s="195"/>
      <c r="B24" s="195"/>
      <c r="C24" s="199"/>
      <c r="D24" s="63">
        <f t="shared" si="0"/>
        <v>0.79200000000000004</v>
      </c>
      <c r="E24" s="63" t="s">
        <v>1751</v>
      </c>
      <c r="F24" s="199"/>
      <c r="G24" s="58" t="s">
        <v>1746</v>
      </c>
      <c r="H24" s="59">
        <v>0.8</v>
      </c>
      <c r="I24" s="58">
        <f>J22*H24/100</f>
        <v>0.26400000000000001</v>
      </c>
      <c r="J24" s="202"/>
      <c r="K24" s="202"/>
      <c r="L24" s="58" t="s">
        <v>1746</v>
      </c>
      <c r="M24" s="59">
        <v>0.8</v>
      </c>
      <c r="N24" s="58">
        <f>O22*M24/100</f>
        <v>0.26400000000000001</v>
      </c>
      <c r="O24" s="202"/>
      <c r="P24" s="202"/>
      <c r="Q24" s="58" t="s">
        <v>1746</v>
      </c>
      <c r="R24" s="59">
        <v>0.8</v>
      </c>
      <c r="S24" s="58">
        <f>T22*R24/100</f>
        <v>0.26400000000000001</v>
      </c>
      <c r="T24" s="202"/>
      <c r="U24" s="58"/>
      <c r="V24" s="57"/>
      <c r="W24" s="57"/>
      <c r="X24" s="57"/>
      <c r="Y24" s="57"/>
      <c r="Z24" s="57"/>
    </row>
    <row r="25" spans="1:26" ht="15" customHeight="1">
      <c r="A25" s="195" t="s">
        <v>1758</v>
      </c>
      <c r="B25" s="195" t="s">
        <v>1761</v>
      </c>
      <c r="C25" s="197">
        <v>1</v>
      </c>
      <c r="D25" s="63">
        <f t="shared" si="0"/>
        <v>34.56</v>
      </c>
      <c r="E25" s="63">
        <f>人员信息!E51</f>
        <v>0</v>
      </c>
      <c r="F25" s="197" t="s">
        <v>1743</v>
      </c>
      <c r="G25" s="56" t="s">
        <v>1752</v>
      </c>
      <c r="H25" s="59">
        <v>76.8</v>
      </c>
      <c r="I25" s="58">
        <f>J25*(H25/100)</f>
        <v>34.56</v>
      </c>
      <c r="J25" s="200">
        <v>45</v>
      </c>
      <c r="K25" s="197" t="s">
        <v>235</v>
      </c>
      <c r="L25" s="56" t="s">
        <v>1744</v>
      </c>
      <c r="M25" s="59"/>
      <c r="N25" s="58">
        <f>O25*(M25/100)</f>
        <v>0</v>
      </c>
      <c r="O25" s="200">
        <v>55</v>
      </c>
      <c r="P25" s="197" t="s">
        <v>1743</v>
      </c>
      <c r="Q25" s="56" t="s">
        <v>1744</v>
      </c>
      <c r="R25" s="59">
        <v>76.8</v>
      </c>
      <c r="S25" s="58">
        <f>T25*(R25/100)</f>
        <v>0</v>
      </c>
      <c r="T25" s="200"/>
      <c r="U25" s="57"/>
      <c r="V25" s="57"/>
      <c r="W25" s="57"/>
      <c r="X25" s="57"/>
      <c r="Y25" s="57"/>
      <c r="Z25" s="57"/>
    </row>
    <row r="26" spans="1:26" ht="15" customHeight="1">
      <c r="A26" s="195"/>
      <c r="B26" s="195"/>
      <c r="C26" s="198"/>
      <c r="D26" s="63">
        <f t="shared" si="0"/>
        <v>19.240000000000002</v>
      </c>
      <c r="E26" s="63">
        <f>人员信息!E52</f>
        <v>0</v>
      </c>
      <c r="F26" s="198"/>
      <c r="G26" s="58" t="s">
        <v>1745</v>
      </c>
      <c r="H26" s="59">
        <v>12.2</v>
      </c>
      <c r="I26" s="58">
        <f>J25*(H26/100)</f>
        <v>5.49</v>
      </c>
      <c r="J26" s="201"/>
      <c r="K26" s="201"/>
      <c r="L26" s="58" t="s">
        <v>1745</v>
      </c>
      <c r="M26" s="59">
        <v>25</v>
      </c>
      <c r="N26" s="58">
        <f>O25*(M26/100)</f>
        <v>13.75</v>
      </c>
      <c r="O26" s="201"/>
      <c r="P26" s="201"/>
      <c r="Q26" s="58" t="s">
        <v>1745</v>
      </c>
      <c r="R26" s="59">
        <v>12.2</v>
      </c>
      <c r="S26" s="58">
        <f>T25*(R26/100)</f>
        <v>0</v>
      </c>
      <c r="T26" s="201"/>
      <c r="U26" s="58"/>
      <c r="V26" s="57"/>
      <c r="W26" s="57"/>
      <c r="X26" s="57"/>
      <c r="Y26" s="57"/>
      <c r="Z26" s="57"/>
    </row>
    <row r="27" spans="1:26" ht="15" customHeight="1">
      <c r="A27" s="195"/>
      <c r="B27" s="195"/>
      <c r="C27" s="199"/>
      <c r="D27" s="63">
        <f t="shared" si="0"/>
        <v>0.36</v>
      </c>
      <c r="E27" s="63" t="s">
        <v>263</v>
      </c>
      <c r="F27" s="199"/>
      <c r="G27" s="58" t="s">
        <v>1746</v>
      </c>
      <c r="H27" s="59">
        <v>0.8</v>
      </c>
      <c r="I27" s="58">
        <f>J25*(H27/100)</f>
        <v>0.36</v>
      </c>
      <c r="J27" s="202"/>
      <c r="K27" s="202"/>
      <c r="L27" s="58" t="s">
        <v>1746</v>
      </c>
      <c r="M27" s="59"/>
      <c r="N27" s="58">
        <f>O25*(M27/100)</f>
        <v>0</v>
      </c>
      <c r="O27" s="202"/>
      <c r="P27" s="202"/>
      <c r="Q27" s="58" t="s">
        <v>1746</v>
      </c>
      <c r="R27" s="59">
        <v>0.8</v>
      </c>
      <c r="S27" s="58">
        <f>T25*(R27/100)</f>
        <v>0</v>
      </c>
      <c r="T27" s="202"/>
      <c r="U27" s="58"/>
      <c r="V27" s="57"/>
      <c r="W27" s="57"/>
      <c r="X27" s="57"/>
      <c r="Y27" s="57"/>
      <c r="Z27" s="57"/>
    </row>
    <row r="28" spans="1:26" ht="15" customHeight="1">
      <c r="A28" s="195"/>
      <c r="B28" s="195"/>
      <c r="C28" s="197">
        <v>2</v>
      </c>
      <c r="D28" s="63">
        <f t="shared" si="0"/>
        <v>50.688000000000002</v>
      </c>
      <c r="E28" s="63">
        <f>人员信息!E51</f>
        <v>0</v>
      </c>
      <c r="F28" s="197" t="s">
        <v>1743</v>
      </c>
      <c r="G28" s="56" t="s">
        <v>1744</v>
      </c>
      <c r="H28" s="59">
        <v>76.8</v>
      </c>
      <c r="I28" s="58">
        <f>J28*(H28/100)</f>
        <v>25.344000000000001</v>
      </c>
      <c r="J28" s="200">
        <v>33</v>
      </c>
      <c r="K28" s="197" t="s">
        <v>235</v>
      </c>
      <c r="L28" s="56" t="s">
        <v>1744</v>
      </c>
      <c r="M28" s="59"/>
      <c r="N28" s="58">
        <f>O28*(M28/100)</f>
        <v>0</v>
      </c>
      <c r="O28" s="200">
        <v>100</v>
      </c>
      <c r="P28" s="197" t="s">
        <v>1743</v>
      </c>
      <c r="Q28" s="56" t="s">
        <v>1744</v>
      </c>
      <c r="R28" s="59">
        <v>76.8</v>
      </c>
      <c r="S28" s="58">
        <f>T28*(R28/100)</f>
        <v>25.344000000000001</v>
      </c>
      <c r="T28" s="200">
        <v>33</v>
      </c>
      <c r="U28" s="57"/>
      <c r="V28" s="57"/>
      <c r="W28" s="57"/>
      <c r="X28" s="57"/>
      <c r="Y28" s="57"/>
      <c r="Z28" s="57"/>
    </row>
    <row r="29" spans="1:26" ht="15" customHeight="1">
      <c r="A29" s="195"/>
      <c r="B29" s="195"/>
      <c r="C29" s="198"/>
      <c r="D29" s="63">
        <f t="shared" si="0"/>
        <v>33.052</v>
      </c>
      <c r="E29" s="63">
        <f>人员信息!E52</f>
        <v>0</v>
      </c>
      <c r="F29" s="198"/>
      <c r="G29" s="58" t="s">
        <v>1745</v>
      </c>
      <c r="H29" s="59">
        <v>12.2</v>
      </c>
      <c r="I29" s="58">
        <f>J28*(H29/100)</f>
        <v>4.0259999999999998</v>
      </c>
      <c r="J29" s="201"/>
      <c r="K29" s="201"/>
      <c r="L29" s="58" t="s">
        <v>1745</v>
      </c>
      <c r="M29" s="59">
        <v>25</v>
      </c>
      <c r="N29" s="58">
        <f>O28*(M29/100)</f>
        <v>25</v>
      </c>
      <c r="O29" s="201"/>
      <c r="P29" s="201"/>
      <c r="Q29" s="58" t="s">
        <v>1745</v>
      </c>
      <c r="R29" s="59">
        <v>12.2</v>
      </c>
      <c r="S29" s="58">
        <f>T28*(R29/100)</f>
        <v>4.0259999999999998</v>
      </c>
      <c r="T29" s="201"/>
      <c r="U29" s="58"/>
      <c r="V29" s="57"/>
      <c r="W29" s="57"/>
      <c r="X29" s="57"/>
      <c r="Y29" s="57"/>
      <c r="Z29" s="57"/>
    </row>
    <row r="30" spans="1:26" ht="15" customHeight="1">
      <c r="A30" s="195"/>
      <c r="B30" s="195"/>
      <c r="C30" s="199"/>
      <c r="D30" s="63">
        <f t="shared" si="0"/>
        <v>0.52800000000000002</v>
      </c>
      <c r="E30" s="63" t="s">
        <v>1751</v>
      </c>
      <c r="F30" s="199"/>
      <c r="G30" s="58" t="s">
        <v>1746</v>
      </c>
      <c r="H30" s="59">
        <v>0.8</v>
      </c>
      <c r="I30" s="58">
        <f>J28*(H30/100)</f>
        <v>0.26400000000000001</v>
      </c>
      <c r="J30" s="202"/>
      <c r="K30" s="202"/>
      <c r="L30" s="58" t="s">
        <v>1746</v>
      </c>
      <c r="M30" s="59"/>
      <c r="N30" s="58">
        <f>O28*(M30/100)</f>
        <v>0</v>
      </c>
      <c r="O30" s="202"/>
      <c r="P30" s="202"/>
      <c r="Q30" s="58" t="s">
        <v>1746</v>
      </c>
      <c r="R30" s="59">
        <v>0.8</v>
      </c>
      <c r="S30" s="58">
        <f>T28*(R30/100)</f>
        <v>0.26400000000000001</v>
      </c>
      <c r="T30" s="202"/>
      <c r="U30" s="58"/>
      <c r="V30" s="57"/>
      <c r="W30" s="57"/>
      <c r="X30" s="57"/>
      <c r="Y30" s="57"/>
      <c r="Z30" s="57"/>
    </row>
    <row r="31" spans="1:26" ht="15" customHeight="1">
      <c r="A31" s="195"/>
      <c r="B31" s="195"/>
      <c r="C31" s="197">
        <v>3</v>
      </c>
      <c r="D31" s="63">
        <f t="shared" si="0"/>
        <v>76.032000000000011</v>
      </c>
      <c r="E31" s="63">
        <f>人员信息!E51</f>
        <v>0</v>
      </c>
      <c r="F31" s="197"/>
      <c r="G31" s="56" t="s">
        <v>1744</v>
      </c>
      <c r="H31" s="59">
        <v>76.8</v>
      </c>
      <c r="I31" s="58">
        <f>J31*H31/100</f>
        <v>25.344000000000001</v>
      </c>
      <c r="J31" s="200">
        <v>33</v>
      </c>
      <c r="K31" s="197"/>
      <c r="L31" s="56" t="s">
        <v>1744</v>
      </c>
      <c r="M31" s="59">
        <v>76.8</v>
      </c>
      <c r="N31" s="58">
        <f>O31*M31/100</f>
        <v>25.344000000000001</v>
      </c>
      <c r="O31" s="200">
        <v>33</v>
      </c>
      <c r="P31" s="197"/>
      <c r="Q31" s="56" t="s">
        <v>1744</v>
      </c>
      <c r="R31" s="59">
        <v>76.8</v>
      </c>
      <c r="S31" s="58">
        <f>T31*R31/100</f>
        <v>25.344000000000001</v>
      </c>
      <c r="T31" s="200">
        <v>33</v>
      </c>
      <c r="U31" s="57"/>
      <c r="V31" s="57"/>
      <c r="W31" s="57"/>
      <c r="X31" s="57"/>
      <c r="Y31" s="57"/>
      <c r="Z31" s="57"/>
    </row>
    <row r="32" spans="1:26" ht="15" customHeight="1">
      <c r="A32" s="195"/>
      <c r="B32" s="195"/>
      <c r="C32" s="198"/>
      <c r="D32" s="63">
        <f t="shared" si="0"/>
        <v>12.077999999999999</v>
      </c>
      <c r="E32" s="63">
        <f>人员信息!E52</f>
        <v>0</v>
      </c>
      <c r="F32" s="198"/>
      <c r="G32" s="58" t="s">
        <v>1745</v>
      </c>
      <c r="H32" s="59">
        <v>12.2</v>
      </c>
      <c r="I32" s="58">
        <f>J31*H32/100</f>
        <v>4.0259999999999998</v>
      </c>
      <c r="J32" s="201"/>
      <c r="K32" s="201"/>
      <c r="L32" s="58" t="s">
        <v>1745</v>
      </c>
      <c r="M32" s="59">
        <v>12.2</v>
      </c>
      <c r="N32" s="58">
        <f>O31*M32/100</f>
        <v>4.0259999999999998</v>
      </c>
      <c r="O32" s="201"/>
      <c r="P32" s="201"/>
      <c r="Q32" s="58" t="s">
        <v>1745</v>
      </c>
      <c r="R32" s="59">
        <v>12.2</v>
      </c>
      <c r="S32" s="58">
        <f>T31*R32/100</f>
        <v>4.0259999999999998</v>
      </c>
      <c r="T32" s="201"/>
      <c r="U32" s="58"/>
      <c r="V32" s="57"/>
      <c r="W32" s="57"/>
      <c r="X32" s="57"/>
      <c r="Y32" s="57"/>
      <c r="Z32" s="57"/>
    </row>
    <row r="33" spans="1:26" ht="15" customHeight="1">
      <c r="A33" s="195"/>
      <c r="B33" s="195"/>
      <c r="C33" s="199"/>
      <c r="D33" s="63">
        <f t="shared" si="0"/>
        <v>0.79200000000000004</v>
      </c>
      <c r="E33" s="63" t="s">
        <v>1751</v>
      </c>
      <c r="F33" s="199"/>
      <c r="G33" s="58" t="s">
        <v>1746</v>
      </c>
      <c r="H33" s="59">
        <v>0.8</v>
      </c>
      <c r="I33" s="58">
        <f>J31*H33/100</f>
        <v>0.26400000000000001</v>
      </c>
      <c r="J33" s="202"/>
      <c r="K33" s="202"/>
      <c r="L33" s="58" t="s">
        <v>1746</v>
      </c>
      <c r="M33" s="59">
        <v>0.8</v>
      </c>
      <c r="N33" s="58">
        <f>O31*M33/100</f>
        <v>0.26400000000000001</v>
      </c>
      <c r="O33" s="202"/>
      <c r="P33" s="202"/>
      <c r="Q33" s="58" t="s">
        <v>1746</v>
      </c>
      <c r="R33" s="59">
        <v>0.8</v>
      </c>
      <c r="S33" s="58">
        <f>T31*R33/100</f>
        <v>0.26400000000000001</v>
      </c>
      <c r="T33" s="202"/>
      <c r="U33" s="58"/>
      <c r="V33" s="57"/>
      <c r="W33" s="57"/>
      <c r="X33" s="57"/>
      <c r="Y33" s="57"/>
      <c r="Z33" s="57"/>
    </row>
    <row r="34" spans="1:26" ht="15" customHeight="1">
      <c r="A34" s="195"/>
      <c r="B34" s="195"/>
      <c r="C34" s="197">
        <v>4</v>
      </c>
      <c r="D34" s="63">
        <f t="shared" si="0"/>
        <v>0</v>
      </c>
      <c r="E34" s="63">
        <f>人员信息!E51</f>
        <v>0</v>
      </c>
      <c r="F34" s="197"/>
      <c r="G34" s="56" t="s">
        <v>1744</v>
      </c>
      <c r="H34" s="59"/>
      <c r="I34" s="58">
        <f>J34*H34/100</f>
        <v>0</v>
      </c>
      <c r="J34" s="200">
        <v>100</v>
      </c>
      <c r="K34" s="197"/>
      <c r="L34" s="56" t="s">
        <v>1744</v>
      </c>
      <c r="M34" s="59"/>
      <c r="N34" s="58">
        <f>O34*M34/100</f>
        <v>0</v>
      </c>
      <c r="O34" s="200">
        <v>100</v>
      </c>
      <c r="P34" s="197"/>
      <c r="Q34" s="56" t="s">
        <v>1744</v>
      </c>
      <c r="R34" s="59"/>
      <c r="S34" s="58">
        <f>T34*R34/100</f>
        <v>0</v>
      </c>
      <c r="T34" s="200">
        <v>100</v>
      </c>
      <c r="U34" s="57"/>
      <c r="V34" s="57"/>
      <c r="W34" s="57"/>
      <c r="X34" s="57"/>
      <c r="Y34" s="57"/>
      <c r="Z34" s="57"/>
    </row>
    <row r="35" spans="1:26" ht="15" customHeight="1">
      <c r="A35" s="195"/>
      <c r="B35" s="195"/>
      <c r="C35" s="198"/>
      <c r="D35" s="63">
        <f t="shared" si="0"/>
        <v>75</v>
      </c>
      <c r="E35" s="63">
        <f>人员信息!E52</f>
        <v>0</v>
      </c>
      <c r="F35" s="198"/>
      <c r="G35" s="58" t="s">
        <v>1745</v>
      </c>
      <c r="H35" s="59">
        <v>25</v>
      </c>
      <c r="I35" s="58">
        <f>J34*H35/100</f>
        <v>25</v>
      </c>
      <c r="J35" s="201"/>
      <c r="K35" s="201"/>
      <c r="L35" s="58" t="s">
        <v>1745</v>
      </c>
      <c r="M35" s="59">
        <v>25</v>
      </c>
      <c r="N35" s="58">
        <f>O34*M35/100</f>
        <v>25</v>
      </c>
      <c r="O35" s="201"/>
      <c r="P35" s="201"/>
      <c r="Q35" s="58" t="s">
        <v>1745</v>
      </c>
      <c r="R35" s="59">
        <v>25</v>
      </c>
      <c r="S35" s="58">
        <f>T34*R35/100</f>
        <v>25</v>
      </c>
      <c r="T35" s="201"/>
      <c r="U35" s="58"/>
      <c r="V35" s="57"/>
      <c r="W35" s="57"/>
      <c r="X35" s="57"/>
      <c r="Y35" s="57"/>
      <c r="Z35" s="57"/>
    </row>
    <row r="36" spans="1:26" ht="15" customHeight="1">
      <c r="A36" s="195"/>
      <c r="B36" s="195"/>
      <c r="C36" s="199"/>
      <c r="D36" s="63">
        <f t="shared" si="0"/>
        <v>0</v>
      </c>
      <c r="E36" s="63" t="s">
        <v>1751</v>
      </c>
      <c r="F36" s="199"/>
      <c r="G36" s="58" t="s">
        <v>1746</v>
      </c>
      <c r="H36" s="59"/>
      <c r="I36" s="58">
        <f>J34*H36/100</f>
        <v>0</v>
      </c>
      <c r="J36" s="202"/>
      <c r="K36" s="202"/>
      <c r="L36" s="58" t="s">
        <v>1746</v>
      </c>
      <c r="M36" s="59"/>
      <c r="N36" s="58">
        <f>O34*M36/100</f>
        <v>0</v>
      </c>
      <c r="O36" s="202"/>
      <c r="P36" s="202"/>
      <c r="Q36" s="58" t="s">
        <v>1746</v>
      </c>
      <c r="R36" s="59"/>
      <c r="S36" s="58">
        <f>T34*R36/100</f>
        <v>0</v>
      </c>
      <c r="T36" s="202"/>
      <c r="U36" s="58"/>
      <c r="V36" s="57"/>
      <c r="W36" s="57"/>
      <c r="X36" s="57"/>
      <c r="Y36" s="57"/>
      <c r="Z36" s="57"/>
    </row>
    <row r="37" spans="1:26" ht="15" customHeight="1">
      <c r="A37" s="195"/>
      <c r="B37" s="195"/>
      <c r="C37" s="197">
        <v>5</v>
      </c>
      <c r="D37" s="63">
        <f t="shared" si="0"/>
        <v>76.032000000000011</v>
      </c>
      <c r="E37" s="63">
        <f>人员信息!E51</f>
        <v>0</v>
      </c>
      <c r="F37" s="197"/>
      <c r="G37" s="56" t="s">
        <v>1744</v>
      </c>
      <c r="H37" s="59">
        <v>76.8</v>
      </c>
      <c r="I37" s="58">
        <f>J37*H37/100</f>
        <v>25.344000000000001</v>
      </c>
      <c r="J37" s="200">
        <v>33</v>
      </c>
      <c r="K37" s="197"/>
      <c r="L37" s="56" t="s">
        <v>1744</v>
      </c>
      <c r="M37" s="59">
        <v>76.8</v>
      </c>
      <c r="N37" s="58">
        <f>O37*M37/100</f>
        <v>25.344000000000001</v>
      </c>
      <c r="O37" s="200">
        <v>33</v>
      </c>
      <c r="P37" s="197"/>
      <c r="Q37" s="56" t="s">
        <v>1744</v>
      </c>
      <c r="R37" s="59">
        <v>76.8</v>
      </c>
      <c r="S37" s="58">
        <f>T37*R37/100</f>
        <v>25.344000000000001</v>
      </c>
      <c r="T37" s="200">
        <v>33</v>
      </c>
      <c r="U37" s="57"/>
      <c r="V37" s="57"/>
      <c r="W37" s="57"/>
      <c r="X37" s="57"/>
      <c r="Y37" s="57"/>
      <c r="Z37" s="57"/>
    </row>
    <row r="38" spans="1:26" ht="15" customHeight="1">
      <c r="A38" s="195"/>
      <c r="B38" s="195"/>
      <c r="C38" s="198"/>
      <c r="D38" s="63">
        <f t="shared" si="0"/>
        <v>12.077999999999999</v>
      </c>
      <c r="E38" s="63">
        <f>人员信息!E52</f>
        <v>0</v>
      </c>
      <c r="F38" s="198"/>
      <c r="G38" s="58" t="s">
        <v>1745</v>
      </c>
      <c r="H38" s="59">
        <v>12.2</v>
      </c>
      <c r="I38" s="58">
        <f>J37*H38/100</f>
        <v>4.0259999999999998</v>
      </c>
      <c r="J38" s="201"/>
      <c r="K38" s="201"/>
      <c r="L38" s="58" t="s">
        <v>1745</v>
      </c>
      <c r="M38" s="59">
        <v>12.2</v>
      </c>
      <c r="N38" s="58">
        <f>O37*M38/100</f>
        <v>4.0259999999999998</v>
      </c>
      <c r="O38" s="201"/>
      <c r="P38" s="201"/>
      <c r="Q38" s="58" t="s">
        <v>1745</v>
      </c>
      <c r="R38" s="59">
        <v>12.2</v>
      </c>
      <c r="S38" s="58">
        <f>T37*R38/100</f>
        <v>4.0259999999999998</v>
      </c>
      <c r="T38" s="201"/>
      <c r="U38" s="58"/>
      <c r="V38" s="57"/>
      <c r="W38" s="57"/>
      <c r="X38" s="57"/>
      <c r="Y38" s="57"/>
      <c r="Z38" s="57"/>
    </row>
    <row r="39" spans="1:26" ht="15" customHeight="1">
      <c r="A39" s="195"/>
      <c r="B39" s="195"/>
      <c r="C39" s="199"/>
      <c r="D39" s="63">
        <f t="shared" si="0"/>
        <v>0.79200000000000004</v>
      </c>
      <c r="E39" s="63" t="s">
        <v>1751</v>
      </c>
      <c r="F39" s="199"/>
      <c r="G39" s="58" t="s">
        <v>1746</v>
      </c>
      <c r="H39" s="59">
        <v>0.8</v>
      </c>
      <c r="I39" s="58">
        <f>J37*H39/100</f>
        <v>0.26400000000000001</v>
      </c>
      <c r="J39" s="202"/>
      <c r="K39" s="202"/>
      <c r="L39" s="58" t="s">
        <v>1746</v>
      </c>
      <c r="M39" s="59">
        <v>0.8</v>
      </c>
      <c r="N39" s="58">
        <f>O37*M39/100</f>
        <v>0.26400000000000001</v>
      </c>
      <c r="O39" s="202"/>
      <c r="P39" s="202"/>
      <c r="Q39" s="58" t="s">
        <v>1746</v>
      </c>
      <c r="R39" s="59">
        <v>0.8</v>
      </c>
      <c r="S39" s="58">
        <f>T37*R39/100</f>
        <v>0.26400000000000001</v>
      </c>
      <c r="T39" s="202"/>
      <c r="U39" s="58"/>
      <c r="V39" s="57"/>
      <c r="W39" s="57"/>
      <c r="X39" s="57"/>
      <c r="Y39" s="57"/>
      <c r="Z39" s="57"/>
    </row>
    <row r="40" spans="1:26" ht="15" customHeight="1">
      <c r="A40" s="195"/>
      <c r="B40" s="195"/>
      <c r="C40" s="197">
        <v>6</v>
      </c>
      <c r="D40" s="63">
        <f t="shared" si="0"/>
        <v>0</v>
      </c>
      <c r="E40" s="63">
        <f>人员信息!E51</f>
        <v>0</v>
      </c>
      <c r="F40" s="197"/>
      <c r="G40" s="56" t="s">
        <v>1744</v>
      </c>
      <c r="H40" s="59"/>
      <c r="I40" s="58">
        <f>J40*H40/100</f>
        <v>0</v>
      </c>
      <c r="J40" s="200">
        <v>100</v>
      </c>
      <c r="K40" s="197"/>
      <c r="L40" s="56" t="s">
        <v>1744</v>
      </c>
      <c r="M40" s="59"/>
      <c r="N40" s="58">
        <f>O40*M40/100</f>
        <v>0</v>
      </c>
      <c r="O40" s="200">
        <v>100</v>
      </c>
      <c r="P40" s="197"/>
      <c r="Q40" s="56" t="s">
        <v>1744</v>
      </c>
      <c r="R40" s="59"/>
      <c r="S40" s="58">
        <f>T40*R40/100</f>
        <v>0</v>
      </c>
      <c r="T40" s="200">
        <v>100</v>
      </c>
      <c r="U40" s="57"/>
      <c r="V40" s="57"/>
      <c r="W40" s="57"/>
      <c r="X40" s="57"/>
      <c r="Y40" s="57"/>
      <c r="Z40" s="57"/>
    </row>
    <row r="41" spans="1:26" ht="15" customHeight="1">
      <c r="A41" s="195"/>
      <c r="B41" s="195"/>
      <c r="C41" s="198"/>
      <c r="D41" s="63">
        <f t="shared" si="0"/>
        <v>75</v>
      </c>
      <c r="E41" s="63">
        <f>人员信息!E52</f>
        <v>0</v>
      </c>
      <c r="F41" s="198"/>
      <c r="G41" s="58" t="s">
        <v>1745</v>
      </c>
      <c r="H41" s="59">
        <v>25</v>
      </c>
      <c r="I41" s="58">
        <f>J40*H41/100</f>
        <v>25</v>
      </c>
      <c r="J41" s="201"/>
      <c r="K41" s="201"/>
      <c r="L41" s="58" t="s">
        <v>1745</v>
      </c>
      <c r="M41" s="59">
        <v>25</v>
      </c>
      <c r="N41" s="58">
        <f>O40*M41/100</f>
        <v>25</v>
      </c>
      <c r="O41" s="201"/>
      <c r="P41" s="201"/>
      <c r="Q41" s="58" t="s">
        <v>1745</v>
      </c>
      <c r="R41" s="59">
        <v>25</v>
      </c>
      <c r="S41" s="58">
        <f>T40*R41/100</f>
        <v>25</v>
      </c>
      <c r="T41" s="201"/>
      <c r="U41" s="58"/>
      <c r="V41" s="57"/>
      <c r="W41" s="57"/>
      <c r="X41" s="57"/>
      <c r="Y41" s="57"/>
      <c r="Z41" s="57"/>
    </row>
    <row r="42" spans="1:26" ht="15" customHeight="1">
      <c r="A42" s="195"/>
      <c r="B42" s="195"/>
      <c r="C42" s="199"/>
      <c r="D42" s="63">
        <f t="shared" si="0"/>
        <v>0</v>
      </c>
      <c r="E42" s="63" t="s">
        <v>1751</v>
      </c>
      <c r="F42" s="199"/>
      <c r="G42" s="58" t="s">
        <v>1746</v>
      </c>
      <c r="H42" s="59"/>
      <c r="I42" s="58">
        <f>J40*H42/100</f>
        <v>0</v>
      </c>
      <c r="J42" s="202"/>
      <c r="K42" s="202"/>
      <c r="L42" s="58" t="s">
        <v>1746</v>
      </c>
      <c r="M42" s="59"/>
      <c r="N42" s="58">
        <f>O40*M42/100</f>
        <v>0</v>
      </c>
      <c r="O42" s="202"/>
      <c r="P42" s="202"/>
      <c r="Q42" s="58" t="s">
        <v>1746</v>
      </c>
      <c r="R42" s="59"/>
      <c r="S42" s="58">
        <f>T40*R42/100</f>
        <v>0</v>
      </c>
      <c r="T42" s="202"/>
      <c r="U42" s="58"/>
      <c r="V42" s="57"/>
      <c r="W42" s="57"/>
      <c r="X42" s="57"/>
      <c r="Y42" s="57"/>
      <c r="Z42" s="57"/>
    </row>
    <row r="43" spans="1:26" ht="15" customHeight="1">
      <c r="A43" s="195"/>
      <c r="B43" s="195"/>
      <c r="C43" s="197">
        <v>7</v>
      </c>
      <c r="D43" s="63">
        <f t="shared" si="0"/>
        <v>76.032000000000011</v>
      </c>
      <c r="E43" s="63">
        <f>人员信息!E51</f>
        <v>0</v>
      </c>
      <c r="F43" s="197"/>
      <c r="G43" s="56" t="s">
        <v>1744</v>
      </c>
      <c r="H43" s="59">
        <v>76.8</v>
      </c>
      <c r="I43" s="58">
        <f>J43*H43/100</f>
        <v>25.344000000000001</v>
      </c>
      <c r="J43" s="200">
        <v>33</v>
      </c>
      <c r="K43" s="197"/>
      <c r="L43" s="56" t="s">
        <v>1744</v>
      </c>
      <c r="M43" s="59">
        <v>76.8</v>
      </c>
      <c r="N43" s="58">
        <f>O43*M43/100</f>
        <v>25.344000000000001</v>
      </c>
      <c r="O43" s="200">
        <v>33</v>
      </c>
      <c r="P43" s="197"/>
      <c r="Q43" s="56" t="s">
        <v>1744</v>
      </c>
      <c r="R43" s="59">
        <v>76.8</v>
      </c>
      <c r="S43" s="58">
        <f>T43*R43/100</f>
        <v>25.344000000000001</v>
      </c>
      <c r="T43" s="200">
        <v>33</v>
      </c>
      <c r="U43" s="57"/>
      <c r="V43" s="57"/>
      <c r="W43" s="57"/>
      <c r="X43" s="57"/>
      <c r="Y43" s="57"/>
      <c r="Z43" s="57"/>
    </row>
    <row r="44" spans="1:26" ht="15" customHeight="1">
      <c r="A44" s="195"/>
      <c r="B44" s="195"/>
      <c r="C44" s="198"/>
      <c r="D44" s="63">
        <f t="shared" si="0"/>
        <v>12.077999999999999</v>
      </c>
      <c r="E44" s="63">
        <f>人员信息!E52</f>
        <v>0</v>
      </c>
      <c r="F44" s="198"/>
      <c r="G44" s="58" t="s">
        <v>1745</v>
      </c>
      <c r="H44" s="59">
        <v>12.2</v>
      </c>
      <c r="I44" s="58">
        <f>J43*H44/100</f>
        <v>4.0259999999999998</v>
      </c>
      <c r="J44" s="201"/>
      <c r="K44" s="201"/>
      <c r="L44" s="58" t="s">
        <v>1745</v>
      </c>
      <c r="M44" s="59">
        <v>12.2</v>
      </c>
      <c r="N44" s="58">
        <f>O43*M44/100</f>
        <v>4.0259999999999998</v>
      </c>
      <c r="O44" s="201"/>
      <c r="P44" s="201"/>
      <c r="Q44" s="58" t="s">
        <v>1745</v>
      </c>
      <c r="R44" s="59">
        <v>12.2</v>
      </c>
      <c r="S44" s="58">
        <f>T43*R44/100</f>
        <v>4.0259999999999998</v>
      </c>
      <c r="T44" s="201"/>
      <c r="U44" s="58"/>
      <c r="V44" s="57"/>
      <c r="W44" s="57"/>
      <c r="X44" s="57"/>
      <c r="Y44" s="57"/>
      <c r="Z44" s="57"/>
    </row>
    <row r="45" spans="1:26" ht="15" customHeight="1">
      <c r="A45" s="195"/>
      <c r="B45" s="195"/>
      <c r="C45" s="199"/>
      <c r="D45" s="63">
        <f t="shared" si="0"/>
        <v>0.79200000000000004</v>
      </c>
      <c r="E45" s="63" t="s">
        <v>1751</v>
      </c>
      <c r="F45" s="199"/>
      <c r="G45" s="58" t="s">
        <v>1746</v>
      </c>
      <c r="H45" s="59">
        <v>0.8</v>
      </c>
      <c r="I45" s="58">
        <f>J43*H45/100</f>
        <v>0.26400000000000001</v>
      </c>
      <c r="J45" s="202"/>
      <c r="K45" s="202"/>
      <c r="L45" s="58" t="s">
        <v>1746</v>
      </c>
      <c r="M45" s="59">
        <v>0.8</v>
      </c>
      <c r="N45" s="58">
        <f>O43*M45/100</f>
        <v>0.26400000000000001</v>
      </c>
      <c r="O45" s="202"/>
      <c r="P45" s="202"/>
      <c r="Q45" s="58" t="s">
        <v>1746</v>
      </c>
      <c r="R45" s="59">
        <v>0.8</v>
      </c>
      <c r="S45" s="58">
        <f>T43*R45/100</f>
        <v>0.26400000000000001</v>
      </c>
      <c r="T45" s="202"/>
      <c r="U45" s="58"/>
      <c r="V45" s="57"/>
      <c r="W45" s="57"/>
      <c r="X45" s="57"/>
      <c r="Y45" s="57"/>
      <c r="Z45" s="57"/>
    </row>
    <row r="46" spans="1:26" ht="15" customHeight="1">
      <c r="A46" s="195" t="s">
        <v>1759</v>
      </c>
      <c r="B46" s="195" t="s">
        <v>1761</v>
      </c>
      <c r="C46" s="197">
        <v>1</v>
      </c>
      <c r="D46" s="63">
        <f t="shared" si="0"/>
        <v>34.56</v>
      </c>
      <c r="E46" s="63">
        <f>人员信息!E93</f>
        <v>0</v>
      </c>
      <c r="F46" s="197" t="s">
        <v>1743</v>
      </c>
      <c r="G46" s="56" t="s">
        <v>1752</v>
      </c>
      <c r="H46" s="59">
        <v>76.8</v>
      </c>
      <c r="I46" s="58">
        <f>J46*(H46/100)</f>
        <v>34.56</v>
      </c>
      <c r="J46" s="200">
        <v>45</v>
      </c>
      <c r="K46" s="197" t="s">
        <v>235</v>
      </c>
      <c r="L46" s="56" t="s">
        <v>1744</v>
      </c>
      <c r="M46" s="59"/>
      <c r="N46" s="58">
        <f>O46*(M46/100)</f>
        <v>0</v>
      </c>
      <c r="O46" s="200">
        <v>55</v>
      </c>
      <c r="P46" s="197" t="s">
        <v>1743</v>
      </c>
      <c r="Q46" s="56" t="s">
        <v>1744</v>
      </c>
      <c r="R46" s="59">
        <v>76.8</v>
      </c>
      <c r="S46" s="58">
        <f>T46*(R46/100)</f>
        <v>0</v>
      </c>
      <c r="T46" s="200"/>
      <c r="U46" s="57"/>
      <c r="V46" s="57"/>
      <c r="W46" s="57"/>
      <c r="X46" s="57"/>
      <c r="Y46" s="57"/>
      <c r="Z46" s="57"/>
    </row>
    <row r="47" spans="1:26" ht="15" customHeight="1">
      <c r="A47" s="195"/>
      <c r="B47" s="195"/>
      <c r="C47" s="198"/>
      <c r="D47" s="63">
        <f t="shared" si="0"/>
        <v>19.240000000000002</v>
      </c>
      <c r="E47" s="63">
        <f>人员信息!E94</f>
        <v>0</v>
      </c>
      <c r="F47" s="198"/>
      <c r="G47" s="58" t="s">
        <v>1745</v>
      </c>
      <c r="H47" s="59">
        <v>12.2</v>
      </c>
      <c r="I47" s="58">
        <f>J46*(H47/100)</f>
        <v>5.49</v>
      </c>
      <c r="J47" s="201"/>
      <c r="K47" s="201"/>
      <c r="L47" s="58" t="s">
        <v>1745</v>
      </c>
      <c r="M47" s="59">
        <v>25</v>
      </c>
      <c r="N47" s="58">
        <f>O46*(M47/100)</f>
        <v>13.75</v>
      </c>
      <c r="O47" s="201"/>
      <c r="P47" s="201"/>
      <c r="Q47" s="58" t="s">
        <v>1745</v>
      </c>
      <c r="R47" s="59">
        <v>12.2</v>
      </c>
      <c r="S47" s="58">
        <f>T46*(R47/100)</f>
        <v>0</v>
      </c>
      <c r="T47" s="201"/>
      <c r="U47" s="58"/>
      <c r="V47" s="57"/>
      <c r="W47" s="57"/>
      <c r="X47" s="57"/>
      <c r="Y47" s="57"/>
      <c r="Z47" s="57"/>
    </row>
    <row r="48" spans="1:26" ht="15" customHeight="1">
      <c r="A48" s="195"/>
      <c r="B48" s="195"/>
      <c r="C48" s="199"/>
      <c r="D48" s="63">
        <f t="shared" si="0"/>
        <v>0.36</v>
      </c>
      <c r="E48" s="63" t="s">
        <v>263</v>
      </c>
      <c r="F48" s="199"/>
      <c r="G48" s="58" t="s">
        <v>1746</v>
      </c>
      <c r="H48" s="59">
        <v>0.8</v>
      </c>
      <c r="I48" s="58">
        <f>J46*(H48/100)</f>
        <v>0.36</v>
      </c>
      <c r="J48" s="202"/>
      <c r="K48" s="202"/>
      <c r="L48" s="58" t="s">
        <v>1746</v>
      </c>
      <c r="M48" s="59"/>
      <c r="N48" s="58">
        <f>O46*(M48/100)</f>
        <v>0</v>
      </c>
      <c r="O48" s="202"/>
      <c r="P48" s="202"/>
      <c r="Q48" s="58" t="s">
        <v>1746</v>
      </c>
      <c r="R48" s="59">
        <v>0.8</v>
      </c>
      <c r="S48" s="58">
        <f>T46*(R48/100)</f>
        <v>0</v>
      </c>
      <c r="T48" s="202"/>
      <c r="U48" s="58"/>
      <c r="V48" s="57"/>
      <c r="W48" s="57"/>
      <c r="X48" s="57"/>
      <c r="Y48" s="57"/>
      <c r="Z48" s="57"/>
    </row>
    <row r="49" spans="1:26" ht="15" customHeight="1">
      <c r="A49" s="195"/>
      <c r="B49" s="195"/>
      <c r="C49" s="197">
        <v>2</v>
      </c>
      <c r="D49" s="63">
        <f t="shared" si="0"/>
        <v>50.688000000000002</v>
      </c>
      <c r="E49" s="63">
        <f>人员信息!E93</f>
        <v>0</v>
      </c>
      <c r="F49" s="197" t="s">
        <v>1743</v>
      </c>
      <c r="G49" s="56" t="s">
        <v>1744</v>
      </c>
      <c r="H49" s="59">
        <v>76.8</v>
      </c>
      <c r="I49" s="58">
        <f>J49*(H49/100)</f>
        <v>25.344000000000001</v>
      </c>
      <c r="J49" s="200">
        <v>33</v>
      </c>
      <c r="K49" s="197" t="s">
        <v>235</v>
      </c>
      <c r="L49" s="56" t="s">
        <v>1744</v>
      </c>
      <c r="M49" s="59"/>
      <c r="N49" s="58">
        <f>O49*(M49/100)</f>
        <v>0</v>
      </c>
      <c r="O49" s="200">
        <v>100</v>
      </c>
      <c r="P49" s="197" t="s">
        <v>1743</v>
      </c>
      <c r="Q49" s="56" t="s">
        <v>1744</v>
      </c>
      <c r="R49" s="59">
        <v>76.8</v>
      </c>
      <c r="S49" s="58">
        <f>T49*(R49/100)</f>
        <v>25.344000000000001</v>
      </c>
      <c r="T49" s="200">
        <v>33</v>
      </c>
      <c r="U49" s="57"/>
      <c r="V49" s="57"/>
      <c r="W49" s="57"/>
      <c r="X49" s="57"/>
      <c r="Y49" s="57"/>
      <c r="Z49" s="57"/>
    </row>
    <row r="50" spans="1:26" ht="15" customHeight="1">
      <c r="A50" s="195"/>
      <c r="B50" s="195"/>
      <c r="C50" s="198"/>
      <c r="D50" s="63">
        <f t="shared" si="0"/>
        <v>33.052</v>
      </c>
      <c r="E50" s="63">
        <f>人员信息!E94</f>
        <v>0</v>
      </c>
      <c r="F50" s="198"/>
      <c r="G50" s="58" t="s">
        <v>1745</v>
      </c>
      <c r="H50" s="59">
        <v>12.2</v>
      </c>
      <c r="I50" s="58">
        <f>J49*(H50/100)</f>
        <v>4.0259999999999998</v>
      </c>
      <c r="J50" s="201"/>
      <c r="K50" s="201"/>
      <c r="L50" s="58" t="s">
        <v>1745</v>
      </c>
      <c r="M50" s="59">
        <v>25</v>
      </c>
      <c r="N50" s="58">
        <f>O49*(M50/100)</f>
        <v>25</v>
      </c>
      <c r="O50" s="201"/>
      <c r="P50" s="201"/>
      <c r="Q50" s="58" t="s">
        <v>1745</v>
      </c>
      <c r="R50" s="59">
        <v>12.2</v>
      </c>
      <c r="S50" s="58">
        <f>T49*(R50/100)</f>
        <v>4.0259999999999998</v>
      </c>
      <c r="T50" s="201"/>
      <c r="U50" s="58"/>
      <c r="V50" s="57"/>
      <c r="W50" s="57"/>
      <c r="X50" s="57"/>
      <c r="Y50" s="57"/>
      <c r="Z50" s="57"/>
    </row>
    <row r="51" spans="1:26" ht="15" customHeight="1">
      <c r="A51" s="195"/>
      <c r="B51" s="195"/>
      <c r="C51" s="199"/>
      <c r="D51" s="63">
        <f t="shared" si="0"/>
        <v>0.52800000000000002</v>
      </c>
      <c r="E51" s="63" t="s">
        <v>1751</v>
      </c>
      <c r="F51" s="199"/>
      <c r="G51" s="58" t="s">
        <v>1746</v>
      </c>
      <c r="H51" s="59">
        <v>0.8</v>
      </c>
      <c r="I51" s="58">
        <f>J49*(H51/100)</f>
        <v>0.26400000000000001</v>
      </c>
      <c r="J51" s="202"/>
      <c r="K51" s="202"/>
      <c r="L51" s="58" t="s">
        <v>1746</v>
      </c>
      <c r="M51" s="59"/>
      <c r="N51" s="58">
        <f>O49*(M51/100)</f>
        <v>0</v>
      </c>
      <c r="O51" s="202"/>
      <c r="P51" s="202"/>
      <c r="Q51" s="58" t="s">
        <v>1746</v>
      </c>
      <c r="R51" s="59">
        <v>0.8</v>
      </c>
      <c r="S51" s="58">
        <f>T49*(R51/100)</f>
        <v>0.26400000000000001</v>
      </c>
      <c r="T51" s="202"/>
      <c r="U51" s="58"/>
      <c r="V51" s="57"/>
      <c r="W51" s="57"/>
      <c r="X51" s="57"/>
      <c r="Y51" s="57"/>
      <c r="Z51" s="57"/>
    </row>
    <row r="52" spans="1:26" ht="15" customHeight="1">
      <c r="A52" s="195"/>
      <c r="B52" s="195"/>
      <c r="C52" s="197">
        <v>3</v>
      </c>
      <c r="D52" s="63">
        <f t="shared" si="0"/>
        <v>76.032000000000011</v>
      </c>
      <c r="E52" s="63">
        <f>人员信息!E93</f>
        <v>0</v>
      </c>
      <c r="F52" s="197"/>
      <c r="G52" s="56" t="s">
        <v>1744</v>
      </c>
      <c r="H52" s="59">
        <v>76.8</v>
      </c>
      <c r="I52" s="58">
        <f>J52*H52/100</f>
        <v>25.344000000000001</v>
      </c>
      <c r="J52" s="200">
        <v>33</v>
      </c>
      <c r="K52" s="197"/>
      <c r="L52" s="56" t="s">
        <v>1744</v>
      </c>
      <c r="M52" s="59">
        <v>76.8</v>
      </c>
      <c r="N52" s="58">
        <f>O52*M52/100</f>
        <v>25.344000000000001</v>
      </c>
      <c r="O52" s="200">
        <v>33</v>
      </c>
      <c r="P52" s="197"/>
      <c r="Q52" s="56" t="s">
        <v>1744</v>
      </c>
      <c r="R52" s="59">
        <v>76.8</v>
      </c>
      <c r="S52" s="58">
        <f>T52*R52/100</f>
        <v>25.344000000000001</v>
      </c>
      <c r="T52" s="200">
        <v>33</v>
      </c>
      <c r="U52" s="57"/>
      <c r="V52" s="57"/>
      <c r="W52" s="57"/>
      <c r="X52" s="57"/>
      <c r="Y52" s="57"/>
      <c r="Z52" s="57"/>
    </row>
    <row r="53" spans="1:26" ht="15" customHeight="1">
      <c r="A53" s="195"/>
      <c r="B53" s="195"/>
      <c r="C53" s="198"/>
      <c r="D53" s="63">
        <f t="shared" si="0"/>
        <v>12.077999999999999</v>
      </c>
      <c r="E53" s="63">
        <f>人员信息!E94</f>
        <v>0</v>
      </c>
      <c r="F53" s="198"/>
      <c r="G53" s="58" t="s">
        <v>1745</v>
      </c>
      <c r="H53" s="59">
        <v>12.2</v>
      </c>
      <c r="I53" s="58">
        <f>J52*H53/100</f>
        <v>4.0259999999999998</v>
      </c>
      <c r="J53" s="201"/>
      <c r="K53" s="201"/>
      <c r="L53" s="58" t="s">
        <v>1745</v>
      </c>
      <c r="M53" s="59">
        <v>12.2</v>
      </c>
      <c r="N53" s="58">
        <f>O52*M53/100</f>
        <v>4.0259999999999998</v>
      </c>
      <c r="O53" s="201"/>
      <c r="P53" s="201"/>
      <c r="Q53" s="58" t="s">
        <v>1745</v>
      </c>
      <c r="R53" s="59">
        <v>12.2</v>
      </c>
      <c r="S53" s="58">
        <f>T52*R53/100</f>
        <v>4.0259999999999998</v>
      </c>
      <c r="T53" s="201"/>
      <c r="U53" s="58"/>
      <c r="V53" s="57"/>
      <c r="W53" s="57"/>
      <c r="X53" s="57"/>
      <c r="Y53" s="57"/>
      <c r="Z53" s="57"/>
    </row>
    <row r="54" spans="1:26" ht="15" customHeight="1">
      <c r="A54" s="195"/>
      <c r="B54" s="195"/>
      <c r="C54" s="199"/>
      <c r="D54" s="63">
        <f t="shared" si="0"/>
        <v>0.79200000000000004</v>
      </c>
      <c r="E54" s="63" t="s">
        <v>1751</v>
      </c>
      <c r="F54" s="199"/>
      <c r="G54" s="58" t="s">
        <v>1746</v>
      </c>
      <c r="H54" s="59">
        <v>0.8</v>
      </c>
      <c r="I54" s="58">
        <f>J52*H54/100</f>
        <v>0.26400000000000001</v>
      </c>
      <c r="J54" s="202"/>
      <c r="K54" s="202"/>
      <c r="L54" s="58" t="s">
        <v>1746</v>
      </c>
      <c r="M54" s="59">
        <v>0.8</v>
      </c>
      <c r="N54" s="58">
        <f>O52*M54/100</f>
        <v>0.26400000000000001</v>
      </c>
      <c r="O54" s="202"/>
      <c r="P54" s="202"/>
      <c r="Q54" s="58" t="s">
        <v>1746</v>
      </c>
      <c r="R54" s="59">
        <v>0.8</v>
      </c>
      <c r="S54" s="58">
        <f>T52*R54/100</f>
        <v>0.26400000000000001</v>
      </c>
      <c r="T54" s="202"/>
      <c r="U54" s="58"/>
      <c r="V54" s="57"/>
      <c r="W54" s="57"/>
      <c r="X54" s="57"/>
      <c r="Y54" s="57"/>
      <c r="Z54" s="57"/>
    </row>
    <row r="55" spans="1:26" ht="15" customHeight="1">
      <c r="A55" s="195"/>
      <c r="B55" s="195"/>
      <c r="C55" s="197">
        <v>4</v>
      </c>
      <c r="D55" s="63">
        <f t="shared" si="0"/>
        <v>0</v>
      </c>
      <c r="E55" s="63">
        <f>人员信息!E93</f>
        <v>0</v>
      </c>
      <c r="F55" s="197"/>
      <c r="G55" s="56" t="s">
        <v>1744</v>
      </c>
      <c r="H55" s="59"/>
      <c r="I55" s="58">
        <f>J55*H55/100</f>
        <v>0</v>
      </c>
      <c r="J55" s="200">
        <v>100</v>
      </c>
      <c r="K55" s="197"/>
      <c r="L55" s="56" t="s">
        <v>1744</v>
      </c>
      <c r="M55" s="59"/>
      <c r="N55" s="58">
        <f>O55*M55/100</f>
        <v>0</v>
      </c>
      <c r="O55" s="200">
        <v>100</v>
      </c>
      <c r="P55" s="197"/>
      <c r="Q55" s="56" t="s">
        <v>1744</v>
      </c>
      <c r="R55" s="59"/>
      <c r="S55" s="58">
        <f>T55*R55/100</f>
        <v>0</v>
      </c>
      <c r="T55" s="200">
        <v>100</v>
      </c>
      <c r="U55" s="57"/>
      <c r="V55" s="57"/>
      <c r="W55" s="57"/>
      <c r="X55" s="57"/>
      <c r="Y55" s="57"/>
      <c r="Z55" s="57"/>
    </row>
    <row r="56" spans="1:26" ht="15" customHeight="1">
      <c r="A56" s="195"/>
      <c r="B56" s="195"/>
      <c r="C56" s="198"/>
      <c r="D56" s="63">
        <f t="shared" si="0"/>
        <v>75</v>
      </c>
      <c r="E56" s="63">
        <f>人员信息!E94</f>
        <v>0</v>
      </c>
      <c r="F56" s="198"/>
      <c r="G56" s="58" t="s">
        <v>1745</v>
      </c>
      <c r="H56" s="59">
        <v>25</v>
      </c>
      <c r="I56" s="58">
        <f>J55*H56/100</f>
        <v>25</v>
      </c>
      <c r="J56" s="201"/>
      <c r="K56" s="201"/>
      <c r="L56" s="58" t="s">
        <v>1745</v>
      </c>
      <c r="M56" s="59">
        <v>25</v>
      </c>
      <c r="N56" s="58">
        <f>O55*M56/100</f>
        <v>25</v>
      </c>
      <c r="O56" s="201"/>
      <c r="P56" s="201"/>
      <c r="Q56" s="58" t="s">
        <v>1745</v>
      </c>
      <c r="R56" s="59">
        <v>25</v>
      </c>
      <c r="S56" s="58">
        <f>T55*R56/100</f>
        <v>25</v>
      </c>
      <c r="T56" s="201"/>
      <c r="U56" s="58"/>
      <c r="V56" s="57"/>
      <c r="W56" s="57"/>
      <c r="X56" s="57"/>
      <c r="Y56" s="57"/>
      <c r="Z56" s="57"/>
    </row>
    <row r="57" spans="1:26" ht="15" customHeight="1">
      <c r="A57" s="195"/>
      <c r="B57" s="195"/>
      <c r="C57" s="199"/>
      <c r="D57" s="63">
        <f t="shared" si="0"/>
        <v>0</v>
      </c>
      <c r="E57" s="63" t="s">
        <v>1751</v>
      </c>
      <c r="F57" s="199"/>
      <c r="G57" s="58" t="s">
        <v>1746</v>
      </c>
      <c r="H57" s="59"/>
      <c r="I57" s="58">
        <f>J55*H57/100</f>
        <v>0</v>
      </c>
      <c r="J57" s="202"/>
      <c r="K57" s="202"/>
      <c r="L57" s="58" t="s">
        <v>1746</v>
      </c>
      <c r="M57" s="59"/>
      <c r="N57" s="58">
        <f>O55*M57/100</f>
        <v>0</v>
      </c>
      <c r="O57" s="202"/>
      <c r="P57" s="202"/>
      <c r="Q57" s="58" t="s">
        <v>1746</v>
      </c>
      <c r="R57" s="59"/>
      <c r="S57" s="58">
        <f>T55*R57/100</f>
        <v>0</v>
      </c>
      <c r="T57" s="202"/>
      <c r="U57" s="58"/>
      <c r="V57" s="57"/>
      <c r="W57" s="57"/>
      <c r="X57" s="57"/>
      <c r="Y57" s="57"/>
      <c r="Z57" s="57"/>
    </row>
    <row r="58" spans="1:26" ht="15" customHeight="1">
      <c r="A58" s="195"/>
      <c r="B58" s="195"/>
      <c r="C58" s="197">
        <v>5</v>
      </c>
      <c r="D58" s="63">
        <f t="shared" si="0"/>
        <v>76.032000000000011</v>
      </c>
      <c r="E58" s="63">
        <f>人员信息!E93</f>
        <v>0</v>
      </c>
      <c r="F58" s="197"/>
      <c r="G58" s="56" t="s">
        <v>1744</v>
      </c>
      <c r="H58" s="59">
        <v>76.8</v>
      </c>
      <c r="I58" s="58">
        <f>J58*H58/100</f>
        <v>25.344000000000001</v>
      </c>
      <c r="J58" s="200">
        <v>33</v>
      </c>
      <c r="K58" s="197"/>
      <c r="L58" s="56" t="s">
        <v>1744</v>
      </c>
      <c r="M58" s="59">
        <v>76.8</v>
      </c>
      <c r="N58" s="58">
        <f>O58*M58/100</f>
        <v>25.344000000000001</v>
      </c>
      <c r="O58" s="200">
        <v>33</v>
      </c>
      <c r="P58" s="197"/>
      <c r="Q58" s="56" t="s">
        <v>1744</v>
      </c>
      <c r="R58" s="59">
        <v>76.8</v>
      </c>
      <c r="S58" s="58">
        <f>T58*R58/100</f>
        <v>25.344000000000001</v>
      </c>
      <c r="T58" s="200">
        <v>33</v>
      </c>
      <c r="U58" s="57"/>
      <c r="V58" s="57"/>
      <c r="W58" s="57"/>
      <c r="X58" s="57"/>
      <c r="Y58" s="57"/>
      <c r="Z58" s="57"/>
    </row>
    <row r="59" spans="1:26" ht="15" customHeight="1">
      <c r="A59" s="195"/>
      <c r="B59" s="195"/>
      <c r="C59" s="198"/>
      <c r="D59" s="63">
        <f t="shared" si="0"/>
        <v>12.077999999999999</v>
      </c>
      <c r="E59" s="63">
        <f>人员信息!E94</f>
        <v>0</v>
      </c>
      <c r="F59" s="198"/>
      <c r="G59" s="58" t="s">
        <v>1745</v>
      </c>
      <c r="H59" s="59">
        <v>12.2</v>
      </c>
      <c r="I59" s="58">
        <f>J58*H59/100</f>
        <v>4.0259999999999998</v>
      </c>
      <c r="J59" s="201"/>
      <c r="K59" s="201"/>
      <c r="L59" s="58" t="s">
        <v>1745</v>
      </c>
      <c r="M59" s="59">
        <v>12.2</v>
      </c>
      <c r="N59" s="58">
        <f>O58*M59/100</f>
        <v>4.0259999999999998</v>
      </c>
      <c r="O59" s="201"/>
      <c r="P59" s="201"/>
      <c r="Q59" s="58" t="s">
        <v>1745</v>
      </c>
      <c r="R59" s="59">
        <v>12.2</v>
      </c>
      <c r="S59" s="58">
        <f>T58*R59/100</f>
        <v>4.0259999999999998</v>
      </c>
      <c r="T59" s="201"/>
      <c r="U59" s="58"/>
      <c r="V59" s="57"/>
      <c r="W59" s="57"/>
      <c r="X59" s="57"/>
      <c r="Y59" s="57"/>
      <c r="Z59" s="57"/>
    </row>
    <row r="60" spans="1:26" ht="15" customHeight="1">
      <c r="A60" s="195"/>
      <c r="B60" s="195"/>
      <c r="C60" s="199"/>
      <c r="D60" s="63">
        <f t="shared" si="0"/>
        <v>0.79200000000000004</v>
      </c>
      <c r="E60" s="63" t="s">
        <v>1751</v>
      </c>
      <c r="F60" s="199"/>
      <c r="G60" s="58" t="s">
        <v>1746</v>
      </c>
      <c r="H60" s="59">
        <v>0.8</v>
      </c>
      <c r="I60" s="58">
        <f>J58*H60/100</f>
        <v>0.26400000000000001</v>
      </c>
      <c r="J60" s="202"/>
      <c r="K60" s="202"/>
      <c r="L60" s="58" t="s">
        <v>1746</v>
      </c>
      <c r="M60" s="59">
        <v>0.8</v>
      </c>
      <c r="N60" s="58">
        <f>O58*M60/100</f>
        <v>0.26400000000000001</v>
      </c>
      <c r="O60" s="202"/>
      <c r="P60" s="202"/>
      <c r="Q60" s="58" t="s">
        <v>1746</v>
      </c>
      <c r="R60" s="59">
        <v>0.8</v>
      </c>
      <c r="S60" s="58">
        <f>T58*R60/100</f>
        <v>0.26400000000000001</v>
      </c>
      <c r="T60" s="202"/>
      <c r="U60" s="58"/>
      <c r="V60" s="57"/>
      <c r="W60" s="57"/>
      <c r="X60" s="57"/>
      <c r="Y60" s="57"/>
      <c r="Z60" s="57"/>
    </row>
    <row r="61" spans="1:26" ht="15" customHeight="1">
      <c r="A61" s="195"/>
      <c r="B61" s="195"/>
      <c r="C61" s="197">
        <v>6</v>
      </c>
      <c r="D61" s="63">
        <f t="shared" si="0"/>
        <v>0</v>
      </c>
      <c r="E61" s="63">
        <f>人员信息!E93</f>
        <v>0</v>
      </c>
      <c r="F61" s="197"/>
      <c r="G61" s="56" t="s">
        <v>1744</v>
      </c>
      <c r="H61" s="59"/>
      <c r="I61" s="58">
        <f>J61*H61/100</f>
        <v>0</v>
      </c>
      <c r="J61" s="200">
        <v>100</v>
      </c>
      <c r="K61" s="197"/>
      <c r="L61" s="56" t="s">
        <v>1744</v>
      </c>
      <c r="M61" s="59"/>
      <c r="N61" s="58">
        <f>O61*M61/100</f>
        <v>0</v>
      </c>
      <c r="O61" s="200">
        <v>100</v>
      </c>
      <c r="P61" s="197"/>
      <c r="Q61" s="56" t="s">
        <v>1744</v>
      </c>
      <c r="R61" s="59"/>
      <c r="S61" s="58">
        <f>T61*R61/100</f>
        <v>0</v>
      </c>
      <c r="T61" s="200">
        <v>100</v>
      </c>
      <c r="U61" s="57"/>
      <c r="V61" s="57"/>
      <c r="W61" s="57"/>
      <c r="X61" s="57"/>
      <c r="Y61" s="57"/>
      <c r="Z61" s="57"/>
    </row>
    <row r="62" spans="1:26" ht="15" customHeight="1">
      <c r="A62" s="195"/>
      <c r="B62" s="195"/>
      <c r="C62" s="198"/>
      <c r="D62" s="63">
        <f t="shared" si="0"/>
        <v>75</v>
      </c>
      <c r="E62" s="63">
        <f>人员信息!E94</f>
        <v>0</v>
      </c>
      <c r="F62" s="198"/>
      <c r="G62" s="58" t="s">
        <v>1745</v>
      </c>
      <c r="H62" s="59">
        <v>25</v>
      </c>
      <c r="I62" s="58">
        <f>J61*H62/100</f>
        <v>25</v>
      </c>
      <c r="J62" s="201"/>
      <c r="K62" s="201"/>
      <c r="L62" s="58" t="s">
        <v>1745</v>
      </c>
      <c r="M62" s="59">
        <v>25</v>
      </c>
      <c r="N62" s="58">
        <f>O61*M62/100</f>
        <v>25</v>
      </c>
      <c r="O62" s="201"/>
      <c r="P62" s="201"/>
      <c r="Q62" s="58" t="s">
        <v>1745</v>
      </c>
      <c r="R62" s="59">
        <v>25</v>
      </c>
      <c r="S62" s="58">
        <f>T61*R62/100</f>
        <v>25</v>
      </c>
      <c r="T62" s="201"/>
      <c r="U62" s="58"/>
      <c r="V62" s="57"/>
      <c r="W62" s="57"/>
      <c r="X62" s="57"/>
      <c r="Y62" s="57"/>
      <c r="Z62" s="57"/>
    </row>
    <row r="63" spans="1:26" ht="15" customHeight="1">
      <c r="A63" s="195"/>
      <c r="B63" s="195"/>
      <c r="C63" s="199"/>
      <c r="D63" s="63">
        <f t="shared" si="0"/>
        <v>0</v>
      </c>
      <c r="E63" s="63" t="s">
        <v>1751</v>
      </c>
      <c r="F63" s="199"/>
      <c r="G63" s="58" t="s">
        <v>1746</v>
      </c>
      <c r="H63" s="59"/>
      <c r="I63" s="58">
        <f>J61*H63/100</f>
        <v>0</v>
      </c>
      <c r="J63" s="202"/>
      <c r="K63" s="202"/>
      <c r="L63" s="58" t="s">
        <v>1746</v>
      </c>
      <c r="M63" s="59"/>
      <c r="N63" s="58">
        <f>O61*M63/100</f>
        <v>0</v>
      </c>
      <c r="O63" s="202"/>
      <c r="P63" s="202"/>
      <c r="Q63" s="58" t="s">
        <v>1746</v>
      </c>
      <c r="R63" s="59"/>
      <c r="S63" s="58">
        <f>T61*R63/100</f>
        <v>0</v>
      </c>
      <c r="T63" s="202"/>
      <c r="U63" s="58"/>
      <c r="V63" s="57"/>
      <c r="W63" s="57"/>
      <c r="X63" s="57"/>
      <c r="Y63" s="57"/>
      <c r="Z63" s="57"/>
    </row>
    <row r="64" spans="1:26" ht="15" customHeight="1">
      <c r="A64" s="195"/>
      <c r="B64" s="195"/>
      <c r="C64" s="197">
        <v>7</v>
      </c>
      <c r="D64" s="63">
        <f t="shared" si="0"/>
        <v>76.032000000000011</v>
      </c>
      <c r="E64" s="63">
        <f>人员信息!E93</f>
        <v>0</v>
      </c>
      <c r="F64" s="197"/>
      <c r="G64" s="56" t="s">
        <v>1744</v>
      </c>
      <c r="H64" s="59">
        <v>76.8</v>
      </c>
      <c r="I64" s="58">
        <f>J64*H64/100</f>
        <v>25.344000000000001</v>
      </c>
      <c r="J64" s="200">
        <v>33</v>
      </c>
      <c r="K64" s="197"/>
      <c r="L64" s="56" t="s">
        <v>1744</v>
      </c>
      <c r="M64" s="59">
        <v>76.8</v>
      </c>
      <c r="N64" s="58">
        <f>O64*M64/100</f>
        <v>25.344000000000001</v>
      </c>
      <c r="O64" s="200">
        <v>33</v>
      </c>
      <c r="P64" s="197"/>
      <c r="Q64" s="56" t="s">
        <v>1744</v>
      </c>
      <c r="R64" s="59">
        <v>76.8</v>
      </c>
      <c r="S64" s="58">
        <f>T64*R64/100</f>
        <v>25.344000000000001</v>
      </c>
      <c r="T64" s="200">
        <v>33</v>
      </c>
      <c r="U64" s="57"/>
      <c r="V64" s="57"/>
      <c r="W64" s="57"/>
      <c r="X64" s="57"/>
      <c r="Y64" s="57"/>
      <c r="Z64" s="57"/>
    </row>
    <row r="65" spans="1:26" ht="15" customHeight="1">
      <c r="A65" s="195"/>
      <c r="B65" s="195"/>
      <c r="C65" s="198"/>
      <c r="D65" s="63">
        <f t="shared" si="0"/>
        <v>12.077999999999999</v>
      </c>
      <c r="E65" s="63">
        <f>人员信息!E94</f>
        <v>0</v>
      </c>
      <c r="F65" s="198"/>
      <c r="G65" s="58" t="s">
        <v>1745</v>
      </c>
      <c r="H65" s="59">
        <v>12.2</v>
      </c>
      <c r="I65" s="58">
        <f>J64*H65/100</f>
        <v>4.0259999999999998</v>
      </c>
      <c r="J65" s="201"/>
      <c r="K65" s="201"/>
      <c r="L65" s="58" t="s">
        <v>1745</v>
      </c>
      <c r="M65" s="59">
        <v>12.2</v>
      </c>
      <c r="N65" s="58">
        <f>O64*M65/100</f>
        <v>4.0259999999999998</v>
      </c>
      <c r="O65" s="201"/>
      <c r="P65" s="201"/>
      <c r="Q65" s="58" t="s">
        <v>1745</v>
      </c>
      <c r="R65" s="59">
        <v>12.2</v>
      </c>
      <c r="S65" s="58">
        <f>T64*R65/100</f>
        <v>4.0259999999999998</v>
      </c>
      <c r="T65" s="201"/>
      <c r="U65" s="58"/>
      <c r="V65" s="57"/>
      <c r="W65" s="57"/>
      <c r="X65" s="57"/>
      <c r="Y65" s="57"/>
      <c r="Z65" s="57"/>
    </row>
    <row r="66" spans="1:26" ht="15" customHeight="1">
      <c r="A66" s="195"/>
      <c r="B66" s="195"/>
      <c r="C66" s="199"/>
      <c r="D66" s="63">
        <f t="shared" si="0"/>
        <v>0.79200000000000004</v>
      </c>
      <c r="E66" s="63" t="s">
        <v>1751</v>
      </c>
      <c r="F66" s="199"/>
      <c r="G66" s="58" t="s">
        <v>1746</v>
      </c>
      <c r="H66" s="59">
        <v>0.8</v>
      </c>
      <c r="I66" s="58">
        <f>J64*H66/100</f>
        <v>0.26400000000000001</v>
      </c>
      <c r="J66" s="202"/>
      <c r="K66" s="202"/>
      <c r="L66" s="58" t="s">
        <v>1746</v>
      </c>
      <c r="M66" s="59">
        <v>0.8</v>
      </c>
      <c r="N66" s="58">
        <f>O64*M66/100</f>
        <v>0.26400000000000001</v>
      </c>
      <c r="O66" s="202"/>
      <c r="P66" s="202"/>
      <c r="Q66" s="58" t="s">
        <v>1746</v>
      </c>
      <c r="R66" s="59">
        <v>0.8</v>
      </c>
      <c r="S66" s="58">
        <f>T64*R66/100</f>
        <v>0.26400000000000001</v>
      </c>
      <c r="T66" s="202"/>
      <c r="U66" s="58"/>
      <c r="V66" s="57"/>
      <c r="W66" s="57"/>
      <c r="X66" s="57"/>
      <c r="Y66" s="57"/>
      <c r="Z66" s="57"/>
    </row>
    <row r="67" spans="1:26" ht="15" customHeight="1">
      <c r="A67" s="195" t="s">
        <v>255</v>
      </c>
      <c r="B67" s="195" t="s">
        <v>1760</v>
      </c>
      <c r="C67" s="197">
        <v>1</v>
      </c>
      <c r="D67" s="63">
        <f t="shared" si="0"/>
        <v>34.56</v>
      </c>
      <c r="E67" s="63">
        <f>人员信息!E114</f>
        <v>0</v>
      </c>
      <c r="F67" s="197" t="s">
        <v>1743</v>
      </c>
      <c r="G67" s="56" t="s">
        <v>1752</v>
      </c>
      <c r="H67" s="59">
        <v>76.8</v>
      </c>
      <c r="I67" s="58">
        <f>J67*(H67/100)</f>
        <v>34.56</v>
      </c>
      <c r="J67" s="200">
        <v>45</v>
      </c>
      <c r="K67" s="197" t="s">
        <v>235</v>
      </c>
      <c r="L67" s="56" t="s">
        <v>1744</v>
      </c>
      <c r="M67" s="59"/>
      <c r="N67" s="58">
        <f>O67*(M67/100)</f>
        <v>0</v>
      </c>
      <c r="O67" s="200">
        <v>55</v>
      </c>
      <c r="P67" s="197" t="s">
        <v>1743</v>
      </c>
      <c r="Q67" s="56" t="s">
        <v>1744</v>
      </c>
      <c r="R67" s="59">
        <v>76.8</v>
      </c>
      <c r="S67" s="58">
        <f>T67*(R67/100)</f>
        <v>0</v>
      </c>
      <c r="T67" s="200"/>
      <c r="U67" s="57"/>
      <c r="V67" s="57"/>
      <c r="W67" s="57"/>
      <c r="X67" s="57"/>
      <c r="Y67" s="57"/>
      <c r="Z67" s="57"/>
    </row>
    <row r="68" spans="1:26" ht="15" customHeight="1">
      <c r="A68" s="195"/>
      <c r="B68" s="195"/>
      <c r="C68" s="198"/>
      <c r="D68" s="63">
        <f t="shared" ref="D68:D87" si="1">I68+N68+S68</f>
        <v>19.240000000000002</v>
      </c>
      <c r="E68" s="63">
        <f>人员信息!E115</f>
        <v>0</v>
      </c>
      <c r="F68" s="198"/>
      <c r="G68" s="58" t="s">
        <v>1745</v>
      </c>
      <c r="H68" s="59">
        <v>12.2</v>
      </c>
      <c r="I68" s="58">
        <f>J67*(H68/100)</f>
        <v>5.49</v>
      </c>
      <c r="J68" s="201"/>
      <c r="K68" s="201"/>
      <c r="L68" s="58" t="s">
        <v>1745</v>
      </c>
      <c r="M68" s="59">
        <v>25</v>
      </c>
      <c r="N68" s="58">
        <f>O67*(M68/100)</f>
        <v>13.75</v>
      </c>
      <c r="O68" s="201"/>
      <c r="P68" s="201"/>
      <c r="Q68" s="58" t="s">
        <v>1745</v>
      </c>
      <c r="R68" s="59">
        <v>12.2</v>
      </c>
      <c r="S68" s="58">
        <f>T67*(R68/100)</f>
        <v>0</v>
      </c>
      <c r="T68" s="201"/>
      <c r="U68" s="58"/>
      <c r="V68" s="57"/>
      <c r="W68" s="57"/>
      <c r="X68" s="57"/>
      <c r="Y68" s="57"/>
      <c r="Z68" s="57"/>
    </row>
    <row r="69" spans="1:26" ht="15" customHeight="1">
      <c r="A69" s="195"/>
      <c r="B69" s="195"/>
      <c r="C69" s="199"/>
      <c r="D69" s="63">
        <f t="shared" si="1"/>
        <v>0.36</v>
      </c>
      <c r="E69" s="63" t="s">
        <v>263</v>
      </c>
      <c r="F69" s="199"/>
      <c r="G69" s="58" t="s">
        <v>1746</v>
      </c>
      <c r="H69" s="59">
        <v>0.8</v>
      </c>
      <c r="I69" s="58">
        <f>J67*(H69/100)</f>
        <v>0.36</v>
      </c>
      <c r="J69" s="202"/>
      <c r="K69" s="202"/>
      <c r="L69" s="58" t="s">
        <v>1746</v>
      </c>
      <c r="M69" s="59"/>
      <c r="N69" s="58">
        <f>O67*(M69/100)</f>
        <v>0</v>
      </c>
      <c r="O69" s="202"/>
      <c r="P69" s="202"/>
      <c r="Q69" s="58" t="s">
        <v>1746</v>
      </c>
      <c r="R69" s="59">
        <v>0.8</v>
      </c>
      <c r="S69" s="58">
        <f>T67*(R69/100)</f>
        <v>0</v>
      </c>
      <c r="T69" s="202"/>
      <c r="U69" s="58"/>
      <c r="V69" s="57"/>
      <c r="W69" s="57"/>
      <c r="X69" s="57"/>
      <c r="Y69" s="57"/>
      <c r="Z69" s="57"/>
    </row>
    <row r="70" spans="1:26" ht="15" customHeight="1">
      <c r="A70" s="195"/>
      <c r="B70" s="195"/>
      <c r="C70" s="197">
        <v>2</v>
      </c>
      <c r="D70" s="63">
        <f t="shared" si="1"/>
        <v>50.688000000000002</v>
      </c>
      <c r="E70" s="63">
        <f>人员信息!E114</f>
        <v>0</v>
      </c>
      <c r="F70" s="197" t="s">
        <v>1743</v>
      </c>
      <c r="G70" s="56" t="s">
        <v>1744</v>
      </c>
      <c r="H70" s="59">
        <v>76.8</v>
      </c>
      <c r="I70" s="58">
        <f>J70*(H70/100)</f>
        <v>25.344000000000001</v>
      </c>
      <c r="J70" s="200">
        <v>33</v>
      </c>
      <c r="K70" s="197" t="s">
        <v>235</v>
      </c>
      <c r="L70" s="56" t="s">
        <v>1744</v>
      </c>
      <c r="M70" s="59"/>
      <c r="N70" s="58">
        <f>O70*(M70/100)</f>
        <v>0</v>
      </c>
      <c r="O70" s="200">
        <v>100</v>
      </c>
      <c r="P70" s="197" t="s">
        <v>1743</v>
      </c>
      <c r="Q70" s="56" t="s">
        <v>1744</v>
      </c>
      <c r="R70" s="59">
        <v>76.8</v>
      </c>
      <c r="S70" s="58">
        <f>T70*(R70/100)</f>
        <v>25.344000000000001</v>
      </c>
      <c r="T70" s="200">
        <v>33</v>
      </c>
      <c r="U70" s="57"/>
      <c r="V70" s="57"/>
      <c r="W70" s="57"/>
      <c r="X70" s="57"/>
      <c r="Y70" s="57"/>
      <c r="Z70" s="57"/>
    </row>
    <row r="71" spans="1:26" ht="15" customHeight="1">
      <c r="A71" s="195"/>
      <c r="B71" s="195"/>
      <c r="C71" s="198"/>
      <c r="D71" s="63">
        <f t="shared" si="1"/>
        <v>33.052</v>
      </c>
      <c r="E71" s="63">
        <f>人员信息!E115</f>
        <v>0</v>
      </c>
      <c r="F71" s="198"/>
      <c r="G71" s="58" t="s">
        <v>1745</v>
      </c>
      <c r="H71" s="59">
        <v>12.2</v>
      </c>
      <c r="I71" s="58">
        <f>J70*(H71/100)</f>
        <v>4.0259999999999998</v>
      </c>
      <c r="J71" s="201"/>
      <c r="K71" s="201"/>
      <c r="L71" s="58" t="s">
        <v>1745</v>
      </c>
      <c r="M71" s="59">
        <v>25</v>
      </c>
      <c r="N71" s="58">
        <f>O70*(M71/100)</f>
        <v>25</v>
      </c>
      <c r="O71" s="201"/>
      <c r="P71" s="201"/>
      <c r="Q71" s="58" t="s">
        <v>1745</v>
      </c>
      <c r="R71" s="59">
        <v>12.2</v>
      </c>
      <c r="S71" s="58">
        <f>T70*(R71/100)</f>
        <v>4.0259999999999998</v>
      </c>
      <c r="T71" s="201"/>
      <c r="U71" s="58"/>
      <c r="V71" s="57"/>
      <c r="W71" s="57"/>
      <c r="X71" s="57"/>
      <c r="Y71" s="57"/>
      <c r="Z71" s="57"/>
    </row>
    <row r="72" spans="1:26" ht="15" customHeight="1">
      <c r="A72" s="195"/>
      <c r="B72" s="195"/>
      <c r="C72" s="199"/>
      <c r="D72" s="63">
        <f t="shared" si="1"/>
        <v>0.52800000000000002</v>
      </c>
      <c r="E72" s="63" t="s">
        <v>1751</v>
      </c>
      <c r="F72" s="199"/>
      <c r="G72" s="58" t="s">
        <v>1746</v>
      </c>
      <c r="H72" s="59">
        <v>0.8</v>
      </c>
      <c r="I72" s="58">
        <f>J70*(H72/100)</f>
        <v>0.26400000000000001</v>
      </c>
      <c r="J72" s="202"/>
      <c r="K72" s="202"/>
      <c r="L72" s="58" t="s">
        <v>1746</v>
      </c>
      <c r="M72" s="59"/>
      <c r="N72" s="58">
        <f>O70*(M72/100)</f>
        <v>0</v>
      </c>
      <c r="O72" s="202"/>
      <c r="P72" s="202"/>
      <c r="Q72" s="58" t="s">
        <v>1746</v>
      </c>
      <c r="R72" s="59">
        <v>0.8</v>
      </c>
      <c r="S72" s="58">
        <f>T70*(R72/100)</f>
        <v>0.26400000000000001</v>
      </c>
      <c r="T72" s="202"/>
      <c r="U72" s="58"/>
      <c r="V72" s="57"/>
      <c r="W72" s="57"/>
      <c r="X72" s="57"/>
      <c r="Y72" s="57"/>
      <c r="Z72" s="57"/>
    </row>
    <row r="73" spans="1:26" ht="15" customHeight="1">
      <c r="A73" s="195"/>
      <c r="B73" s="195"/>
      <c r="C73" s="197">
        <v>3</v>
      </c>
      <c r="D73" s="63">
        <f t="shared" si="1"/>
        <v>76.032000000000011</v>
      </c>
      <c r="E73" s="63">
        <f>人员信息!E114</f>
        <v>0</v>
      </c>
      <c r="F73" s="197"/>
      <c r="G73" s="56" t="s">
        <v>1744</v>
      </c>
      <c r="H73" s="59">
        <v>76.8</v>
      </c>
      <c r="I73" s="58">
        <f>J73*H73/100</f>
        <v>25.344000000000001</v>
      </c>
      <c r="J73" s="200">
        <v>33</v>
      </c>
      <c r="K73" s="197"/>
      <c r="L73" s="56" t="s">
        <v>1744</v>
      </c>
      <c r="M73" s="59">
        <v>76.8</v>
      </c>
      <c r="N73" s="58">
        <f>O73*M73/100</f>
        <v>25.344000000000001</v>
      </c>
      <c r="O73" s="200">
        <v>33</v>
      </c>
      <c r="P73" s="197"/>
      <c r="Q73" s="56" t="s">
        <v>1744</v>
      </c>
      <c r="R73" s="59">
        <v>76.8</v>
      </c>
      <c r="S73" s="58">
        <f>T73*R73/100</f>
        <v>25.344000000000001</v>
      </c>
      <c r="T73" s="200">
        <v>33</v>
      </c>
      <c r="U73" s="57"/>
      <c r="V73" s="57"/>
      <c r="W73" s="57"/>
      <c r="X73" s="57"/>
      <c r="Y73" s="57"/>
      <c r="Z73" s="57"/>
    </row>
    <row r="74" spans="1:26" ht="15" customHeight="1">
      <c r="A74" s="195"/>
      <c r="B74" s="195"/>
      <c r="C74" s="198"/>
      <c r="D74" s="63">
        <f t="shared" si="1"/>
        <v>12.077999999999999</v>
      </c>
      <c r="E74" s="63">
        <f>人员信息!E115</f>
        <v>0</v>
      </c>
      <c r="F74" s="198"/>
      <c r="G74" s="58" t="s">
        <v>1745</v>
      </c>
      <c r="H74" s="59">
        <v>12.2</v>
      </c>
      <c r="I74" s="58">
        <f>J73*H74/100</f>
        <v>4.0259999999999998</v>
      </c>
      <c r="J74" s="201"/>
      <c r="K74" s="201"/>
      <c r="L74" s="58" t="s">
        <v>1745</v>
      </c>
      <c r="M74" s="59">
        <v>12.2</v>
      </c>
      <c r="N74" s="58">
        <f>O73*M74/100</f>
        <v>4.0259999999999998</v>
      </c>
      <c r="O74" s="201"/>
      <c r="P74" s="201"/>
      <c r="Q74" s="58" t="s">
        <v>1745</v>
      </c>
      <c r="R74" s="59">
        <v>12.2</v>
      </c>
      <c r="S74" s="58">
        <f>T73*R74/100</f>
        <v>4.0259999999999998</v>
      </c>
      <c r="T74" s="201"/>
      <c r="U74" s="58"/>
      <c r="V74" s="57"/>
      <c r="W74" s="57"/>
      <c r="X74" s="57"/>
      <c r="Y74" s="57"/>
      <c r="Z74" s="57"/>
    </row>
    <row r="75" spans="1:26" ht="15" customHeight="1">
      <c r="A75" s="195"/>
      <c r="B75" s="195"/>
      <c r="C75" s="199"/>
      <c r="D75" s="63">
        <f t="shared" si="1"/>
        <v>0.79200000000000004</v>
      </c>
      <c r="E75" s="63" t="s">
        <v>1751</v>
      </c>
      <c r="F75" s="199"/>
      <c r="G75" s="58" t="s">
        <v>1746</v>
      </c>
      <c r="H75" s="59">
        <v>0.8</v>
      </c>
      <c r="I75" s="58">
        <f>J73*H75/100</f>
        <v>0.26400000000000001</v>
      </c>
      <c r="J75" s="202"/>
      <c r="K75" s="202"/>
      <c r="L75" s="58" t="s">
        <v>1746</v>
      </c>
      <c r="M75" s="59">
        <v>0.8</v>
      </c>
      <c r="N75" s="58">
        <f>O73*M75/100</f>
        <v>0.26400000000000001</v>
      </c>
      <c r="O75" s="202"/>
      <c r="P75" s="202"/>
      <c r="Q75" s="58" t="s">
        <v>1746</v>
      </c>
      <c r="R75" s="59">
        <v>0.8</v>
      </c>
      <c r="S75" s="58">
        <f>T73*R75/100</f>
        <v>0.26400000000000001</v>
      </c>
      <c r="T75" s="202"/>
      <c r="U75" s="58"/>
      <c r="V75" s="57"/>
      <c r="W75" s="57"/>
      <c r="X75" s="57"/>
      <c r="Y75" s="57"/>
      <c r="Z75" s="57"/>
    </row>
    <row r="76" spans="1:26" ht="15" customHeight="1">
      <c r="A76" s="195"/>
      <c r="B76" s="195"/>
      <c r="C76" s="197">
        <v>4</v>
      </c>
      <c r="D76" s="63">
        <f t="shared" si="1"/>
        <v>0</v>
      </c>
      <c r="E76" s="63">
        <f>人员信息!E114</f>
        <v>0</v>
      </c>
      <c r="F76" s="197"/>
      <c r="G76" s="56" t="s">
        <v>1744</v>
      </c>
      <c r="H76" s="59"/>
      <c r="I76" s="58">
        <f>J76*H76/100</f>
        <v>0</v>
      </c>
      <c r="J76" s="200">
        <v>100</v>
      </c>
      <c r="K76" s="197"/>
      <c r="L76" s="56" t="s">
        <v>1744</v>
      </c>
      <c r="M76" s="59"/>
      <c r="N76" s="58">
        <f>O76*M76/100</f>
        <v>0</v>
      </c>
      <c r="O76" s="200">
        <v>100</v>
      </c>
      <c r="P76" s="197"/>
      <c r="Q76" s="56" t="s">
        <v>1744</v>
      </c>
      <c r="R76" s="59"/>
      <c r="S76" s="58">
        <f>T76*R76/100</f>
        <v>0</v>
      </c>
      <c r="T76" s="200">
        <v>100</v>
      </c>
      <c r="U76" s="57"/>
      <c r="V76" s="57"/>
      <c r="W76" s="57"/>
      <c r="X76" s="57"/>
      <c r="Y76" s="57"/>
      <c r="Z76" s="57"/>
    </row>
    <row r="77" spans="1:26" ht="15" customHeight="1">
      <c r="A77" s="195"/>
      <c r="B77" s="195"/>
      <c r="C77" s="198"/>
      <c r="D77" s="63">
        <f t="shared" si="1"/>
        <v>75</v>
      </c>
      <c r="E77" s="63">
        <f>人员信息!E115</f>
        <v>0</v>
      </c>
      <c r="F77" s="198"/>
      <c r="G77" s="58" t="s">
        <v>1745</v>
      </c>
      <c r="H77" s="59">
        <v>25</v>
      </c>
      <c r="I77" s="58">
        <f>J76*H77/100</f>
        <v>25</v>
      </c>
      <c r="J77" s="201"/>
      <c r="K77" s="201"/>
      <c r="L77" s="58" t="s">
        <v>1745</v>
      </c>
      <c r="M77" s="59">
        <v>25</v>
      </c>
      <c r="N77" s="58">
        <f>O76*M77/100</f>
        <v>25</v>
      </c>
      <c r="O77" s="201"/>
      <c r="P77" s="201"/>
      <c r="Q77" s="58" t="s">
        <v>1745</v>
      </c>
      <c r="R77" s="59">
        <v>25</v>
      </c>
      <c r="S77" s="58">
        <f>T76*R77/100</f>
        <v>25</v>
      </c>
      <c r="T77" s="201"/>
      <c r="U77" s="58"/>
      <c r="V77" s="57"/>
      <c r="W77" s="57"/>
      <c r="X77" s="57"/>
      <c r="Y77" s="57"/>
      <c r="Z77" s="57"/>
    </row>
    <row r="78" spans="1:26" ht="15" customHeight="1">
      <c r="A78" s="195"/>
      <c r="B78" s="195"/>
      <c r="C78" s="199"/>
      <c r="D78" s="63">
        <f t="shared" si="1"/>
        <v>0</v>
      </c>
      <c r="E78" s="63" t="s">
        <v>1751</v>
      </c>
      <c r="F78" s="199"/>
      <c r="G78" s="58" t="s">
        <v>1746</v>
      </c>
      <c r="H78" s="59"/>
      <c r="I78" s="58">
        <f>J76*H78/100</f>
        <v>0</v>
      </c>
      <c r="J78" s="202"/>
      <c r="K78" s="202"/>
      <c r="L78" s="58" t="s">
        <v>1746</v>
      </c>
      <c r="M78" s="59"/>
      <c r="N78" s="58">
        <f>O76*M78/100</f>
        <v>0</v>
      </c>
      <c r="O78" s="202"/>
      <c r="P78" s="202"/>
      <c r="Q78" s="58" t="s">
        <v>1746</v>
      </c>
      <c r="R78" s="59"/>
      <c r="S78" s="58">
        <f>T76*R78/100</f>
        <v>0</v>
      </c>
      <c r="T78" s="202"/>
      <c r="U78" s="58"/>
      <c r="V78" s="57"/>
      <c r="W78" s="57"/>
      <c r="X78" s="57"/>
      <c r="Y78" s="57"/>
      <c r="Z78" s="57"/>
    </row>
    <row r="79" spans="1:26" ht="15" customHeight="1">
      <c r="A79" s="195"/>
      <c r="B79" s="195"/>
      <c r="C79" s="197">
        <v>5</v>
      </c>
      <c r="D79" s="63">
        <f t="shared" si="1"/>
        <v>76.032000000000011</v>
      </c>
      <c r="E79" s="63">
        <f>人员信息!E114</f>
        <v>0</v>
      </c>
      <c r="F79" s="197"/>
      <c r="G79" s="56" t="s">
        <v>1744</v>
      </c>
      <c r="H79" s="59">
        <v>76.8</v>
      </c>
      <c r="I79" s="58">
        <f>J79*H79/100</f>
        <v>25.344000000000001</v>
      </c>
      <c r="J79" s="200">
        <v>33</v>
      </c>
      <c r="K79" s="197"/>
      <c r="L79" s="56" t="s">
        <v>1744</v>
      </c>
      <c r="M79" s="59">
        <v>76.8</v>
      </c>
      <c r="N79" s="58">
        <f>O79*M79/100</f>
        <v>25.344000000000001</v>
      </c>
      <c r="O79" s="200">
        <v>33</v>
      </c>
      <c r="P79" s="197"/>
      <c r="Q79" s="56" t="s">
        <v>1744</v>
      </c>
      <c r="R79" s="59">
        <v>76.8</v>
      </c>
      <c r="S79" s="58">
        <f>T79*R79/100</f>
        <v>25.344000000000001</v>
      </c>
      <c r="T79" s="200">
        <v>33</v>
      </c>
      <c r="U79" s="57"/>
      <c r="V79" s="57"/>
      <c r="W79" s="57"/>
      <c r="X79" s="57"/>
      <c r="Y79" s="57"/>
      <c r="Z79" s="57"/>
    </row>
    <row r="80" spans="1:26" ht="15" customHeight="1">
      <c r="A80" s="195"/>
      <c r="B80" s="195"/>
      <c r="C80" s="198"/>
      <c r="D80" s="63">
        <f t="shared" si="1"/>
        <v>12.077999999999999</v>
      </c>
      <c r="E80" s="63">
        <f>人员信息!E115</f>
        <v>0</v>
      </c>
      <c r="F80" s="198"/>
      <c r="G80" s="58" t="s">
        <v>1745</v>
      </c>
      <c r="H80" s="59">
        <v>12.2</v>
      </c>
      <c r="I80" s="58">
        <f>J79*H80/100</f>
        <v>4.0259999999999998</v>
      </c>
      <c r="J80" s="201"/>
      <c r="K80" s="201"/>
      <c r="L80" s="58" t="s">
        <v>1745</v>
      </c>
      <c r="M80" s="59">
        <v>12.2</v>
      </c>
      <c r="N80" s="58">
        <f>O79*M80/100</f>
        <v>4.0259999999999998</v>
      </c>
      <c r="O80" s="201"/>
      <c r="P80" s="201"/>
      <c r="Q80" s="58" t="s">
        <v>1745</v>
      </c>
      <c r="R80" s="59">
        <v>12.2</v>
      </c>
      <c r="S80" s="58">
        <f>T79*R80/100</f>
        <v>4.0259999999999998</v>
      </c>
      <c r="T80" s="201"/>
      <c r="U80" s="58"/>
      <c r="V80" s="57"/>
      <c r="W80" s="57"/>
      <c r="X80" s="57"/>
      <c r="Y80" s="57"/>
      <c r="Z80" s="57"/>
    </row>
    <row r="81" spans="1:26" ht="15" customHeight="1">
      <c r="A81" s="195"/>
      <c r="B81" s="195"/>
      <c r="C81" s="199"/>
      <c r="D81" s="63">
        <f t="shared" si="1"/>
        <v>0.79200000000000004</v>
      </c>
      <c r="E81" s="63" t="s">
        <v>1751</v>
      </c>
      <c r="F81" s="199"/>
      <c r="G81" s="58" t="s">
        <v>1746</v>
      </c>
      <c r="H81" s="59">
        <v>0.8</v>
      </c>
      <c r="I81" s="58">
        <f>J79*H81/100</f>
        <v>0.26400000000000001</v>
      </c>
      <c r="J81" s="202"/>
      <c r="K81" s="202"/>
      <c r="L81" s="58" t="s">
        <v>1746</v>
      </c>
      <c r="M81" s="59">
        <v>0.8</v>
      </c>
      <c r="N81" s="58">
        <f>O79*M81/100</f>
        <v>0.26400000000000001</v>
      </c>
      <c r="O81" s="202"/>
      <c r="P81" s="202"/>
      <c r="Q81" s="58" t="s">
        <v>1746</v>
      </c>
      <c r="R81" s="59">
        <v>0.8</v>
      </c>
      <c r="S81" s="58">
        <f>T79*R81/100</f>
        <v>0.26400000000000001</v>
      </c>
      <c r="T81" s="202"/>
      <c r="U81" s="58"/>
      <c r="V81" s="57"/>
      <c r="W81" s="57"/>
      <c r="X81" s="57"/>
      <c r="Y81" s="57"/>
      <c r="Z81" s="57"/>
    </row>
    <row r="82" spans="1:26" ht="15" customHeight="1">
      <c r="A82" s="195"/>
      <c r="B82" s="195"/>
      <c r="C82" s="197">
        <v>6</v>
      </c>
      <c r="D82" s="63">
        <f t="shared" si="1"/>
        <v>0</v>
      </c>
      <c r="E82" s="63">
        <f>人员信息!E114</f>
        <v>0</v>
      </c>
      <c r="F82" s="197"/>
      <c r="G82" s="56" t="s">
        <v>1744</v>
      </c>
      <c r="H82" s="59"/>
      <c r="I82" s="58">
        <f>J82*H82/100</f>
        <v>0</v>
      </c>
      <c r="J82" s="200">
        <v>100</v>
      </c>
      <c r="K82" s="197"/>
      <c r="L82" s="56" t="s">
        <v>1744</v>
      </c>
      <c r="M82" s="59"/>
      <c r="N82" s="58">
        <f>O82*M82/100</f>
        <v>0</v>
      </c>
      <c r="O82" s="200">
        <v>100</v>
      </c>
      <c r="P82" s="197"/>
      <c r="Q82" s="56" t="s">
        <v>1744</v>
      </c>
      <c r="R82" s="59"/>
      <c r="S82" s="58">
        <f>T82*R82/100</f>
        <v>0</v>
      </c>
      <c r="T82" s="200">
        <v>100</v>
      </c>
      <c r="U82" s="57"/>
      <c r="V82" s="57"/>
      <c r="W82" s="57"/>
      <c r="X82" s="57"/>
      <c r="Y82" s="57"/>
      <c r="Z82" s="57"/>
    </row>
    <row r="83" spans="1:26" ht="15" customHeight="1">
      <c r="A83" s="195"/>
      <c r="B83" s="195"/>
      <c r="C83" s="198"/>
      <c r="D83" s="63">
        <f t="shared" si="1"/>
        <v>75</v>
      </c>
      <c r="E83" s="63">
        <f>人员信息!E115</f>
        <v>0</v>
      </c>
      <c r="F83" s="198"/>
      <c r="G83" s="58" t="s">
        <v>1745</v>
      </c>
      <c r="H83" s="59">
        <v>25</v>
      </c>
      <c r="I83" s="58">
        <f>J82*H83/100</f>
        <v>25</v>
      </c>
      <c r="J83" s="201"/>
      <c r="K83" s="201"/>
      <c r="L83" s="58" t="s">
        <v>1745</v>
      </c>
      <c r="M83" s="59">
        <v>25</v>
      </c>
      <c r="N83" s="58">
        <f>O82*M83/100</f>
        <v>25</v>
      </c>
      <c r="O83" s="201"/>
      <c r="P83" s="201"/>
      <c r="Q83" s="58" t="s">
        <v>1745</v>
      </c>
      <c r="R83" s="59">
        <v>25</v>
      </c>
      <c r="S83" s="58">
        <f>T82*R83/100</f>
        <v>25</v>
      </c>
      <c r="T83" s="201"/>
      <c r="U83" s="58"/>
      <c r="V83" s="57"/>
      <c r="W83" s="57"/>
      <c r="X83" s="57"/>
      <c r="Y83" s="57"/>
      <c r="Z83" s="57"/>
    </row>
    <row r="84" spans="1:26" ht="15" customHeight="1">
      <c r="A84" s="195"/>
      <c r="B84" s="195"/>
      <c r="C84" s="199"/>
      <c r="D84" s="63">
        <f t="shared" si="1"/>
        <v>0</v>
      </c>
      <c r="E84" s="63" t="s">
        <v>1751</v>
      </c>
      <c r="F84" s="199"/>
      <c r="G84" s="58" t="s">
        <v>1746</v>
      </c>
      <c r="H84" s="59"/>
      <c r="I84" s="58">
        <f>J82*H84/100</f>
        <v>0</v>
      </c>
      <c r="J84" s="202"/>
      <c r="K84" s="202"/>
      <c r="L84" s="58" t="s">
        <v>1746</v>
      </c>
      <c r="M84" s="59"/>
      <c r="N84" s="58">
        <f>O82*M84/100</f>
        <v>0</v>
      </c>
      <c r="O84" s="202"/>
      <c r="P84" s="202"/>
      <c r="Q84" s="58" t="s">
        <v>1746</v>
      </c>
      <c r="R84" s="59"/>
      <c r="S84" s="58">
        <f>T82*R84/100</f>
        <v>0</v>
      </c>
      <c r="T84" s="202"/>
      <c r="U84" s="58"/>
      <c r="V84" s="57"/>
      <c r="W84" s="57"/>
      <c r="X84" s="57"/>
      <c r="Y84" s="57"/>
      <c r="Z84" s="57"/>
    </row>
    <row r="85" spans="1:26" ht="15" customHeight="1">
      <c r="A85" s="195"/>
      <c r="B85" s="195"/>
      <c r="C85" s="197">
        <v>7</v>
      </c>
      <c r="D85" s="63">
        <f t="shared" si="1"/>
        <v>76.032000000000011</v>
      </c>
      <c r="E85" s="63">
        <f>人员信息!E114</f>
        <v>0</v>
      </c>
      <c r="F85" s="197"/>
      <c r="G85" s="56" t="s">
        <v>1744</v>
      </c>
      <c r="H85" s="59">
        <v>76.8</v>
      </c>
      <c r="I85" s="58">
        <f>J85*H85/100</f>
        <v>25.344000000000001</v>
      </c>
      <c r="J85" s="200">
        <v>33</v>
      </c>
      <c r="K85" s="197"/>
      <c r="L85" s="56" t="s">
        <v>1744</v>
      </c>
      <c r="M85" s="59">
        <v>76.8</v>
      </c>
      <c r="N85" s="58">
        <f>O85*M85/100</f>
        <v>25.344000000000001</v>
      </c>
      <c r="O85" s="200">
        <v>33</v>
      </c>
      <c r="P85" s="197"/>
      <c r="Q85" s="56" t="s">
        <v>1744</v>
      </c>
      <c r="R85" s="59">
        <v>76.8</v>
      </c>
      <c r="S85" s="58">
        <f>T85*R85/100</f>
        <v>25.344000000000001</v>
      </c>
      <c r="T85" s="200">
        <v>33</v>
      </c>
      <c r="U85" s="57"/>
      <c r="V85" s="57"/>
      <c r="W85" s="57"/>
      <c r="X85" s="57"/>
      <c r="Y85" s="57"/>
      <c r="Z85" s="57"/>
    </row>
    <row r="86" spans="1:26" ht="15" customHeight="1">
      <c r="A86" s="195"/>
      <c r="B86" s="195"/>
      <c r="C86" s="198"/>
      <c r="D86" s="63">
        <f t="shared" si="1"/>
        <v>12.077999999999999</v>
      </c>
      <c r="E86" s="63">
        <f>人员信息!E115</f>
        <v>0</v>
      </c>
      <c r="F86" s="198"/>
      <c r="G86" s="58" t="s">
        <v>1745</v>
      </c>
      <c r="H86" s="59">
        <v>12.2</v>
      </c>
      <c r="I86" s="58">
        <f>J85*H86/100</f>
        <v>4.0259999999999998</v>
      </c>
      <c r="J86" s="201"/>
      <c r="K86" s="201"/>
      <c r="L86" s="58" t="s">
        <v>1745</v>
      </c>
      <c r="M86" s="59">
        <v>12.2</v>
      </c>
      <c r="N86" s="58">
        <f>O85*M86/100</f>
        <v>4.0259999999999998</v>
      </c>
      <c r="O86" s="201"/>
      <c r="P86" s="201"/>
      <c r="Q86" s="58" t="s">
        <v>1745</v>
      </c>
      <c r="R86" s="59">
        <v>12.2</v>
      </c>
      <c r="S86" s="58">
        <f>T85*R86/100</f>
        <v>4.0259999999999998</v>
      </c>
      <c r="T86" s="201"/>
      <c r="U86" s="58"/>
      <c r="V86" s="57"/>
      <c r="W86" s="57"/>
      <c r="X86" s="57"/>
      <c r="Y86" s="57"/>
      <c r="Z86" s="57"/>
    </row>
    <row r="87" spans="1:26" ht="15" customHeight="1">
      <c r="A87" s="195"/>
      <c r="B87" s="195"/>
      <c r="C87" s="199"/>
      <c r="D87" s="63">
        <f t="shared" si="1"/>
        <v>0.79200000000000004</v>
      </c>
      <c r="E87" s="63" t="s">
        <v>1751</v>
      </c>
      <c r="F87" s="199"/>
      <c r="G87" s="58" t="s">
        <v>1746</v>
      </c>
      <c r="H87" s="59">
        <v>0.8</v>
      </c>
      <c r="I87" s="58">
        <f>J85*H87/100</f>
        <v>0.26400000000000001</v>
      </c>
      <c r="J87" s="202"/>
      <c r="K87" s="202"/>
      <c r="L87" s="58" t="s">
        <v>1746</v>
      </c>
      <c r="M87" s="59">
        <v>0.8</v>
      </c>
      <c r="N87" s="58">
        <f>O85*M87/100</f>
        <v>0.26400000000000001</v>
      </c>
      <c r="O87" s="202"/>
      <c r="P87" s="202"/>
      <c r="Q87" s="58" t="s">
        <v>1746</v>
      </c>
      <c r="R87" s="59">
        <v>0.8</v>
      </c>
      <c r="S87" s="58">
        <f>T85*R87/100</f>
        <v>0.26400000000000001</v>
      </c>
      <c r="T87" s="202"/>
      <c r="U87" s="58"/>
      <c r="V87" s="57"/>
      <c r="W87" s="57"/>
      <c r="X87" s="57"/>
      <c r="Y87" s="57"/>
      <c r="Z87" s="57"/>
    </row>
    <row r="88" spans="1:26" ht="15" customHeight="1">
      <c r="A88" s="203" t="s">
        <v>154</v>
      </c>
      <c r="B88" s="203"/>
      <c r="C88" s="203"/>
      <c r="D88" s="203"/>
      <c r="E88" s="203"/>
      <c r="F88" s="203"/>
      <c r="G88" s="203"/>
      <c r="H88" s="203"/>
      <c r="I88" s="203"/>
      <c r="J88" s="203"/>
      <c r="K88" s="203"/>
      <c r="L88" s="203"/>
      <c r="M88" s="203"/>
      <c r="N88" s="203"/>
      <c r="O88" s="203"/>
      <c r="P88" s="203"/>
      <c r="Q88" s="203"/>
      <c r="R88" s="203"/>
      <c r="S88" s="203"/>
      <c r="T88" s="203"/>
      <c r="U88" s="203"/>
      <c r="V88" s="203"/>
      <c r="W88" s="203"/>
      <c r="X88" s="203"/>
      <c r="Y88" s="203"/>
      <c r="Z88" s="203"/>
    </row>
    <row r="89" spans="1:26" ht="15" customHeight="1">
      <c r="A89" s="204" t="s">
        <v>155</v>
      </c>
      <c r="B89" s="204"/>
      <c r="C89" s="204"/>
      <c r="D89" s="204"/>
      <c r="E89" s="204"/>
      <c r="F89" s="204"/>
      <c r="G89" s="204"/>
      <c r="H89" s="204"/>
      <c r="I89" s="204"/>
      <c r="J89" s="204"/>
      <c r="K89" s="204"/>
      <c r="L89" s="204"/>
      <c r="M89" s="204"/>
      <c r="N89" s="204"/>
      <c r="O89" s="204"/>
      <c r="P89" s="204"/>
      <c r="Q89" s="204"/>
      <c r="R89" s="204"/>
      <c r="S89" s="204"/>
      <c r="T89" s="204"/>
      <c r="U89" s="204"/>
      <c r="V89" s="204"/>
      <c r="W89" s="204"/>
      <c r="X89" s="204"/>
      <c r="Y89" s="204"/>
      <c r="Z89" s="204"/>
    </row>
  </sheetData>
  <mergeCells count="211">
    <mergeCell ref="T85:T87"/>
    <mergeCell ref="A88:Z88"/>
    <mergeCell ref="A89:Z89"/>
    <mergeCell ref="C85:C87"/>
    <mergeCell ref="F85:F87"/>
    <mergeCell ref="J85:J87"/>
    <mergeCell ref="K85:K87"/>
    <mergeCell ref="O85:O87"/>
    <mergeCell ref="P85:P87"/>
    <mergeCell ref="A67:A87"/>
    <mergeCell ref="B67:B87"/>
    <mergeCell ref="T79:T81"/>
    <mergeCell ref="C82:C84"/>
    <mergeCell ref="F82:F84"/>
    <mergeCell ref="J82:J84"/>
    <mergeCell ref="K82:K84"/>
    <mergeCell ref="O82:O84"/>
    <mergeCell ref="P82:P84"/>
    <mergeCell ref="T82:T84"/>
    <mergeCell ref="C79:C81"/>
    <mergeCell ref="F79:F81"/>
    <mergeCell ref="J79:J81"/>
    <mergeCell ref="K79:K81"/>
    <mergeCell ref="O79:O81"/>
    <mergeCell ref="P79:P81"/>
    <mergeCell ref="O73:O75"/>
    <mergeCell ref="P73:P75"/>
    <mergeCell ref="T73:T75"/>
    <mergeCell ref="C76:C78"/>
    <mergeCell ref="F76:F78"/>
    <mergeCell ref="J76:J78"/>
    <mergeCell ref="K76:K78"/>
    <mergeCell ref="O76:O78"/>
    <mergeCell ref="P76:P78"/>
    <mergeCell ref="T76:T78"/>
    <mergeCell ref="C73:C75"/>
    <mergeCell ref="F73:F75"/>
    <mergeCell ref="J73:J75"/>
    <mergeCell ref="K73:K75"/>
    <mergeCell ref="O67:O69"/>
    <mergeCell ref="P67:P69"/>
    <mergeCell ref="T67:T69"/>
    <mergeCell ref="C70:C72"/>
    <mergeCell ref="F70:F72"/>
    <mergeCell ref="J70:J72"/>
    <mergeCell ref="K70:K72"/>
    <mergeCell ref="O70:O72"/>
    <mergeCell ref="P70:P72"/>
    <mergeCell ref="T70:T72"/>
    <mergeCell ref="C67:C69"/>
    <mergeCell ref="F67:F69"/>
    <mergeCell ref="J67:J69"/>
    <mergeCell ref="K67:K69"/>
    <mergeCell ref="T61:T63"/>
    <mergeCell ref="C64:C66"/>
    <mergeCell ref="F64:F66"/>
    <mergeCell ref="J64:J66"/>
    <mergeCell ref="K64:K66"/>
    <mergeCell ref="O64:O66"/>
    <mergeCell ref="P64:P66"/>
    <mergeCell ref="T64:T66"/>
    <mergeCell ref="C61:C63"/>
    <mergeCell ref="F61:F63"/>
    <mergeCell ref="J61:J63"/>
    <mergeCell ref="K61:K63"/>
    <mergeCell ref="O61:O63"/>
    <mergeCell ref="P61:P63"/>
    <mergeCell ref="C58:C60"/>
    <mergeCell ref="F58:F60"/>
    <mergeCell ref="J58:J60"/>
    <mergeCell ref="K58:K60"/>
    <mergeCell ref="O58:O60"/>
    <mergeCell ref="P58:P60"/>
    <mergeCell ref="T58:T60"/>
    <mergeCell ref="C55:C57"/>
    <mergeCell ref="F55:F57"/>
    <mergeCell ref="J55:J57"/>
    <mergeCell ref="K55:K57"/>
    <mergeCell ref="O55:O57"/>
    <mergeCell ref="P55:P57"/>
    <mergeCell ref="P52:P54"/>
    <mergeCell ref="T52:T54"/>
    <mergeCell ref="C49:C51"/>
    <mergeCell ref="F49:F51"/>
    <mergeCell ref="J49:J51"/>
    <mergeCell ref="K49:K51"/>
    <mergeCell ref="O49:O51"/>
    <mergeCell ref="P49:P51"/>
    <mergeCell ref="T55:T57"/>
    <mergeCell ref="T43:T45"/>
    <mergeCell ref="A46:A66"/>
    <mergeCell ref="B46:B66"/>
    <mergeCell ref="C46:C48"/>
    <mergeCell ref="F46:F48"/>
    <mergeCell ref="J46:J48"/>
    <mergeCell ref="K46:K48"/>
    <mergeCell ref="O46:O48"/>
    <mergeCell ref="P46:P48"/>
    <mergeCell ref="T46:T48"/>
    <mergeCell ref="C43:C45"/>
    <mergeCell ref="F43:F45"/>
    <mergeCell ref="J43:J45"/>
    <mergeCell ref="K43:K45"/>
    <mergeCell ref="O43:O45"/>
    <mergeCell ref="P43:P45"/>
    <mergeCell ref="A25:A45"/>
    <mergeCell ref="B25:B45"/>
    <mergeCell ref="T49:T51"/>
    <mergeCell ref="C52:C54"/>
    <mergeCell ref="F52:F54"/>
    <mergeCell ref="J52:J54"/>
    <mergeCell ref="K52:K54"/>
    <mergeCell ref="O52:O54"/>
    <mergeCell ref="T37:T39"/>
    <mergeCell ref="C40:C42"/>
    <mergeCell ref="F40:F42"/>
    <mergeCell ref="J40:J42"/>
    <mergeCell ref="K40:K42"/>
    <mergeCell ref="O40:O42"/>
    <mergeCell ref="P40:P42"/>
    <mergeCell ref="T40:T42"/>
    <mergeCell ref="C37:C39"/>
    <mergeCell ref="F37:F39"/>
    <mergeCell ref="J37:J39"/>
    <mergeCell ref="K37:K39"/>
    <mergeCell ref="O37:O39"/>
    <mergeCell ref="P37:P39"/>
    <mergeCell ref="O31:O33"/>
    <mergeCell ref="P31:P33"/>
    <mergeCell ref="T31:T33"/>
    <mergeCell ref="C34:C36"/>
    <mergeCell ref="F34:F36"/>
    <mergeCell ref="J34:J36"/>
    <mergeCell ref="K34:K36"/>
    <mergeCell ref="O34:O36"/>
    <mergeCell ref="P34:P36"/>
    <mergeCell ref="T34:T36"/>
    <mergeCell ref="C31:C33"/>
    <mergeCell ref="F31:F33"/>
    <mergeCell ref="J31:J33"/>
    <mergeCell ref="K31:K33"/>
    <mergeCell ref="O25:O27"/>
    <mergeCell ref="P25:P27"/>
    <mergeCell ref="T25:T27"/>
    <mergeCell ref="C28:C30"/>
    <mergeCell ref="F28:F30"/>
    <mergeCell ref="J28:J30"/>
    <mergeCell ref="K28:K30"/>
    <mergeCell ref="O28:O30"/>
    <mergeCell ref="P28:P30"/>
    <mergeCell ref="T28:T30"/>
    <mergeCell ref="C25:C27"/>
    <mergeCell ref="F25:F27"/>
    <mergeCell ref="J25:J27"/>
    <mergeCell ref="K25:K27"/>
    <mergeCell ref="T19:T21"/>
    <mergeCell ref="C22:C24"/>
    <mergeCell ref="F22:F24"/>
    <mergeCell ref="J22:J24"/>
    <mergeCell ref="K22:K24"/>
    <mergeCell ref="O22:O24"/>
    <mergeCell ref="P22:P24"/>
    <mergeCell ref="T22:T24"/>
    <mergeCell ref="C19:C21"/>
    <mergeCell ref="F19:F21"/>
    <mergeCell ref="J19:J21"/>
    <mergeCell ref="K19:K21"/>
    <mergeCell ref="O19:O21"/>
    <mergeCell ref="P19:P21"/>
    <mergeCell ref="J7:J9"/>
    <mergeCell ref="K7:K9"/>
    <mergeCell ref="O7:O9"/>
    <mergeCell ref="P7:P9"/>
    <mergeCell ref="T13:T15"/>
    <mergeCell ref="C16:C18"/>
    <mergeCell ref="F16:F18"/>
    <mergeCell ref="J16:J18"/>
    <mergeCell ref="K16:K18"/>
    <mergeCell ref="O16:O18"/>
    <mergeCell ref="P16:P18"/>
    <mergeCell ref="T16:T18"/>
    <mergeCell ref="C13:C15"/>
    <mergeCell ref="F13:F15"/>
    <mergeCell ref="J13:J15"/>
    <mergeCell ref="K13:K15"/>
    <mergeCell ref="O13:O15"/>
    <mergeCell ref="P13:P15"/>
    <mergeCell ref="A1:Z1"/>
    <mergeCell ref="A2:Z2"/>
    <mergeCell ref="I3:J3"/>
    <mergeCell ref="N3:O3"/>
    <mergeCell ref="S3:T3"/>
    <mergeCell ref="A4:A24"/>
    <mergeCell ref="B4:B24"/>
    <mergeCell ref="C4:C6"/>
    <mergeCell ref="F4:F6"/>
    <mergeCell ref="J4:J6"/>
    <mergeCell ref="T7:T9"/>
    <mergeCell ref="C10:C12"/>
    <mergeCell ref="F10:F12"/>
    <mergeCell ref="J10:J12"/>
    <mergeCell ref="K10:K12"/>
    <mergeCell ref="O10:O12"/>
    <mergeCell ref="P10:P12"/>
    <mergeCell ref="T10:T12"/>
    <mergeCell ref="K4:K6"/>
    <mergeCell ref="O4:O6"/>
    <mergeCell ref="P4:P6"/>
    <mergeCell ref="T4:T6"/>
    <mergeCell ref="C7:C9"/>
    <mergeCell ref="F7:F9"/>
  </mergeCells>
  <phoneticPr fontId="16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K29"/>
  <sheetViews>
    <sheetView zoomScale="140" zoomScaleNormal="140" workbookViewId="0">
      <selection activeCell="E46" sqref="E46"/>
    </sheetView>
  </sheetViews>
  <sheetFormatPr defaultColWidth="9" defaultRowHeight="15" customHeight="1"/>
  <cols>
    <col min="1" max="1" width="17.5" style="12" customWidth="1"/>
    <col min="2" max="2" width="24" style="12" customWidth="1"/>
    <col min="3" max="3" width="6.625" style="12" customWidth="1"/>
    <col min="4" max="4" width="6.25" style="12" customWidth="1"/>
    <col min="5" max="5" width="4.5" style="12" customWidth="1"/>
    <col min="6" max="6" width="34.25" style="12" customWidth="1"/>
    <col min="7" max="7" width="6.625" style="12" customWidth="1"/>
    <col min="8" max="8" width="6.25" style="12" customWidth="1"/>
    <col min="9" max="9" width="5" style="12" customWidth="1"/>
    <col min="10" max="10" width="39.875" style="12" customWidth="1"/>
    <col min="11" max="11" width="38.375" style="12" customWidth="1"/>
    <col min="12" max="16384" width="9" style="12"/>
  </cols>
  <sheetData>
    <row r="1" spans="1:11" ht="15" customHeight="1">
      <c r="A1" s="216" t="s">
        <v>256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</row>
    <row r="2" spans="1:11" ht="15" customHeight="1">
      <c r="A2" s="208" t="s">
        <v>141</v>
      </c>
      <c r="B2" s="208"/>
      <c r="C2" s="219"/>
      <c r="D2" s="219"/>
      <c r="E2" s="219"/>
      <c r="F2" s="219"/>
      <c r="G2" s="219"/>
      <c r="H2" s="219"/>
      <c r="I2" s="219"/>
      <c r="J2" s="208"/>
      <c r="K2" s="208"/>
    </row>
    <row r="3" spans="1:11" ht="15" customHeight="1">
      <c r="A3" s="7" t="s">
        <v>142</v>
      </c>
      <c r="B3" s="8" t="s">
        <v>143</v>
      </c>
      <c r="C3" s="208" t="s">
        <v>9</v>
      </c>
      <c r="D3" s="208"/>
      <c r="E3" s="208"/>
      <c r="F3" s="208"/>
      <c r="G3" s="205" t="s">
        <v>10</v>
      </c>
      <c r="H3" s="226"/>
      <c r="I3" s="226"/>
      <c r="J3" s="206"/>
      <c r="K3" s="7" t="s">
        <v>14</v>
      </c>
    </row>
    <row r="4" spans="1:11" ht="34.950000000000003" customHeight="1">
      <c r="A4" s="216" t="s">
        <v>257</v>
      </c>
      <c r="B4" s="220" t="s">
        <v>1755</v>
      </c>
      <c r="C4" s="7" t="s">
        <v>144</v>
      </c>
      <c r="D4" s="7" t="s">
        <v>145</v>
      </c>
      <c r="E4" s="7" t="s">
        <v>146</v>
      </c>
      <c r="F4" s="7" t="s">
        <v>147</v>
      </c>
      <c r="G4" s="7" t="s">
        <v>144</v>
      </c>
      <c r="H4" s="7" t="s">
        <v>145</v>
      </c>
      <c r="I4" s="7" t="s">
        <v>146</v>
      </c>
      <c r="J4" s="7" t="s">
        <v>147</v>
      </c>
      <c r="K4" s="221" t="s">
        <v>148</v>
      </c>
    </row>
    <row r="5" spans="1:11" ht="16.95" customHeight="1">
      <c r="A5" s="208"/>
      <c r="B5" s="221"/>
      <c r="C5" s="208">
        <v>20</v>
      </c>
      <c r="D5" s="207" t="e">
        <f>D26*C5/100</f>
        <v>#REF!</v>
      </c>
      <c r="E5" s="7">
        <v>1</v>
      </c>
      <c r="F5" s="10"/>
      <c r="G5" s="208">
        <v>20</v>
      </c>
      <c r="H5" s="207" t="e">
        <f>H26*G5/100</f>
        <v>#REF!</v>
      </c>
      <c r="I5" s="7">
        <v>1</v>
      </c>
      <c r="J5" s="7"/>
      <c r="K5" s="221"/>
    </row>
    <row r="6" spans="1:11" ht="16.95" customHeight="1">
      <c r="A6" s="208"/>
      <c r="B6" s="221"/>
      <c r="C6" s="225"/>
      <c r="D6" s="207"/>
      <c r="E6" s="7">
        <v>2</v>
      </c>
      <c r="F6" s="7"/>
      <c r="G6" s="225"/>
      <c r="H6" s="207"/>
      <c r="I6" s="7">
        <v>2</v>
      </c>
      <c r="J6" s="7"/>
      <c r="K6" s="221"/>
    </row>
    <row r="7" spans="1:11" ht="16.95" customHeight="1">
      <c r="A7" s="208"/>
      <c r="B7" s="221"/>
      <c r="C7" s="225"/>
      <c r="D7" s="207"/>
      <c r="E7" s="7">
        <v>3</v>
      </c>
      <c r="F7" s="7"/>
      <c r="G7" s="225"/>
      <c r="H7" s="207"/>
      <c r="I7" s="7">
        <v>3</v>
      </c>
      <c r="J7" s="7"/>
      <c r="K7" s="221"/>
    </row>
    <row r="8" spans="1:11" ht="16.95" customHeight="1">
      <c r="A8" s="208"/>
      <c r="B8" s="221"/>
      <c r="C8" s="225"/>
      <c r="D8" s="207"/>
      <c r="E8" s="7">
        <v>4</v>
      </c>
      <c r="F8" s="7"/>
      <c r="G8" s="225"/>
      <c r="H8" s="207"/>
      <c r="I8" s="7">
        <v>4</v>
      </c>
      <c r="J8" s="7"/>
      <c r="K8" s="221"/>
    </row>
    <row r="9" spans="1:11" ht="16.95" customHeight="1">
      <c r="A9" s="216" t="s">
        <v>258</v>
      </c>
      <c r="B9" s="220" t="s">
        <v>1761</v>
      </c>
      <c r="C9" s="208">
        <v>20</v>
      </c>
      <c r="D9" s="146" t="e">
        <f>D26*C9/100</f>
        <v>#REF!</v>
      </c>
      <c r="E9" s="7">
        <v>1</v>
      </c>
      <c r="F9" s="7"/>
      <c r="G9" s="208">
        <v>20</v>
      </c>
      <c r="H9" s="146" t="e">
        <f>H26*G9/100</f>
        <v>#REF!</v>
      </c>
      <c r="I9" s="7">
        <v>1</v>
      </c>
      <c r="J9" s="7"/>
      <c r="K9" s="221"/>
    </row>
    <row r="10" spans="1:11" ht="16.95" customHeight="1">
      <c r="A10" s="208"/>
      <c r="B10" s="221"/>
      <c r="C10" s="225"/>
      <c r="D10" s="147"/>
      <c r="E10" s="7">
        <v>2</v>
      </c>
      <c r="F10" s="9"/>
      <c r="G10" s="225"/>
      <c r="H10" s="147"/>
      <c r="I10" s="7">
        <v>2</v>
      </c>
      <c r="J10" s="9"/>
      <c r="K10" s="221"/>
    </row>
    <row r="11" spans="1:11" ht="16.95" customHeight="1">
      <c r="A11" s="208"/>
      <c r="B11" s="221"/>
      <c r="C11" s="225"/>
      <c r="D11" s="147"/>
      <c r="E11" s="7">
        <v>3</v>
      </c>
      <c r="F11" s="9"/>
      <c r="G11" s="225"/>
      <c r="H11" s="147"/>
      <c r="I11" s="7">
        <v>3</v>
      </c>
      <c r="J11" s="9"/>
      <c r="K11" s="221"/>
    </row>
    <row r="12" spans="1:11" ht="16.95" customHeight="1">
      <c r="A12" s="208"/>
      <c r="B12" s="221"/>
      <c r="C12" s="225"/>
      <c r="D12" s="148"/>
      <c r="E12" s="7">
        <v>4</v>
      </c>
      <c r="F12" s="9"/>
      <c r="G12" s="225"/>
      <c r="H12" s="148"/>
      <c r="I12" s="7">
        <v>4</v>
      </c>
      <c r="J12" s="9"/>
      <c r="K12" s="221"/>
    </row>
    <row r="13" spans="1:11" ht="16.95" customHeight="1">
      <c r="A13" s="216" t="s">
        <v>259</v>
      </c>
      <c r="B13" s="220" t="s">
        <v>253</v>
      </c>
      <c r="C13" s="208">
        <v>10</v>
      </c>
      <c r="D13" s="207" t="e">
        <f>D26*C13/100</f>
        <v>#REF!</v>
      </c>
      <c r="E13" s="7">
        <v>1</v>
      </c>
      <c r="F13" s="7"/>
      <c r="G13" s="208">
        <v>0</v>
      </c>
      <c r="H13" s="207" t="e">
        <f>H26*G13/100</f>
        <v>#REF!</v>
      </c>
      <c r="I13" s="7">
        <v>1</v>
      </c>
      <c r="J13" s="7"/>
      <c r="K13" s="221"/>
    </row>
    <row r="14" spans="1:11" ht="16.95" customHeight="1">
      <c r="A14" s="208"/>
      <c r="B14" s="221"/>
      <c r="C14" s="208"/>
      <c r="D14" s="207"/>
      <c r="E14" s="7">
        <v>2</v>
      </c>
      <c r="F14" s="9"/>
      <c r="G14" s="208"/>
      <c r="H14" s="207"/>
      <c r="I14" s="7">
        <v>2</v>
      </c>
      <c r="J14" s="9"/>
      <c r="K14" s="221"/>
    </row>
    <row r="15" spans="1:11" ht="16.95" customHeight="1">
      <c r="A15" s="208"/>
      <c r="B15" s="221"/>
      <c r="C15" s="208"/>
      <c r="D15" s="207"/>
      <c r="E15" s="7">
        <v>3</v>
      </c>
      <c r="F15" s="9"/>
      <c r="G15" s="208"/>
      <c r="H15" s="207"/>
      <c r="I15" s="7">
        <v>3</v>
      </c>
      <c r="J15" s="9"/>
      <c r="K15" s="221"/>
    </row>
    <row r="16" spans="1:11" ht="16.95" customHeight="1">
      <c r="A16" s="208"/>
      <c r="B16" s="221"/>
      <c r="C16" s="208"/>
      <c r="D16" s="207"/>
      <c r="E16" s="7">
        <v>4</v>
      </c>
      <c r="F16" s="9"/>
      <c r="G16" s="208"/>
      <c r="H16" s="207"/>
      <c r="I16" s="7">
        <v>4</v>
      </c>
      <c r="J16" s="9"/>
      <c r="K16" s="221"/>
    </row>
    <row r="17" spans="1:11" ht="16.95" customHeight="1">
      <c r="A17" s="217" t="s">
        <v>260</v>
      </c>
      <c r="B17" s="222" t="s">
        <v>1763</v>
      </c>
      <c r="C17" s="219">
        <v>40</v>
      </c>
      <c r="D17" s="146" t="e">
        <f>D26*C17/100</f>
        <v>#REF!</v>
      </c>
      <c r="E17" s="7">
        <v>1</v>
      </c>
      <c r="F17" s="9"/>
      <c r="G17" s="208">
        <v>40</v>
      </c>
      <c r="H17" s="146" t="e">
        <f>H26*G17/100</f>
        <v>#REF!</v>
      </c>
      <c r="I17" s="7">
        <v>1</v>
      </c>
      <c r="J17" s="9"/>
      <c r="K17" s="221"/>
    </row>
    <row r="18" spans="1:11" ht="16.95" customHeight="1">
      <c r="A18" s="218"/>
      <c r="B18" s="223"/>
      <c r="C18" s="218"/>
      <c r="D18" s="147"/>
      <c r="E18" s="7">
        <v>2</v>
      </c>
      <c r="F18" s="9"/>
      <c r="G18" s="208"/>
      <c r="H18" s="147"/>
      <c r="I18" s="7">
        <v>2</v>
      </c>
      <c r="J18" s="9"/>
      <c r="K18" s="221"/>
    </row>
    <row r="19" spans="1:11" ht="16.95" customHeight="1">
      <c r="A19" s="218"/>
      <c r="B19" s="223"/>
      <c r="C19" s="218"/>
      <c r="D19" s="147"/>
      <c r="E19" s="7">
        <v>3</v>
      </c>
      <c r="F19" s="9"/>
      <c r="G19" s="208"/>
      <c r="H19" s="147"/>
      <c r="I19" s="7">
        <v>3</v>
      </c>
      <c r="J19" s="9"/>
      <c r="K19" s="221"/>
    </row>
    <row r="20" spans="1:11" ht="16.95" customHeight="1">
      <c r="A20" s="218"/>
      <c r="B20" s="224"/>
      <c r="C20" s="228"/>
      <c r="D20" s="148"/>
      <c r="E20" s="7">
        <v>4</v>
      </c>
      <c r="F20" s="9"/>
      <c r="G20" s="208"/>
      <c r="H20" s="148"/>
      <c r="I20" s="7">
        <v>4</v>
      </c>
      <c r="J20" s="9"/>
      <c r="K20" s="221"/>
    </row>
    <row r="21" spans="1:11" ht="15" customHeight="1">
      <c r="A21" s="219" t="s">
        <v>136</v>
      </c>
      <c r="B21" s="220" t="s">
        <v>1762</v>
      </c>
      <c r="C21" s="208">
        <v>10</v>
      </c>
      <c r="D21" s="207" t="e">
        <f>D26*C21/100</f>
        <v>#REF!</v>
      </c>
      <c r="E21" s="208" t="s">
        <v>149</v>
      </c>
      <c r="F21" s="208"/>
      <c r="G21" s="208">
        <v>20</v>
      </c>
      <c r="H21" s="207" t="e">
        <f>H26*G21/100</f>
        <v>#REF!</v>
      </c>
      <c r="I21" s="209" t="s">
        <v>150</v>
      </c>
      <c r="J21" s="210"/>
      <c r="K21" s="221"/>
    </row>
    <row r="22" spans="1:11" ht="15" customHeight="1">
      <c r="A22" s="218"/>
      <c r="B22" s="221"/>
      <c r="C22" s="208"/>
      <c r="D22" s="207"/>
      <c r="E22" s="208"/>
      <c r="F22" s="208"/>
      <c r="G22" s="208"/>
      <c r="H22" s="207"/>
      <c r="I22" s="211"/>
      <c r="J22" s="212"/>
      <c r="K22" s="221"/>
    </row>
    <row r="23" spans="1:11" ht="15" customHeight="1">
      <c r="A23" s="218"/>
      <c r="B23" s="221"/>
      <c r="C23" s="208"/>
      <c r="D23" s="207"/>
      <c r="E23" s="208"/>
      <c r="F23" s="208"/>
      <c r="G23" s="208"/>
      <c r="H23" s="207"/>
      <c r="I23" s="211"/>
      <c r="J23" s="212"/>
      <c r="K23" s="221"/>
    </row>
    <row r="24" spans="1:11" ht="15" customHeight="1">
      <c r="A24" s="218"/>
      <c r="B24" s="221"/>
      <c r="C24" s="208"/>
      <c r="D24" s="207"/>
      <c r="E24" s="208"/>
      <c r="F24" s="208"/>
      <c r="G24" s="208"/>
      <c r="H24" s="207"/>
      <c r="I24" s="211"/>
      <c r="J24" s="212"/>
      <c r="K24" s="221"/>
    </row>
    <row r="25" spans="1:11" ht="106.05" customHeight="1">
      <c r="A25" s="218"/>
      <c r="B25" s="221"/>
      <c r="C25" s="208"/>
      <c r="D25" s="207"/>
      <c r="E25" s="208"/>
      <c r="F25" s="208"/>
      <c r="G25" s="208"/>
      <c r="H25" s="207"/>
      <c r="I25" s="213"/>
      <c r="J25" s="214"/>
      <c r="K25" s="221"/>
    </row>
    <row r="26" spans="1:11" ht="15" customHeight="1">
      <c r="A26" s="7" t="s">
        <v>151</v>
      </c>
      <c r="B26" s="7"/>
      <c r="C26" s="11">
        <f>C5+C9+C13+C17+C21</f>
        <v>100</v>
      </c>
      <c r="D26" s="11" t="e">
        <f>人员信息!B4*人员信息!#REF!</f>
        <v>#REF!</v>
      </c>
      <c r="E26" s="227"/>
      <c r="F26" s="227"/>
      <c r="G26" s="3">
        <f>G5+G9+G13+G17+G21</f>
        <v>100</v>
      </c>
      <c r="H26" s="3" t="e">
        <f>人员信息!B4*人员信息!#REF!</f>
        <v>#REF!</v>
      </c>
      <c r="I26" s="227"/>
      <c r="J26" s="227"/>
      <c r="K26" s="208" t="s">
        <v>152</v>
      </c>
    </row>
    <row r="27" spans="1:11" ht="15" customHeight="1">
      <c r="A27" s="7" t="s">
        <v>153</v>
      </c>
      <c r="B27" s="7"/>
      <c r="C27" s="7"/>
      <c r="D27" s="7"/>
      <c r="E27" s="205"/>
      <c r="F27" s="206"/>
      <c r="G27" s="7"/>
      <c r="H27" s="7"/>
      <c r="I27" s="205"/>
      <c r="J27" s="206"/>
      <c r="K27" s="208"/>
    </row>
    <row r="28" spans="1:11" ht="15" customHeight="1">
      <c r="A28" s="215" t="s">
        <v>154</v>
      </c>
      <c r="B28" s="215"/>
      <c r="C28" s="215"/>
      <c r="D28" s="215"/>
      <c r="E28" s="215"/>
      <c r="F28" s="215"/>
      <c r="G28" s="215"/>
      <c r="H28" s="215"/>
      <c r="I28" s="215"/>
      <c r="J28" s="215"/>
      <c r="K28" s="215"/>
    </row>
    <row r="29" spans="1:11" ht="15" customHeight="1">
      <c r="A29" s="215" t="s">
        <v>155</v>
      </c>
      <c r="B29" s="215"/>
      <c r="C29" s="215"/>
      <c r="D29" s="215"/>
      <c r="E29" s="215"/>
      <c r="F29" s="215"/>
      <c r="G29" s="215"/>
      <c r="H29" s="215"/>
      <c r="I29" s="215"/>
      <c r="J29" s="215"/>
      <c r="K29" s="215"/>
    </row>
  </sheetData>
  <sheetProtection sheet="1" objects="1"/>
  <mergeCells count="44">
    <mergeCell ref="A1:K1"/>
    <mergeCell ref="A2:K2"/>
    <mergeCell ref="C3:F3"/>
    <mergeCell ref="G3:J3"/>
    <mergeCell ref="E26:F26"/>
    <mergeCell ref="I26:J26"/>
    <mergeCell ref="C13:C16"/>
    <mergeCell ref="C17:C20"/>
    <mergeCell ref="C21:C25"/>
    <mergeCell ref="D5:D8"/>
    <mergeCell ref="D9:D12"/>
    <mergeCell ref="D13:D16"/>
    <mergeCell ref="D17:D20"/>
    <mergeCell ref="D21:D25"/>
    <mergeCell ref="G5:G8"/>
    <mergeCell ref="G9:G12"/>
    <mergeCell ref="A28:K28"/>
    <mergeCell ref="A29:K29"/>
    <mergeCell ref="A4:A8"/>
    <mergeCell ref="A9:A12"/>
    <mergeCell ref="A13:A16"/>
    <mergeCell ref="A17:A20"/>
    <mergeCell ref="A21:A25"/>
    <mergeCell ref="B4:B8"/>
    <mergeCell ref="B9:B12"/>
    <mergeCell ref="B13:B16"/>
    <mergeCell ref="B17:B20"/>
    <mergeCell ref="B21:B25"/>
    <mergeCell ref="C5:C8"/>
    <mergeCell ref="C9:C12"/>
    <mergeCell ref="K4:K25"/>
    <mergeCell ref="K26:K27"/>
    <mergeCell ref="E27:F27"/>
    <mergeCell ref="I27:J27"/>
    <mergeCell ref="H5:H8"/>
    <mergeCell ref="H9:H12"/>
    <mergeCell ref="H13:H16"/>
    <mergeCell ref="H17:H20"/>
    <mergeCell ref="H21:H25"/>
    <mergeCell ref="E21:F25"/>
    <mergeCell ref="I21:J25"/>
    <mergeCell ref="G13:G16"/>
    <mergeCell ref="G17:G20"/>
    <mergeCell ref="G21:G25"/>
  </mergeCells>
  <phoneticPr fontId="15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48C1-87BE-4BE6-B16F-73522D8A85B4}">
  <sheetPr codeName="Sheet9"/>
  <dimension ref="A1:T1286"/>
  <sheetViews>
    <sheetView view="pageBreakPreview" zoomScale="140" zoomScaleNormal="98" zoomScaleSheetLayoutView="140" workbookViewId="0">
      <pane ySplit="2" topLeftCell="A3" activePane="bottomLeft" state="frozen"/>
      <selection pane="bottomLeft" activeCell="N34" sqref="N34"/>
    </sheetView>
  </sheetViews>
  <sheetFormatPr defaultRowHeight="15.7"/>
  <cols>
    <col min="1" max="1" width="5.375" style="24" customWidth="1"/>
    <col min="2" max="2" width="17.375" style="25" customWidth="1"/>
    <col min="3" max="17" width="5.125" style="25" customWidth="1"/>
    <col min="18" max="18" width="5.125" style="41" customWidth="1"/>
    <col min="19" max="20" width="5.125" style="25" customWidth="1"/>
    <col min="21" max="16384" width="9" style="25"/>
  </cols>
  <sheetData>
    <row r="1" spans="1:20" ht="28.55" customHeight="1">
      <c r="B1" s="229" t="s">
        <v>313</v>
      </c>
      <c r="C1" s="229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</row>
    <row r="2" spans="1:20" s="30" customFormat="1" ht="41.2" customHeight="1">
      <c r="A2" s="26" t="s">
        <v>305</v>
      </c>
      <c r="B2" s="26" t="s">
        <v>306</v>
      </c>
      <c r="C2" s="26" t="s">
        <v>307</v>
      </c>
      <c r="D2" s="27" t="s">
        <v>289</v>
      </c>
      <c r="E2" s="27" t="s">
        <v>290</v>
      </c>
      <c r="F2" s="27" t="s">
        <v>10</v>
      </c>
      <c r="G2" s="27" t="s">
        <v>14</v>
      </c>
      <c r="H2" s="27" t="s">
        <v>291</v>
      </c>
      <c r="I2" s="27" t="s">
        <v>292</v>
      </c>
      <c r="J2" s="27" t="s">
        <v>308</v>
      </c>
      <c r="K2" s="27" t="s">
        <v>309</v>
      </c>
      <c r="L2" s="27" t="s">
        <v>310</v>
      </c>
      <c r="M2" s="27" t="s">
        <v>311</v>
      </c>
      <c r="N2" s="27" t="s">
        <v>297</v>
      </c>
      <c r="O2" s="27" t="s">
        <v>298</v>
      </c>
      <c r="P2" s="27" t="s">
        <v>299</v>
      </c>
      <c r="Q2" s="27" t="s">
        <v>300</v>
      </c>
      <c r="R2" s="28" t="s">
        <v>301</v>
      </c>
      <c r="S2" s="27" t="s">
        <v>312</v>
      </c>
      <c r="T2" s="29" t="s">
        <v>304</v>
      </c>
    </row>
    <row r="3" spans="1:20">
      <c r="A3" s="31">
        <v>1</v>
      </c>
      <c r="B3" s="32" t="s">
        <v>314</v>
      </c>
      <c r="C3" s="33">
        <v>100</v>
      </c>
      <c r="D3" s="33">
        <v>349</v>
      </c>
      <c r="E3" s="33">
        <v>11.300000190734863</v>
      </c>
      <c r="F3" s="33">
        <v>13.600000381469727</v>
      </c>
      <c r="G3" s="33">
        <v>2.7000000476837158</v>
      </c>
      <c r="H3" s="33">
        <v>3.5</v>
      </c>
      <c r="I3" s="33">
        <v>67.599998474121094</v>
      </c>
      <c r="J3" s="33">
        <v>0</v>
      </c>
      <c r="K3" s="33">
        <v>0.30000001192092896</v>
      </c>
      <c r="L3" s="33">
        <v>9.0000003576278687E-2</v>
      </c>
      <c r="M3" s="33">
        <v>1.3999999761581421</v>
      </c>
      <c r="N3" s="33">
        <v>1.7899999618530273</v>
      </c>
      <c r="O3" s="33">
        <v>1.7000000476837158</v>
      </c>
      <c r="P3" s="33">
        <v>30</v>
      </c>
      <c r="Q3" s="33">
        <v>5.6999998092651367</v>
      </c>
      <c r="R3" s="34" t="s">
        <v>315</v>
      </c>
      <c r="S3" s="33">
        <v>0</v>
      </c>
      <c r="T3" s="35">
        <v>0</v>
      </c>
    </row>
    <row r="4" spans="1:20">
      <c r="A4" s="31">
        <v>2</v>
      </c>
      <c r="B4" s="33" t="s">
        <v>316</v>
      </c>
      <c r="C4" s="33">
        <v>100</v>
      </c>
      <c r="D4" s="33">
        <v>307</v>
      </c>
      <c r="E4" s="33">
        <v>13.100000381469727</v>
      </c>
      <c r="F4" s="33">
        <v>10.199999809265137</v>
      </c>
      <c r="G4" s="33">
        <v>1.3999999761581421</v>
      </c>
      <c r="H4" s="33">
        <v>9.8999996185302734</v>
      </c>
      <c r="I4" s="33">
        <v>63.400001525878906</v>
      </c>
      <c r="J4" s="33">
        <v>0</v>
      </c>
      <c r="K4" s="33">
        <v>0.14000000059604645</v>
      </c>
      <c r="L4" s="33">
        <v>5.000000074505806E-2</v>
      </c>
      <c r="M4" s="33">
        <v>5</v>
      </c>
      <c r="N4" s="33">
        <v>0.25</v>
      </c>
      <c r="O4" s="33">
        <v>1.6000000238418579</v>
      </c>
      <c r="P4" s="33">
        <v>13</v>
      </c>
      <c r="Q4" s="33">
        <v>5.0999999046325684</v>
      </c>
      <c r="R4" s="34" t="s">
        <v>315</v>
      </c>
      <c r="S4" s="33">
        <v>0</v>
      </c>
      <c r="T4" s="35">
        <v>0</v>
      </c>
    </row>
    <row r="5" spans="1:20">
      <c r="A5" s="31">
        <v>3</v>
      </c>
      <c r="B5" s="33" t="s">
        <v>317</v>
      </c>
      <c r="C5" s="33">
        <v>64</v>
      </c>
      <c r="D5" s="33">
        <v>359</v>
      </c>
      <c r="E5" s="33">
        <v>10.199999809265137</v>
      </c>
      <c r="F5" s="33">
        <v>9.8999996185302734</v>
      </c>
      <c r="G5" s="33">
        <v>2.2000000476837158</v>
      </c>
      <c r="H5" s="33">
        <v>1.3999999761581421</v>
      </c>
      <c r="I5" s="33">
        <v>74.800003051757813</v>
      </c>
      <c r="J5" s="33">
        <v>0</v>
      </c>
      <c r="K5" s="33">
        <v>0.14000000059604645</v>
      </c>
      <c r="L5" s="33">
        <v>5.000000074505806E-2</v>
      </c>
      <c r="M5" s="33">
        <v>5</v>
      </c>
      <c r="N5" s="33">
        <v>0.25</v>
      </c>
      <c r="O5" s="33">
        <v>1.6000000238418579</v>
      </c>
      <c r="P5" s="33">
        <v>13</v>
      </c>
      <c r="Q5" s="33">
        <v>5.0999999046325684</v>
      </c>
      <c r="R5" s="34" t="s">
        <v>315</v>
      </c>
      <c r="S5" s="33">
        <v>0</v>
      </c>
      <c r="T5" s="35">
        <v>0</v>
      </c>
    </row>
    <row r="6" spans="1:20">
      <c r="A6" s="31">
        <v>4</v>
      </c>
      <c r="B6" s="33" t="s">
        <v>318</v>
      </c>
      <c r="C6" s="33">
        <v>100</v>
      </c>
      <c r="D6" s="33">
        <v>346</v>
      </c>
      <c r="E6" s="33">
        <v>13.300000190734863</v>
      </c>
      <c r="F6" s="33">
        <v>7.4000000953674316</v>
      </c>
      <c r="G6" s="33">
        <v>0.80000001192092896</v>
      </c>
      <c r="H6" s="33">
        <v>0.69999998807907104</v>
      </c>
      <c r="I6" s="33">
        <v>77.199996948242188</v>
      </c>
      <c r="J6" s="33">
        <v>0</v>
      </c>
      <c r="K6" s="33">
        <v>0.10999999940395355</v>
      </c>
      <c r="L6" s="33">
        <v>5.000000074505806E-2</v>
      </c>
      <c r="M6" s="33">
        <v>1.8999999761581421</v>
      </c>
      <c r="N6" s="33">
        <v>0.46000000834465027</v>
      </c>
      <c r="O6" s="33">
        <v>3.7999999523162842</v>
      </c>
      <c r="P6" s="33">
        <v>13</v>
      </c>
      <c r="Q6" s="33">
        <v>2.2999999523162842</v>
      </c>
      <c r="R6" s="34" t="s">
        <v>315</v>
      </c>
      <c r="S6" s="33">
        <v>0</v>
      </c>
      <c r="T6" s="35">
        <v>0</v>
      </c>
    </row>
    <row r="7" spans="1:20">
      <c r="A7" s="31">
        <v>5</v>
      </c>
      <c r="B7" s="33" t="s">
        <v>319</v>
      </c>
      <c r="C7" s="33">
        <v>100</v>
      </c>
      <c r="D7" s="33">
        <v>334</v>
      </c>
      <c r="E7" s="33">
        <v>16.200000762939453</v>
      </c>
      <c r="F7" s="33">
        <v>7.3000001907348633</v>
      </c>
      <c r="G7" s="33">
        <v>0.40000000596046448</v>
      </c>
      <c r="H7" s="33">
        <v>0.40000000596046448</v>
      </c>
      <c r="I7" s="33">
        <v>75.300003051757813</v>
      </c>
      <c r="J7" s="33">
        <v>0</v>
      </c>
      <c r="K7" s="33">
        <v>7.9999998211860657E-2</v>
      </c>
      <c r="L7" s="33">
        <v>3.9999999105930328E-2</v>
      </c>
      <c r="M7" s="33">
        <v>1.1000000238418579</v>
      </c>
      <c r="N7" s="33">
        <v>0.75999999046325684</v>
      </c>
      <c r="O7" s="33">
        <v>6.1999998092651367</v>
      </c>
      <c r="P7" s="33">
        <v>24</v>
      </c>
      <c r="Q7" s="33">
        <v>0.89999997615814209</v>
      </c>
      <c r="R7" s="34" t="s">
        <v>315</v>
      </c>
      <c r="S7" s="33">
        <v>0</v>
      </c>
      <c r="T7" s="35">
        <v>0</v>
      </c>
    </row>
    <row r="8" spans="1:20">
      <c r="A8" s="31">
        <v>6</v>
      </c>
      <c r="B8" s="33" t="s">
        <v>320</v>
      </c>
      <c r="C8" s="33">
        <v>100</v>
      </c>
      <c r="D8" s="33">
        <v>343</v>
      </c>
      <c r="E8" s="33">
        <v>13.699999809265137</v>
      </c>
      <c r="F8" s="33">
        <v>7.6999998092651367</v>
      </c>
      <c r="G8" s="33">
        <v>0.60000002384185791</v>
      </c>
      <c r="H8" s="33">
        <v>0.60000002384185791</v>
      </c>
      <c r="I8" s="33">
        <v>76.800003051757813</v>
      </c>
      <c r="J8" s="33">
        <v>0</v>
      </c>
      <c r="K8" s="33">
        <v>0.15999999642372131</v>
      </c>
      <c r="L8" s="33">
        <v>7.9999998211860657E-2</v>
      </c>
      <c r="M8" s="33">
        <v>1.2999999523162842</v>
      </c>
      <c r="N8" s="33">
        <v>1.0099999904632568</v>
      </c>
      <c r="O8" s="33">
        <v>2.4000000953674316</v>
      </c>
      <c r="P8" s="33">
        <v>11</v>
      </c>
      <c r="Q8" s="33">
        <v>1.1000000238418579</v>
      </c>
      <c r="R8" s="34" t="s">
        <v>315</v>
      </c>
      <c r="S8" s="33">
        <v>0</v>
      </c>
      <c r="T8" s="35">
        <v>0</v>
      </c>
    </row>
    <row r="9" spans="1:20">
      <c r="A9" s="31">
        <v>7</v>
      </c>
      <c r="B9" s="33" t="s">
        <v>321</v>
      </c>
      <c r="C9" s="33">
        <v>100</v>
      </c>
      <c r="D9" s="33">
        <v>348</v>
      </c>
      <c r="E9" s="33">
        <v>13.199999809265137</v>
      </c>
      <c r="F9" s="33">
        <v>8</v>
      </c>
      <c r="G9" s="33">
        <v>0.60000002384185791</v>
      </c>
      <c r="H9" s="33">
        <v>0</v>
      </c>
      <c r="I9" s="33">
        <v>77.699996948242188</v>
      </c>
      <c r="J9" s="33">
        <v>0</v>
      </c>
      <c r="K9" s="33">
        <v>0.2199999988079071</v>
      </c>
      <c r="L9" s="33">
        <v>5.000000074505806E-2</v>
      </c>
      <c r="M9" s="33">
        <v>2.5999999046325684</v>
      </c>
      <c r="N9" s="33">
        <v>0.52999997138977051</v>
      </c>
      <c r="O9" s="33">
        <v>0.89999997615814209</v>
      </c>
      <c r="P9" s="33">
        <v>3</v>
      </c>
      <c r="Q9" s="33">
        <v>0.40000000596046448</v>
      </c>
      <c r="R9" s="34" t="s">
        <v>315</v>
      </c>
      <c r="S9" s="33">
        <v>0</v>
      </c>
      <c r="T9" s="35">
        <v>0</v>
      </c>
    </row>
    <row r="10" spans="1:20">
      <c r="A10" s="31">
        <v>8</v>
      </c>
      <c r="B10" s="33" t="s">
        <v>322</v>
      </c>
      <c r="C10" s="33">
        <v>100</v>
      </c>
      <c r="D10" s="33">
        <v>345</v>
      </c>
      <c r="E10" s="33">
        <v>13.899999618530273</v>
      </c>
      <c r="F10" s="33">
        <v>7.1999998092651367</v>
      </c>
      <c r="G10" s="33">
        <v>0.80000001192092896</v>
      </c>
      <c r="H10" s="33">
        <v>0.40000000596046448</v>
      </c>
      <c r="I10" s="33">
        <v>77.199996948242188</v>
      </c>
      <c r="J10" s="33">
        <v>0</v>
      </c>
      <c r="K10" s="33">
        <v>0.33000001311302185</v>
      </c>
      <c r="L10" s="33">
        <v>2.9999999329447746E-2</v>
      </c>
      <c r="M10" s="33">
        <v>3.5999999046325684</v>
      </c>
      <c r="N10" s="33">
        <v>0.37999999523162842</v>
      </c>
      <c r="O10" s="33">
        <v>1.2999999523162842</v>
      </c>
      <c r="P10" s="33">
        <v>5</v>
      </c>
      <c r="Q10" s="33">
        <v>0.69999998807907104</v>
      </c>
      <c r="R10" s="34" t="s">
        <v>315</v>
      </c>
      <c r="S10" s="33">
        <v>0</v>
      </c>
      <c r="T10" s="35">
        <v>0</v>
      </c>
    </row>
    <row r="11" spans="1:20">
      <c r="A11" s="31">
        <v>9</v>
      </c>
      <c r="B11" s="33" t="s">
        <v>323</v>
      </c>
      <c r="C11" s="33">
        <v>100</v>
      </c>
      <c r="D11" s="33">
        <v>346</v>
      </c>
      <c r="E11" s="33">
        <v>13.100000381469727</v>
      </c>
      <c r="F11" s="33">
        <v>7.5</v>
      </c>
      <c r="G11" s="33">
        <v>0.69999998807907104</v>
      </c>
      <c r="H11" s="33">
        <v>0.69999998807907104</v>
      </c>
      <c r="I11" s="33">
        <v>77.400001525878906</v>
      </c>
      <c r="J11" s="33">
        <v>0</v>
      </c>
      <c r="K11" s="33">
        <v>0.14000000059604645</v>
      </c>
      <c r="L11" s="33">
        <v>5.000000074505806E-2</v>
      </c>
      <c r="M11" s="33">
        <v>5.1999998092651367</v>
      </c>
      <c r="N11" s="33">
        <v>0.38999998569488525</v>
      </c>
      <c r="O11" s="33">
        <v>1.6000000238418579</v>
      </c>
      <c r="P11" s="33">
        <v>4</v>
      </c>
      <c r="Q11" s="33">
        <v>0.69999998807907104</v>
      </c>
      <c r="R11" s="34" t="s">
        <v>315</v>
      </c>
      <c r="S11" s="33">
        <v>0</v>
      </c>
      <c r="T11" s="35">
        <v>0</v>
      </c>
    </row>
    <row r="12" spans="1:20">
      <c r="A12" s="31">
        <v>10</v>
      </c>
      <c r="B12" s="33" t="s">
        <v>324</v>
      </c>
      <c r="C12" s="33">
        <v>100</v>
      </c>
      <c r="D12" s="33">
        <v>346</v>
      </c>
      <c r="E12" s="33">
        <v>12.899999618530273</v>
      </c>
      <c r="F12" s="33">
        <v>9.1000003814697266</v>
      </c>
      <c r="G12" s="33">
        <v>0.60000002384185791</v>
      </c>
      <c r="H12" s="33">
        <v>0.69999998807907104</v>
      </c>
      <c r="I12" s="33">
        <v>76</v>
      </c>
      <c r="J12" s="33">
        <v>0</v>
      </c>
      <c r="K12" s="33">
        <v>0.12999999523162842</v>
      </c>
      <c r="L12" s="33">
        <v>2.9999999329447746E-2</v>
      </c>
      <c r="M12" s="33">
        <v>1.6000000238418579</v>
      </c>
      <c r="N12" s="33">
        <v>0</v>
      </c>
      <c r="O12" s="33">
        <v>1.2999999523162842</v>
      </c>
      <c r="P12" s="33">
        <v>6</v>
      </c>
      <c r="Q12" s="33">
        <v>0.89999997615814209</v>
      </c>
      <c r="R12" s="34" t="s">
        <v>315</v>
      </c>
      <c r="S12" s="33">
        <v>0</v>
      </c>
      <c r="T12" s="35">
        <v>0</v>
      </c>
    </row>
    <row r="13" spans="1:20">
      <c r="A13" s="31">
        <v>11</v>
      </c>
      <c r="B13" s="33" t="s">
        <v>325</v>
      </c>
      <c r="C13" s="33">
        <v>100</v>
      </c>
      <c r="D13" s="33">
        <v>351</v>
      </c>
      <c r="E13" s="33">
        <v>12.300000190734863</v>
      </c>
      <c r="F13" s="33">
        <v>8.8000001907348633</v>
      </c>
      <c r="G13" s="33">
        <v>1</v>
      </c>
      <c r="H13" s="33">
        <v>0.40000000596046448</v>
      </c>
      <c r="I13" s="33">
        <v>76.800003051757813</v>
      </c>
      <c r="J13" s="33">
        <v>0</v>
      </c>
      <c r="K13" s="33">
        <v>0.15999999642372131</v>
      </c>
      <c r="L13" s="33">
        <v>5.000000074505806E-2</v>
      </c>
      <c r="M13" s="33">
        <v>2</v>
      </c>
      <c r="N13" s="33">
        <v>0</v>
      </c>
      <c r="O13" s="33">
        <v>1.8999999761581421</v>
      </c>
      <c r="P13" s="33">
        <v>10</v>
      </c>
      <c r="Q13" s="33">
        <v>1.2000000476837158</v>
      </c>
      <c r="R13" s="34" t="s">
        <v>315</v>
      </c>
      <c r="S13" s="33">
        <v>0</v>
      </c>
      <c r="T13" s="35">
        <v>0</v>
      </c>
    </row>
    <row r="14" spans="1:20">
      <c r="A14" s="31">
        <v>12</v>
      </c>
      <c r="B14" s="33" t="s">
        <v>326</v>
      </c>
      <c r="C14" s="33">
        <v>100</v>
      </c>
      <c r="D14" s="33">
        <v>345</v>
      </c>
      <c r="E14" s="33">
        <v>13.699999809265137</v>
      </c>
      <c r="F14" s="33">
        <v>9.5</v>
      </c>
      <c r="G14" s="33">
        <v>1</v>
      </c>
      <c r="H14" s="33">
        <v>0.5</v>
      </c>
      <c r="I14" s="33">
        <v>74.599998474121094</v>
      </c>
      <c r="J14" s="33">
        <v>0</v>
      </c>
      <c r="K14" s="33">
        <v>0.20000000298023224</v>
      </c>
      <c r="L14" s="33">
        <v>9.0000003576278687E-2</v>
      </c>
      <c r="M14" s="33">
        <v>3</v>
      </c>
      <c r="N14" s="33">
        <v>0</v>
      </c>
      <c r="O14" s="33">
        <v>0.80000001192092896</v>
      </c>
      <c r="P14" s="33">
        <v>6</v>
      </c>
      <c r="Q14" s="33">
        <v>1</v>
      </c>
      <c r="R14" s="34" t="s">
        <v>315</v>
      </c>
      <c r="S14" s="33">
        <v>0</v>
      </c>
      <c r="T14" s="35">
        <v>0</v>
      </c>
    </row>
    <row r="15" spans="1:20">
      <c r="A15" s="31">
        <v>13</v>
      </c>
      <c r="B15" s="33" t="s">
        <v>327</v>
      </c>
      <c r="C15" s="33">
        <v>100</v>
      </c>
      <c r="D15" s="33">
        <v>342</v>
      </c>
      <c r="E15" s="33">
        <v>14</v>
      </c>
      <c r="F15" s="33">
        <v>8.1000003814697266</v>
      </c>
      <c r="G15" s="33">
        <v>0.30000001192092896</v>
      </c>
      <c r="H15" s="33">
        <v>0.20000000298023224</v>
      </c>
      <c r="I15" s="33">
        <v>76.699996948242188</v>
      </c>
      <c r="J15" s="33">
        <v>0</v>
      </c>
      <c r="K15" s="33">
        <v>9.0000003576278687E-2</v>
      </c>
      <c r="L15" s="33">
        <v>0.10000000149011612</v>
      </c>
      <c r="M15" s="33">
        <v>1.5</v>
      </c>
      <c r="N15" s="33">
        <v>0</v>
      </c>
      <c r="O15" s="33">
        <v>0.80000001192092896</v>
      </c>
      <c r="P15" s="33">
        <v>6</v>
      </c>
      <c r="Q15" s="33">
        <v>0.69999998807907104</v>
      </c>
      <c r="R15" s="34" t="s">
        <v>315</v>
      </c>
      <c r="S15" s="33">
        <v>0</v>
      </c>
      <c r="T15" s="35">
        <v>0</v>
      </c>
    </row>
    <row r="16" spans="1:20">
      <c r="A16" s="31">
        <v>14</v>
      </c>
      <c r="B16" s="33" t="s">
        <v>328</v>
      </c>
      <c r="C16" s="33">
        <v>100</v>
      </c>
      <c r="D16" s="33">
        <v>345</v>
      </c>
      <c r="E16" s="33">
        <v>13.5</v>
      </c>
      <c r="F16" s="33">
        <v>7.9000000953674316</v>
      </c>
      <c r="G16" s="33">
        <v>0.69999998807907104</v>
      </c>
      <c r="H16" s="33">
        <v>0.5</v>
      </c>
      <c r="I16" s="33">
        <v>76.800003051757813</v>
      </c>
      <c r="J16" s="33">
        <v>0</v>
      </c>
      <c r="K16" s="33">
        <v>0.17000000178813934</v>
      </c>
      <c r="L16" s="33">
        <v>5.000000074505806E-2</v>
      </c>
      <c r="M16" s="33">
        <v>1.7000000476837158</v>
      </c>
      <c r="N16" s="33">
        <v>0.2199999988079071</v>
      </c>
      <c r="O16" s="33">
        <v>1.5</v>
      </c>
      <c r="P16" s="33">
        <v>9</v>
      </c>
      <c r="Q16" s="33">
        <v>1.2000000476837158</v>
      </c>
      <c r="R16" s="34" t="s">
        <v>315</v>
      </c>
      <c r="S16" s="33">
        <v>0</v>
      </c>
      <c r="T16" s="35">
        <v>0</v>
      </c>
    </row>
    <row r="17" spans="1:20">
      <c r="A17" s="31">
        <v>15</v>
      </c>
      <c r="B17" s="33" t="s">
        <v>329</v>
      </c>
      <c r="C17" s="33">
        <v>100</v>
      </c>
      <c r="D17" s="33">
        <v>343</v>
      </c>
      <c r="E17" s="33">
        <v>14.199999809265137</v>
      </c>
      <c r="F17" s="33">
        <v>8.6000003814697266</v>
      </c>
      <c r="G17" s="33">
        <v>0.80000001192092896</v>
      </c>
      <c r="H17" s="33">
        <v>0.40000000596046448</v>
      </c>
      <c r="I17" s="33">
        <v>75.300003051757813</v>
      </c>
      <c r="J17" s="33">
        <v>0</v>
      </c>
      <c r="K17" s="33">
        <v>0.18000000715255737</v>
      </c>
      <c r="L17" s="33">
        <v>5.9999998658895493E-2</v>
      </c>
      <c r="M17" s="33">
        <v>2.5999999046325684</v>
      </c>
      <c r="N17" s="33">
        <v>0</v>
      </c>
      <c r="O17" s="33">
        <v>0.89999997615814209</v>
      </c>
      <c r="P17" s="33">
        <v>6</v>
      </c>
      <c r="Q17" s="33">
        <v>2.7999999523162842</v>
      </c>
      <c r="R17" s="34" t="s">
        <v>315</v>
      </c>
      <c r="S17" s="33">
        <v>0</v>
      </c>
      <c r="T17" s="35">
        <v>0</v>
      </c>
    </row>
    <row r="18" spans="1:20">
      <c r="A18" s="31">
        <v>16</v>
      </c>
      <c r="B18" s="33" t="s">
        <v>330</v>
      </c>
      <c r="C18" s="33">
        <v>100</v>
      </c>
      <c r="D18" s="33">
        <v>347</v>
      </c>
      <c r="E18" s="33">
        <v>12.600000381469727</v>
      </c>
      <c r="F18" s="33">
        <v>7.9000000953674316</v>
      </c>
      <c r="G18" s="33">
        <v>0.60000002384185791</v>
      </c>
      <c r="H18" s="33">
        <v>0.80000001192092896</v>
      </c>
      <c r="I18" s="33">
        <v>77.5</v>
      </c>
      <c r="J18" s="33">
        <v>0</v>
      </c>
      <c r="K18" s="33">
        <v>9.0000003576278687E-2</v>
      </c>
      <c r="L18" s="33">
        <v>3.9999999105930328E-2</v>
      </c>
      <c r="M18" s="33">
        <v>1.3999999761581421</v>
      </c>
      <c r="N18" s="33">
        <v>0.54000002145767212</v>
      </c>
      <c r="O18" s="33">
        <v>1.7000000476837158</v>
      </c>
      <c r="P18" s="33">
        <v>12</v>
      </c>
      <c r="Q18" s="33">
        <v>1.6000000238418579</v>
      </c>
      <c r="R18" s="34" t="s">
        <v>315</v>
      </c>
      <c r="S18" s="33">
        <v>0</v>
      </c>
      <c r="T18" s="35">
        <v>0</v>
      </c>
    </row>
    <row r="19" spans="1:20">
      <c r="A19" s="31">
        <v>17</v>
      </c>
      <c r="B19" s="33" t="s">
        <v>331</v>
      </c>
      <c r="C19" s="33">
        <v>100</v>
      </c>
      <c r="D19" s="33">
        <v>349</v>
      </c>
      <c r="E19" s="33">
        <v>12.800000190734863</v>
      </c>
      <c r="F19" s="33">
        <v>8.3000001907348633</v>
      </c>
      <c r="G19" s="33">
        <v>1</v>
      </c>
      <c r="H19" s="33">
        <v>0.5</v>
      </c>
      <c r="I19" s="33">
        <v>76.800003051757813</v>
      </c>
      <c r="J19" s="33">
        <v>0</v>
      </c>
      <c r="K19" s="33">
        <v>0.12999999523162842</v>
      </c>
      <c r="L19" s="33">
        <v>1.9999999552965164E-2</v>
      </c>
      <c r="M19" s="33">
        <v>2.5999999046325684</v>
      </c>
      <c r="N19" s="33">
        <v>0</v>
      </c>
      <c r="O19" s="33">
        <v>1.2000000476837158</v>
      </c>
      <c r="P19" s="33">
        <v>8</v>
      </c>
      <c r="Q19" s="33">
        <v>0.5</v>
      </c>
      <c r="R19" s="34" t="s">
        <v>315</v>
      </c>
      <c r="S19" s="33">
        <v>0</v>
      </c>
      <c r="T19" s="35">
        <v>0</v>
      </c>
    </row>
    <row r="20" spans="1:20">
      <c r="A20" s="31">
        <v>18</v>
      </c>
      <c r="B20" s="33" t="s">
        <v>332</v>
      </c>
      <c r="C20" s="33">
        <v>100</v>
      </c>
      <c r="D20" s="33">
        <v>346</v>
      </c>
      <c r="E20" s="33">
        <v>13</v>
      </c>
      <c r="F20" s="33">
        <v>7.6999998092651367</v>
      </c>
      <c r="G20" s="33">
        <v>0.69999998807907104</v>
      </c>
      <c r="H20" s="33">
        <v>0.60000002384185791</v>
      </c>
      <c r="I20" s="33">
        <v>77.300003051757813</v>
      </c>
      <c r="J20" s="33">
        <v>0</v>
      </c>
      <c r="K20" s="33">
        <v>0.15000000596046448</v>
      </c>
      <c r="L20" s="33">
        <v>5.9999998658895493E-2</v>
      </c>
      <c r="M20" s="33">
        <v>2.0999999046325684</v>
      </c>
      <c r="N20" s="33">
        <v>0.43000000715255737</v>
      </c>
      <c r="O20" s="33">
        <v>2.7000000476837158</v>
      </c>
      <c r="P20" s="33">
        <v>7</v>
      </c>
      <c r="Q20" s="33">
        <v>1.2999999523162842</v>
      </c>
      <c r="R20" s="34" t="s">
        <v>315</v>
      </c>
      <c r="S20" s="33">
        <v>0</v>
      </c>
      <c r="T20" s="35">
        <v>0</v>
      </c>
    </row>
    <row r="21" spans="1:20">
      <c r="A21" s="31">
        <v>19</v>
      </c>
      <c r="B21" s="33" t="s">
        <v>333</v>
      </c>
      <c r="C21" s="33">
        <v>64</v>
      </c>
      <c r="D21" s="33">
        <v>344</v>
      </c>
      <c r="E21" s="33">
        <v>13.399999618530273</v>
      </c>
      <c r="F21" s="33">
        <v>7</v>
      </c>
      <c r="G21" s="33">
        <v>2</v>
      </c>
      <c r="H21" s="33">
        <v>2</v>
      </c>
      <c r="I21" s="33">
        <v>74.400001525878906</v>
      </c>
      <c r="J21" s="33">
        <v>0</v>
      </c>
      <c r="K21" s="33">
        <v>0.15000000596046448</v>
      </c>
      <c r="L21" s="33">
        <v>2.9999999329447746E-2</v>
      </c>
      <c r="M21" s="33">
        <v>5.0999999046325684</v>
      </c>
      <c r="N21" s="33">
        <v>0.18999999761581421</v>
      </c>
      <c r="O21" s="33">
        <v>22</v>
      </c>
      <c r="P21" s="33">
        <v>0</v>
      </c>
      <c r="Q21" s="33">
        <v>5.5</v>
      </c>
      <c r="R21" s="34" t="s">
        <v>315</v>
      </c>
      <c r="S21" s="33">
        <v>0</v>
      </c>
      <c r="T21" s="35">
        <v>0</v>
      </c>
    </row>
    <row r="22" spans="1:20">
      <c r="A22" s="31">
        <v>20</v>
      </c>
      <c r="B22" s="33" t="s">
        <v>334</v>
      </c>
      <c r="C22" s="33">
        <v>100</v>
      </c>
      <c r="D22" s="33">
        <v>346</v>
      </c>
      <c r="E22" s="33">
        <v>12.899999618530273</v>
      </c>
      <c r="F22" s="33">
        <v>12.699999809265137</v>
      </c>
      <c r="G22" s="33">
        <v>0.89999997615814209</v>
      </c>
      <c r="H22" s="33">
        <v>0.60000002384185791</v>
      </c>
      <c r="I22" s="33">
        <v>71.800003051757813</v>
      </c>
      <c r="J22" s="33">
        <v>0</v>
      </c>
      <c r="K22" s="33">
        <v>0</v>
      </c>
      <c r="L22" s="33">
        <v>7.9999998211860657E-2</v>
      </c>
      <c r="M22" s="33">
        <v>2.5999999046325684</v>
      </c>
      <c r="N22" s="33">
        <v>0.69999998807907104</v>
      </c>
      <c r="O22" s="33">
        <v>21.5</v>
      </c>
      <c r="P22" s="33">
        <v>8</v>
      </c>
      <c r="Q22" s="33">
        <v>5.0999999046325684</v>
      </c>
      <c r="R22" s="34" t="s">
        <v>315</v>
      </c>
      <c r="S22" s="33">
        <v>0</v>
      </c>
      <c r="T22" s="35">
        <v>0</v>
      </c>
    </row>
    <row r="23" spans="1:20">
      <c r="A23" s="31">
        <v>21</v>
      </c>
      <c r="B23" s="33" t="s">
        <v>335</v>
      </c>
      <c r="C23" s="33">
        <v>100</v>
      </c>
      <c r="D23" s="33">
        <v>472</v>
      </c>
      <c r="E23" s="33">
        <v>3.5999999046325684</v>
      </c>
      <c r="F23" s="33">
        <v>9.5</v>
      </c>
      <c r="G23" s="33">
        <v>21.100000381469727</v>
      </c>
      <c r="H23" s="33">
        <v>0.69999998807907104</v>
      </c>
      <c r="I23" s="33">
        <v>60.900001525878906</v>
      </c>
      <c r="J23" s="33">
        <v>0</v>
      </c>
      <c r="K23" s="33">
        <v>0.11999999731779099</v>
      </c>
      <c r="L23" s="33">
        <v>5.9999998658895493E-2</v>
      </c>
      <c r="M23" s="33">
        <v>0.89999997615814209</v>
      </c>
      <c r="N23" s="33">
        <v>2.2799999713897705</v>
      </c>
      <c r="O23" s="33">
        <v>1144</v>
      </c>
      <c r="P23" s="33">
        <v>25</v>
      </c>
      <c r="Q23" s="33">
        <v>4.0999999046325684</v>
      </c>
      <c r="R23" s="34" t="s">
        <v>315</v>
      </c>
      <c r="S23" s="33">
        <v>0</v>
      </c>
      <c r="T23" s="35">
        <v>0</v>
      </c>
    </row>
    <row r="24" spans="1:20">
      <c r="A24" s="31">
        <v>22</v>
      </c>
      <c r="B24" s="33" t="s">
        <v>336</v>
      </c>
      <c r="C24" s="33">
        <v>100</v>
      </c>
      <c r="D24" s="33">
        <v>220</v>
      </c>
      <c r="E24" s="33">
        <v>14.5</v>
      </c>
      <c r="F24" s="33">
        <v>15.800000190734863</v>
      </c>
      <c r="G24" s="33">
        <v>4</v>
      </c>
      <c r="H24" s="33">
        <v>31.299999237060547</v>
      </c>
      <c r="I24" s="33">
        <v>30.100000381469727</v>
      </c>
      <c r="J24" s="33">
        <v>20</v>
      </c>
      <c r="K24" s="33">
        <v>0.30000001192092896</v>
      </c>
      <c r="L24" s="33">
        <v>0.30000001192092896</v>
      </c>
      <c r="M24" s="33">
        <v>12.5</v>
      </c>
      <c r="N24" s="33">
        <v>4.4699997901916504</v>
      </c>
      <c r="O24" s="33">
        <v>12.199999809265137</v>
      </c>
      <c r="P24" s="33">
        <v>206</v>
      </c>
      <c r="Q24" s="33">
        <v>9.8999996185302734</v>
      </c>
      <c r="R24" s="34" t="s">
        <v>315</v>
      </c>
      <c r="S24" s="33">
        <v>0</v>
      </c>
      <c r="T24" s="35">
        <v>0</v>
      </c>
    </row>
    <row r="25" spans="1:20">
      <c r="A25" s="31">
        <v>23</v>
      </c>
      <c r="B25" s="33" t="s">
        <v>337</v>
      </c>
      <c r="C25" s="33">
        <v>100</v>
      </c>
      <c r="D25" s="33">
        <v>351</v>
      </c>
      <c r="E25" s="33">
        <v>10.300000190734863</v>
      </c>
      <c r="F25" s="33">
        <v>10.399999618530273</v>
      </c>
      <c r="G25" s="33">
        <v>3.0999999046325684</v>
      </c>
      <c r="H25" s="33">
        <v>4.3000001907348633</v>
      </c>
      <c r="I25" s="33">
        <v>70.400001525878906</v>
      </c>
      <c r="J25" s="33">
        <v>0</v>
      </c>
      <c r="K25" s="33">
        <v>0.28999999165534973</v>
      </c>
      <c r="L25" s="33">
        <v>0.10000000149011612</v>
      </c>
      <c r="M25" s="33">
        <v>1.6000000238418579</v>
      </c>
      <c r="N25" s="33">
        <v>1.8799999952316284</v>
      </c>
      <c r="O25" s="33">
        <v>6.3000001907348633</v>
      </c>
      <c r="P25" s="33">
        <v>22</v>
      </c>
      <c r="Q25" s="33">
        <v>6.3000001907348633</v>
      </c>
      <c r="R25" s="34" t="s">
        <v>315</v>
      </c>
      <c r="S25" s="33">
        <v>0</v>
      </c>
      <c r="T25" s="35">
        <v>0</v>
      </c>
    </row>
    <row r="26" spans="1:20">
      <c r="A26" s="31">
        <v>24</v>
      </c>
      <c r="B26" s="33" t="s">
        <v>338</v>
      </c>
      <c r="C26" s="33">
        <v>100</v>
      </c>
      <c r="D26" s="33">
        <v>347</v>
      </c>
      <c r="E26" s="33">
        <v>11.899999618530273</v>
      </c>
      <c r="F26" s="33">
        <v>11.199999809265137</v>
      </c>
      <c r="G26" s="33">
        <v>0.5</v>
      </c>
      <c r="H26" s="33">
        <v>0.20000000298023224</v>
      </c>
      <c r="I26" s="33">
        <v>74.5</v>
      </c>
      <c r="J26" s="33">
        <v>0</v>
      </c>
      <c r="K26" s="33">
        <v>0.18000000715255737</v>
      </c>
      <c r="L26" s="33">
        <v>2.9999999329447746E-2</v>
      </c>
      <c r="M26" s="33">
        <v>2.5</v>
      </c>
      <c r="N26" s="33">
        <v>0</v>
      </c>
      <c r="O26" s="33">
        <v>292.79998779296875</v>
      </c>
      <c r="P26" s="33">
        <v>26</v>
      </c>
      <c r="Q26" s="33">
        <v>2.2999999523162842</v>
      </c>
      <c r="R26" s="34" t="s">
        <v>315</v>
      </c>
      <c r="S26" s="33">
        <v>0</v>
      </c>
      <c r="T26" s="35">
        <v>0</v>
      </c>
    </row>
    <row r="27" spans="1:20">
      <c r="A27" s="31">
        <v>25</v>
      </c>
      <c r="B27" s="33" t="s">
        <v>339</v>
      </c>
      <c r="C27" s="33">
        <v>100</v>
      </c>
      <c r="D27" s="33">
        <v>344</v>
      </c>
      <c r="E27" s="33">
        <v>12.399999618530273</v>
      </c>
      <c r="F27" s="33">
        <v>10.100000381469727</v>
      </c>
      <c r="G27" s="33">
        <v>0.69999998807907104</v>
      </c>
      <c r="H27" s="33">
        <v>1.6000000238418579</v>
      </c>
      <c r="I27" s="33">
        <v>74.400001525878906</v>
      </c>
      <c r="J27" s="33">
        <v>0</v>
      </c>
      <c r="K27" s="33">
        <v>0.18999999761581421</v>
      </c>
      <c r="L27" s="33">
        <v>3.9999999105930328E-2</v>
      </c>
      <c r="M27" s="33">
        <v>2.5</v>
      </c>
      <c r="N27" s="33">
        <v>1.1100000143051147</v>
      </c>
      <c r="O27" s="33">
        <v>15</v>
      </c>
      <c r="P27" s="33">
        <v>14</v>
      </c>
      <c r="Q27" s="33">
        <v>3.5</v>
      </c>
      <c r="R27" s="34" t="s">
        <v>315</v>
      </c>
      <c r="S27" s="33">
        <v>0</v>
      </c>
      <c r="T27" s="35">
        <v>0</v>
      </c>
    </row>
    <row r="28" spans="1:20">
      <c r="A28" s="31">
        <v>26</v>
      </c>
      <c r="B28" s="33" t="s">
        <v>340</v>
      </c>
      <c r="C28" s="33">
        <v>100</v>
      </c>
      <c r="D28" s="33">
        <v>347</v>
      </c>
      <c r="E28" s="33">
        <v>12.699999809265137</v>
      </c>
      <c r="F28" s="33">
        <v>9.6000003814697266</v>
      </c>
      <c r="G28" s="33">
        <v>0.60000002384185791</v>
      </c>
      <c r="H28" s="33">
        <v>0.30000001192092896</v>
      </c>
      <c r="I28" s="33">
        <v>75.699996948242188</v>
      </c>
      <c r="J28" s="33">
        <v>0</v>
      </c>
      <c r="K28" s="33">
        <v>0.20000000298023224</v>
      </c>
      <c r="L28" s="33">
        <v>3.9999999105930328E-2</v>
      </c>
      <c r="M28" s="33">
        <v>2.4000000953674316</v>
      </c>
      <c r="N28" s="33">
        <v>0.87999999523162842</v>
      </c>
      <c r="O28" s="33">
        <v>110.59999847412109</v>
      </c>
      <c r="P28" s="33">
        <v>21</v>
      </c>
      <c r="Q28" s="33">
        <v>3.2000000476837158</v>
      </c>
      <c r="R28" s="34" t="s">
        <v>315</v>
      </c>
      <c r="S28" s="33">
        <v>0</v>
      </c>
      <c r="T28" s="35">
        <v>0</v>
      </c>
    </row>
    <row r="29" spans="1:20">
      <c r="A29" s="31">
        <v>27</v>
      </c>
      <c r="B29" s="33" t="s">
        <v>341</v>
      </c>
      <c r="C29" s="33">
        <v>100</v>
      </c>
      <c r="D29" s="33">
        <v>383</v>
      </c>
      <c r="E29" s="33">
        <v>0</v>
      </c>
      <c r="F29" s="33">
        <v>10.899999618530273</v>
      </c>
      <c r="G29" s="33">
        <v>0</v>
      </c>
      <c r="H29" s="33">
        <v>3.0999999046325684</v>
      </c>
      <c r="I29" s="33">
        <v>84.800003051757813</v>
      </c>
      <c r="J29" s="33">
        <v>0</v>
      </c>
      <c r="K29" s="33">
        <v>0.41999998688697815</v>
      </c>
      <c r="L29" s="33">
        <v>0.17000000178813934</v>
      </c>
      <c r="M29" s="33">
        <v>0.60000002384185791</v>
      </c>
      <c r="N29" s="33">
        <v>3.2999999523162842</v>
      </c>
      <c r="O29" s="33">
        <v>0</v>
      </c>
      <c r="P29" s="33">
        <v>0</v>
      </c>
      <c r="Q29" s="33">
        <v>0</v>
      </c>
      <c r="R29" s="34" t="s">
        <v>315</v>
      </c>
      <c r="S29" s="33">
        <v>0</v>
      </c>
      <c r="T29" s="35">
        <v>0</v>
      </c>
    </row>
    <row r="30" spans="1:20">
      <c r="A30" s="31">
        <v>28</v>
      </c>
      <c r="B30" s="33" t="s">
        <v>342</v>
      </c>
      <c r="C30" s="33">
        <v>100</v>
      </c>
      <c r="D30" s="33">
        <v>333</v>
      </c>
      <c r="E30" s="33">
        <v>14.300000190734863</v>
      </c>
      <c r="F30" s="33">
        <v>9.3999996185302734</v>
      </c>
      <c r="G30" s="33">
        <v>2.5</v>
      </c>
      <c r="H30" s="33">
        <v>3.9000000953674316</v>
      </c>
      <c r="I30" s="33">
        <v>68.300003051757813</v>
      </c>
      <c r="J30" s="33">
        <v>0</v>
      </c>
      <c r="K30" s="33">
        <v>0.33000001311302185</v>
      </c>
      <c r="L30" s="33">
        <v>0.12999999523162842</v>
      </c>
      <c r="M30" s="33">
        <v>7.9000000953674316</v>
      </c>
      <c r="N30" s="33">
        <v>0.2199999988079071</v>
      </c>
      <c r="O30" s="33">
        <v>7.0999999046325684</v>
      </c>
      <c r="P30" s="33">
        <v>12</v>
      </c>
      <c r="Q30" s="33">
        <v>1.6000000238418579</v>
      </c>
      <c r="R30" s="34" t="s">
        <v>315</v>
      </c>
      <c r="S30" s="33">
        <v>0</v>
      </c>
      <c r="T30" s="35">
        <v>0</v>
      </c>
    </row>
    <row r="31" spans="1:20">
      <c r="A31" s="31">
        <v>29</v>
      </c>
      <c r="B31" s="33" t="s">
        <v>343</v>
      </c>
      <c r="C31" s="33">
        <v>100</v>
      </c>
      <c r="D31" s="33">
        <v>217</v>
      </c>
      <c r="E31" s="33">
        <v>45.700000762939453</v>
      </c>
      <c r="F31" s="33">
        <v>6.4000000953674316</v>
      </c>
      <c r="G31" s="33">
        <v>1</v>
      </c>
      <c r="H31" s="33">
        <v>0</v>
      </c>
      <c r="I31" s="33">
        <v>45.599998474121094</v>
      </c>
      <c r="J31" s="33">
        <v>0</v>
      </c>
      <c r="K31" s="33">
        <v>1.9999999552965164E-2</v>
      </c>
      <c r="L31" s="33">
        <v>1.9999999552965164E-2</v>
      </c>
      <c r="M31" s="33">
        <v>1.1000000238418579</v>
      </c>
      <c r="N31" s="33">
        <v>0</v>
      </c>
      <c r="O31" s="33">
        <v>95</v>
      </c>
      <c r="P31" s="33">
        <v>19</v>
      </c>
      <c r="Q31" s="33">
        <v>0.40000000596046448</v>
      </c>
      <c r="R31" s="34" t="s">
        <v>315</v>
      </c>
      <c r="S31" s="33">
        <v>0</v>
      </c>
      <c r="T31" s="35">
        <v>0</v>
      </c>
    </row>
    <row r="32" spans="1:20">
      <c r="A32" s="31">
        <v>30</v>
      </c>
      <c r="B32" s="33" t="s">
        <v>344</v>
      </c>
      <c r="C32" s="33">
        <v>100</v>
      </c>
      <c r="D32" s="33">
        <v>342</v>
      </c>
      <c r="E32" s="33">
        <v>11.100000381469727</v>
      </c>
      <c r="F32" s="33">
        <v>9.6999998092651367</v>
      </c>
      <c r="G32" s="33">
        <v>1.5</v>
      </c>
      <c r="H32" s="33">
        <v>4.4000000953674316</v>
      </c>
      <c r="I32" s="33">
        <v>72.5</v>
      </c>
      <c r="J32" s="33">
        <v>0</v>
      </c>
      <c r="K32" s="33">
        <v>9.0000003576278687E-2</v>
      </c>
      <c r="L32" s="33">
        <v>0.12999999523162842</v>
      </c>
      <c r="M32" s="33">
        <v>1.2999999523162842</v>
      </c>
      <c r="N32" s="33">
        <v>4.6100001335144043</v>
      </c>
      <c r="O32" s="33">
        <v>3.2999999523162842</v>
      </c>
      <c r="P32" s="33">
        <v>0</v>
      </c>
      <c r="Q32" s="33">
        <v>0</v>
      </c>
      <c r="R32" s="34" t="s">
        <v>315</v>
      </c>
      <c r="S32" s="33">
        <v>0</v>
      </c>
      <c r="T32" s="35">
        <v>0</v>
      </c>
    </row>
    <row r="33" spans="1:20">
      <c r="A33" s="31">
        <v>31</v>
      </c>
      <c r="B33" s="33" t="s">
        <v>345</v>
      </c>
      <c r="C33" s="33">
        <v>100</v>
      </c>
      <c r="D33" s="33">
        <v>333</v>
      </c>
      <c r="E33" s="33">
        <v>6.8000001907348633</v>
      </c>
      <c r="F33" s="33">
        <v>7.5999999046325684</v>
      </c>
      <c r="G33" s="33">
        <v>0.69999998807907104</v>
      </c>
      <c r="H33" s="33">
        <v>9.1000003814697266</v>
      </c>
      <c r="I33" s="33">
        <v>74.699996948242188</v>
      </c>
      <c r="J33" s="33">
        <v>0</v>
      </c>
      <c r="K33" s="33">
        <v>0.10000000149011612</v>
      </c>
      <c r="L33" s="33">
        <v>3.9999999105930328E-2</v>
      </c>
      <c r="M33" s="33">
        <v>0.20000000298023224</v>
      </c>
      <c r="N33" s="33">
        <v>0</v>
      </c>
      <c r="O33" s="33">
        <v>85.5</v>
      </c>
      <c r="P33" s="33">
        <v>9</v>
      </c>
      <c r="Q33" s="33">
        <v>7</v>
      </c>
      <c r="R33" s="34" t="s">
        <v>315</v>
      </c>
      <c r="S33" s="33">
        <v>0</v>
      </c>
      <c r="T33" s="35">
        <v>0</v>
      </c>
    </row>
    <row r="34" spans="1:20">
      <c r="A34" s="31">
        <v>32</v>
      </c>
      <c r="B34" s="33" t="s">
        <v>346</v>
      </c>
      <c r="C34" s="33">
        <v>100</v>
      </c>
      <c r="D34" s="33">
        <v>121</v>
      </c>
      <c r="E34" s="33">
        <v>68.599998474121094</v>
      </c>
      <c r="F34" s="33">
        <v>20.399999618530273</v>
      </c>
      <c r="G34" s="33">
        <v>0.30000001192092896</v>
      </c>
      <c r="H34" s="33">
        <v>0.20000000298023224</v>
      </c>
      <c r="I34" s="33">
        <v>9.1000003814697266</v>
      </c>
      <c r="J34" s="33">
        <v>0</v>
      </c>
      <c r="K34" s="33">
        <v>3.9999999105930328E-2</v>
      </c>
      <c r="L34" s="33">
        <v>5.000000074505806E-2</v>
      </c>
      <c r="M34" s="33">
        <v>1.2000000476837158</v>
      </c>
      <c r="N34" s="33">
        <v>0.41999998688697815</v>
      </c>
      <c r="O34" s="33">
        <v>230</v>
      </c>
      <c r="P34" s="33">
        <v>30</v>
      </c>
      <c r="Q34" s="33">
        <v>2.7000000476837158</v>
      </c>
      <c r="R34" s="34" t="s">
        <v>315</v>
      </c>
      <c r="S34" s="33">
        <v>0</v>
      </c>
      <c r="T34" s="35">
        <v>0</v>
      </c>
    </row>
    <row r="35" spans="1:20">
      <c r="A35" s="31">
        <v>33</v>
      </c>
      <c r="B35" s="33" t="s">
        <v>347</v>
      </c>
      <c r="C35" s="33">
        <v>100</v>
      </c>
      <c r="D35" s="33">
        <v>304</v>
      </c>
      <c r="E35" s="33">
        <v>19.299999237060547</v>
      </c>
      <c r="F35" s="33">
        <v>9.6999998092651367</v>
      </c>
      <c r="G35" s="33">
        <v>2.7000000476837158</v>
      </c>
      <c r="H35" s="33">
        <v>5.8000001907348633</v>
      </c>
      <c r="I35" s="33">
        <v>60.200000762939453</v>
      </c>
      <c r="J35" s="33">
        <v>0</v>
      </c>
      <c r="K35" s="33">
        <v>0.31999999284744263</v>
      </c>
      <c r="L35" s="33">
        <v>0.20999999344348907</v>
      </c>
      <c r="M35" s="33">
        <v>1.5</v>
      </c>
      <c r="N35" s="33">
        <v>1.7300000190734863</v>
      </c>
      <c r="O35" s="33">
        <v>2.2999999523162842</v>
      </c>
      <c r="P35" s="33">
        <v>39</v>
      </c>
      <c r="Q35" s="33">
        <v>4.4000000953674316</v>
      </c>
      <c r="R35" s="34" t="s">
        <v>315</v>
      </c>
      <c r="S35" s="33">
        <v>0</v>
      </c>
      <c r="T35" s="35">
        <v>0</v>
      </c>
    </row>
    <row r="36" spans="1:20">
      <c r="A36" s="31">
        <v>34</v>
      </c>
      <c r="B36" s="33" t="s">
        <v>348</v>
      </c>
      <c r="C36" s="33">
        <v>100</v>
      </c>
      <c r="D36" s="33">
        <v>255</v>
      </c>
      <c r="E36" s="33">
        <v>36.400001525878906</v>
      </c>
      <c r="F36" s="33">
        <v>7.5</v>
      </c>
      <c r="G36" s="33">
        <v>2.2999999523162842</v>
      </c>
      <c r="H36" s="33">
        <v>1.8999999761581421</v>
      </c>
      <c r="I36" s="33">
        <v>51</v>
      </c>
      <c r="J36" s="33">
        <v>0</v>
      </c>
      <c r="K36" s="33">
        <v>1.9999999552965164E-2</v>
      </c>
      <c r="L36" s="33">
        <v>3.9999999105930328E-2</v>
      </c>
      <c r="M36" s="33">
        <v>0</v>
      </c>
      <c r="N36" s="33">
        <v>1.0299999713897705</v>
      </c>
      <c r="O36" s="33">
        <v>149.30000305175781</v>
      </c>
      <c r="P36" s="33">
        <v>20</v>
      </c>
      <c r="Q36" s="33">
        <v>2.4000000953674316</v>
      </c>
      <c r="R36" s="34" t="s">
        <v>315</v>
      </c>
      <c r="S36" s="33">
        <v>0</v>
      </c>
      <c r="T36" s="35">
        <v>0</v>
      </c>
    </row>
    <row r="37" spans="1:20">
      <c r="A37" s="31">
        <v>35</v>
      </c>
      <c r="B37" s="33" t="s">
        <v>349</v>
      </c>
      <c r="C37" s="33">
        <v>100</v>
      </c>
      <c r="D37" s="33">
        <v>233</v>
      </c>
      <c r="E37" s="33">
        <v>40.5</v>
      </c>
      <c r="F37" s="33">
        <v>7.8000001907348633</v>
      </c>
      <c r="G37" s="33">
        <v>1</v>
      </c>
      <c r="H37" s="33">
        <v>1.5</v>
      </c>
      <c r="I37" s="33">
        <v>48.299999237060547</v>
      </c>
      <c r="J37" s="33">
        <v>0</v>
      </c>
      <c r="K37" s="33">
        <v>5.000000074505806E-2</v>
      </c>
      <c r="L37" s="33">
        <v>7.0000000298023224E-2</v>
      </c>
      <c r="M37" s="33">
        <v>0</v>
      </c>
      <c r="N37" s="33">
        <v>0.86000001430511475</v>
      </c>
      <c r="O37" s="33">
        <v>165.19999694824219</v>
      </c>
      <c r="P37" s="33">
        <v>18</v>
      </c>
      <c r="Q37" s="33">
        <v>1.8999999761581421</v>
      </c>
      <c r="R37" s="34" t="s">
        <v>315</v>
      </c>
      <c r="S37" s="33">
        <v>0</v>
      </c>
      <c r="T37" s="35">
        <v>0</v>
      </c>
    </row>
    <row r="38" spans="1:20">
      <c r="A38" s="31">
        <v>36</v>
      </c>
      <c r="B38" s="33" t="s">
        <v>350</v>
      </c>
      <c r="C38" s="33">
        <v>100</v>
      </c>
      <c r="D38" s="33">
        <v>208</v>
      </c>
      <c r="E38" s="33">
        <v>47.299999237060547</v>
      </c>
      <c r="F38" s="33">
        <v>6.1999998092651367</v>
      </c>
      <c r="G38" s="33">
        <v>1.2000000476837158</v>
      </c>
      <c r="H38" s="33">
        <v>1</v>
      </c>
      <c r="I38" s="33">
        <v>43.200000762939453</v>
      </c>
      <c r="J38" s="33">
        <v>0</v>
      </c>
      <c r="K38" s="33">
        <v>1.9999999552965164E-2</v>
      </c>
      <c r="L38" s="33">
        <v>1.9999999552965164E-2</v>
      </c>
      <c r="M38" s="33">
        <v>0</v>
      </c>
      <c r="N38" s="33">
        <v>9.0000003576278687E-2</v>
      </c>
      <c r="O38" s="33">
        <v>165</v>
      </c>
      <c r="P38" s="33">
        <v>58</v>
      </c>
      <c r="Q38" s="33">
        <v>1.7000000476837158</v>
      </c>
      <c r="R38" s="34" t="s">
        <v>315</v>
      </c>
      <c r="S38" s="33">
        <v>0</v>
      </c>
      <c r="T38" s="35">
        <v>0</v>
      </c>
    </row>
    <row r="39" spans="1:20">
      <c r="A39" s="31">
        <v>37</v>
      </c>
      <c r="B39" s="33" t="s">
        <v>351</v>
      </c>
      <c r="C39" s="33">
        <v>100</v>
      </c>
      <c r="D39" s="33">
        <v>140</v>
      </c>
      <c r="E39" s="33">
        <v>63.5</v>
      </c>
      <c r="F39" s="33">
        <v>23.5</v>
      </c>
      <c r="G39" s="33">
        <v>0.10000000149011612</v>
      </c>
      <c r="H39" s="33">
        <v>0.89999997615814209</v>
      </c>
      <c r="I39" s="33">
        <v>11.399999618530273</v>
      </c>
      <c r="J39" s="33">
        <v>0</v>
      </c>
      <c r="K39" s="33">
        <v>0.10000000149011612</v>
      </c>
      <c r="L39" s="33">
        <v>7.0000000298023224E-2</v>
      </c>
      <c r="M39" s="33">
        <v>1.1000000238418579</v>
      </c>
      <c r="N39" s="33">
        <v>0.64999997615814209</v>
      </c>
      <c r="O39" s="33">
        <v>15</v>
      </c>
      <c r="P39" s="33">
        <v>76</v>
      </c>
      <c r="Q39" s="33">
        <v>4.1999998092651367</v>
      </c>
      <c r="R39" s="34" t="s">
        <v>315</v>
      </c>
      <c r="S39" s="33">
        <v>0</v>
      </c>
      <c r="T39" s="35">
        <v>0</v>
      </c>
    </row>
    <row r="40" spans="1:20">
      <c r="A40" s="31">
        <v>38</v>
      </c>
      <c r="B40" s="33" t="s">
        <v>352</v>
      </c>
      <c r="C40" s="33">
        <v>100</v>
      </c>
      <c r="D40" s="33">
        <v>490</v>
      </c>
      <c r="E40" s="33">
        <v>7.0999999046325684</v>
      </c>
      <c r="F40" s="33">
        <v>26.899999618530273</v>
      </c>
      <c r="G40" s="33">
        <v>25.100000381469727</v>
      </c>
      <c r="H40" s="33">
        <v>1.2999999523162842</v>
      </c>
      <c r="I40" s="33">
        <v>39.099998474121094</v>
      </c>
      <c r="J40" s="33">
        <v>0</v>
      </c>
      <c r="K40" s="33">
        <v>2.9999999329447746E-2</v>
      </c>
      <c r="L40" s="33">
        <v>5.000000074505806E-2</v>
      </c>
      <c r="M40" s="33">
        <v>2.2000000476837158</v>
      </c>
      <c r="N40" s="33">
        <v>7.179999828338623</v>
      </c>
      <c r="O40" s="33">
        <v>29.5</v>
      </c>
      <c r="P40" s="33">
        <v>29</v>
      </c>
      <c r="Q40" s="33">
        <v>2.5</v>
      </c>
      <c r="R40" s="34" t="s">
        <v>315</v>
      </c>
      <c r="S40" s="33">
        <v>0</v>
      </c>
      <c r="T40" s="35">
        <v>0</v>
      </c>
    </row>
    <row r="41" spans="1:20">
      <c r="A41" s="31">
        <v>39</v>
      </c>
      <c r="B41" s="33" t="s">
        <v>353</v>
      </c>
      <c r="C41" s="33">
        <v>100</v>
      </c>
      <c r="D41" s="33">
        <v>285</v>
      </c>
      <c r="E41" s="33">
        <v>29.200000762939453</v>
      </c>
      <c r="F41" s="33">
        <v>9.3000001907348633</v>
      </c>
      <c r="G41" s="33">
        <v>1.1000000238418579</v>
      </c>
      <c r="H41" s="33">
        <v>0.40000000596046448</v>
      </c>
      <c r="I41" s="33">
        <v>59.5</v>
      </c>
      <c r="J41" s="33">
        <v>0</v>
      </c>
      <c r="K41" s="33">
        <v>0.18000000715255737</v>
      </c>
      <c r="L41" s="33">
        <v>3.9999999105930328E-2</v>
      </c>
      <c r="M41" s="33">
        <v>2.2000000476837158</v>
      </c>
      <c r="N41" s="33">
        <v>0</v>
      </c>
      <c r="O41" s="33">
        <v>1.5</v>
      </c>
      <c r="P41" s="33">
        <v>24</v>
      </c>
      <c r="Q41" s="33">
        <v>2</v>
      </c>
      <c r="R41" s="34" t="s">
        <v>315</v>
      </c>
      <c r="S41" s="33">
        <v>0</v>
      </c>
      <c r="T41" s="35">
        <v>0</v>
      </c>
    </row>
    <row r="42" spans="1:20">
      <c r="A42" s="31">
        <v>40</v>
      </c>
      <c r="B42" s="33" t="s">
        <v>354</v>
      </c>
      <c r="C42" s="33">
        <v>100</v>
      </c>
      <c r="D42" s="33">
        <v>355</v>
      </c>
      <c r="E42" s="33">
        <v>10.5</v>
      </c>
      <c r="F42" s="33">
        <v>11</v>
      </c>
      <c r="G42" s="33">
        <v>0.10000000149011612</v>
      </c>
      <c r="H42" s="33">
        <v>0.20000000298023224</v>
      </c>
      <c r="I42" s="33">
        <v>77.5</v>
      </c>
      <c r="J42" s="33">
        <v>0</v>
      </c>
      <c r="K42" s="33">
        <v>0.2800000011920929</v>
      </c>
      <c r="L42" s="33">
        <v>5.000000074505806E-2</v>
      </c>
      <c r="M42" s="33">
        <v>2.7000000476837158</v>
      </c>
      <c r="N42" s="33">
        <v>0</v>
      </c>
      <c r="O42" s="33">
        <v>60.900001525878906</v>
      </c>
      <c r="P42" s="33">
        <v>8</v>
      </c>
      <c r="Q42" s="33">
        <v>9.6000003814697266</v>
      </c>
      <c r="R42" s="34" t="s">
        <v>315</v>
      </c>
      <c r="S42" s="33">
        <v>0</v>
      </c>
      <c r="T42" s="35">
        <v>0</v>
      </c>
    </row>
    <row r="43" spans="1:20">
      <c r="A43" s="31">
        <v>41</v>
      </c>
      <c r="B43" s="33" t="s">
        <v>355</v>
      </c>
      <c r="C43" s="33">
        <v>100</v>
      </c>
      <c r="D43" s="33">
        <v>109</v>
      </c>
      <c r="E43" s="33">
        <v>72.599998474121094</v>
      </c>
      <c r="F43" s="33">
        <v>2.7000000476837158</v>
      </c>
      <c r="G43" s="33">
        <v>0.20000000298023224</v>
      </c>
      <c r="H43" s="33">
        <v>0.10000000149011612</v>
      </c>
      <c r="I43" s="33">
        <v>24.200000762939453</v>
      </c>
      <c r="J43" s="33">
        <v>0</v>
      </c>
      <c r="K43" s="33">
        <v>0</v>
      </c>
      <c r="L43" s="33">
        <v>9.9999997764825821E-3</v>
      </c>
      <c r="M43" s="33">
        <v>1.7999999523162842</v>
      </c>
      <c r="N43" s="33">
        <v>0</v>
      </c>
      <c r="O43" s="33">
        <v>26.899999618530273</v>
      </c>
      <c r="P43" s="33">
        <v>4</v>
      </c>
      <c r="Q43" s="33">
        <v>0.5</v>
      </c>
      <c r="R43" s="34" t="s">
        <v>315</v>
      </c>
      <c r="S43" s="33">
        <v>0</v>
      </c>
      <c r="T43" s="35">
        <v>0</v>
      </c>
    </row>
    <row r="44" spans="1:20">
      <c r="A44" s="31">
        <v>42</v>
      </c>
      <c r="B44" s="33" t="s">
        <v>356</v>
      </c>
      <c r="C44" s="33">
        <v>100</v>
      </c>
      <c r="D44" s="33">
        <v>429</v>
      </c>
      <c r="E44" s="33">
        <v>6.0999999046325684</v>
      </c>
      <c r="F44" s="33">
        <v>8.5</v>
      </c>
      <c r="G44" s="33">
        <v>15.100000381469727</v>
      </c>
      <c r="H44" s="33">
        <v>3.5999999046325684</v>
      </c>
      <c r="I44" s="33">
        <v>64.699996948242188</v>
      </c>
      <c r="J44" s="33">
        <v>0</v>
      </c>
      <c r="K44" s="33">
        <v>0</v>
      </c>
      <c r="L44" s="33">
        <v>9.9999997764825821E-3</v>
      </c>
      <c r="M44" s="33">
        <v>2.7999999523162842</v>
      </c>
      <c r="N44" s="33">
        <v>1.2200000286102295</v>
      </c>
      <c r="O44" s="33">
        <v>304.20001220703125</v>
      </c>
      <c r="P44" s="33">
        <v>17</v>
      </c>
      <c r="Q44" s="33">
        <v>2</v>
      </c>
      <c r="R44" s="34" t="s">
        <v>315</v>
      </c>
      <c r="S44" s="33">
        <v>0</v>
      </c>
      <c r="T44" s="35">
        <v>0</v>
      </c>
    </row>
    <row r="45" spans="1:20">
      <c r="A45" s="31">
        <v>43</v>
      </c>
      <c r="B45" s="33" t="s">
        <v>357</v>
      </c>
      <c r="C45" s="33">
        <v>100</v>
      </c>
      <c r="D45" s="33">
        <v>280</v>
      </c>
      <c r="E45" s="33">
        <v>29.700000762939453</v>
      </c>
      <c r="F45" s="33">
        <v>8.5</v>
      </c>
      <c r="G45" s="33">
        <v>1.6000000238418579</v>
      </c>
      <c r="H45" s="33">
        <v>1.5</v>
      </c>
      <c r="I45" s="33">
        <v>58</v>
      </c>
      <c r="J45" s="33">
        <v>0</v>
      </c>
      <c r="K45" s="33">
        <v>0.34999999403953552</v>
      </c>
      <c r="L45" s="33">
        <v>0.10000000149011612</v>
      </c>
      <c r="M45" s="33">
        <v>3.0999999046325684</v>
      </c>
      <c r="N45" s="33">
        <v>0.4699999988079071</v>
      </c>
      <c r="O45" s="33">
        <v>3.4000000953674316</v>
      </c>
      <c r="P45" s="33">
        <v>13</v>
      </c>
      <c r="Q45" s="33">
        <v>2.5999999046325684</v>
      </c>
      <c r="R45" s="34" t="s">
        <v>315</v>
      </c>
      <c r="S45" s="33">
        <v>0</v>
      </c>
      <c r="T45" s="35">
        <v>0</v>
      </c>
    </row>
    <row r="46" spans="1:20">
      <c r="A46" s="31">
        <v>44</v>
      </c>
      <c r="B46" s="33" t="s">
        <v>358</v>
      </c>
      <c r="C46" s="33">
        <v>100</v>
      </c>
      <c r="D46" s="33">
        <v>114</v>
      </c>
      <c r="E46" s="33">
        <v>71.099998474121094</v>
      </c>
      <c r="F46" s="33">
        <v>2.5</v>
      </c>
      <c r="G46" s="33">
        <v>0.20000000298023224</v>
      </c>
      <c r="H46" s="33">
        <v>0.40000000596046448</v>
      </c>
      <c r="I46" s="33">
        <v>25.600000381469727</v>
      </c>
      <c r="J46" s="33">
        <v>0</v>
      </c>
      <c r="K46" s="33">
        <v>1.9999999552965164E-2</v>
      </c>
      <c r="L46" s="33">
        <v>2.9999999329447746E-2</v>
      </c>
      <c r="M46" s="33">
        <v>1.7000000476837158</v>
      </c>
      <c r="N46" s="33">
        <v>0</v>
      </c>
      <c r="O46" s="33">
        <v>1.7000000476837158</v>
      </c>
      <c r="P46" s="33">
        <v>6</v>
      </c>
      <c r="Q46" s="33">
        <v>0.30000001192092896</v>
      </c>
      <c r="R46" s="34" t="s">
        <v>315</v>
      </c>
      <c r="S46" s="33">
        <v>0</v>
      </c>
      <c r="T46" s="35">
        <v>0</v>
      </c>
    </row>
    <row r="47" spans="1:20">
      <c r="A47" s="31">
        <v>45</v>
      </c>
      <c r="B47" s="33" t="s">
        <v>359</v>
      </c>
      <c r="C47" s="33">
        <v>100</v>
      </c>
      <c r="D47" s="33">
        <v>117</v>
      </c>
      <c r="E47" s="33">
        <v>70.599998474121094</v>
      </c>
      <c r="F47" s="33">
        <v>2.5999999046325684</v>
      </c>
      <c r="G47" s="33">
        <v>0.30000001192092896</v>
      </c>
      <c r="H47" s="33">
        <v>0.20000000298023224</v>
      </c>
      <c r="I47" s="33">
        <v>26</v>
      </c>
      <c r="J47" s="33">
        <v>0</v>
      </c>
      <c r="K47" s="33">
        <v>0</v>
      </c>
      <c r="L47" s="33">
        <v>2.9999999329447746E-2</v>
      </c>
      <c r="M47" s="33">
        <v>2</v>
      </c>
      <c r="N47" s="33">
        <v>0</v>
      </c>
      <c r="O47" s="33">
        <v>3.2999999523162842</v>
      </c>
      <c r="P47" s="33">
        <v>7</v>
      </c>
      <c r="Q47" s="33">
        <v>2.2000000476837158</v>
      </c>
      <c r="R47" s="34" t="s">
        <v>315</v>
      </c>
      <c r="S47" s="33">
        <v>0</v>
      </c>
      <c r="T47" s="35">
        <v>0</v>
      </c>
    </row>
    <row r="48" spans="1:20">
      <c r="A48" s="31">
        <v>46</v>
      </c>
      <c r="B48" s="33" t="s">
        <v>360</v>
      </c>
      <c r="C48" s="33">
        <v>100</v>
      </c>
      <c r="D48" s="33">
        <v>346</v>
      </c>
      <c r="E48" s="33">
        <v>12.300000190734863</v>
      </c>
      <c r="F48" s="33">
        <v>8</v>
      </c>
      <c r="G48" s="33">
        <v>0.10000000149011612</v>
      </c>
      <c r="H48" s="33">
        <v>0.10000000149011612</v>
      </c>
      <c r="I48" s="33">
        <v>78.199996948242188</v>
      </c>
      <c r="J48" s="33">
        <v>0</v>
      </c>
      <c r="K48" s="33">
        <v>2.9999999329447746E-2</v>
      </c>
      <c r="L48" s="33">
        <v>0</v>
      </c>
      <c r="M48" s="33">
        <v>0.20000000298023224</v>
      </c>
      <c r="N48" s="33">
        <v>0</v>
      </c>
      <c r="O48" s="33">
        <v>5.9000000953674316</v>
      </c>
      <c r="P48" s="33">
        <v>0</v>
      </c>
      <c r="Q48" s="33">
        <v>1.3999999761581421</v>
      </c>
      <c r="R48" s="34" t="s">
        <v>315</v>
      </c>
      <c r="S48" s="33">
        <v>0</v>
      </c>
      <c r="T48" s="35">
        <v>0</v>
      </c>
    </row>
    <row r="49" spans="1:20">
      <c r="A49" s="31">
        <v>47</v>
      </c>
      <c r="B49" s="33" t="s">
        <v>361</v>
      </c>
      <c r="C49" s="33">
        <v>100</v>
      </c>
      <c r="D49" s="33">
        <v>355</v>
      </c>
      <c r="E49" s="33">
        <v>10.699999809265137</v>
      </c>
      <c r="F49" s="33">
        <v>7.4000000953674316</v>
      </c>
      <c r="G49" s="33">
        <v>0.10000000149011612</v>
      </c>
      <c r="H49" s="33">
        <v>0.30000001192092896</v>
      </c>
      <c r="I49" s="33">
        <v>81.199996948242188</v>
      </c>
      <c r="J49" s="33">
        <v>0</v>
      </c>
      <c r="K49" s="33">
        <v>1.9999999552965164E-2</v>
      </c>
      <c r="L49" s="33">
        <v>1.9999999552965164E-2</v>
      </c>
      <c r="M49" s="33">
        <v>0.60000002384185791</v>
      </c>
      <c r="N49" s="33">
        <v>0</v>
      </c>
      <c r="O49" s="33">
        <v>16.299999237060547</v>
      </c>
      <c r="P49" s="33">
        <v>6</v>
      </c>
      <c r="Q49" s="33">
        <v>3.2000000476837158</v>
      </c>
      <c r="R49" s="34" t="s">
        <v>315</v>
      </c>
      <c r="S49" s="33">
        <v>0</v>
      </c>
      <c r="T49" s="35">
        <v>0</v>
      </c>
    </row>
    <row r="50" spans="1:20">
      <c r="A50" s="31">
        <v>48</v>
      </c>
      <c r="B50" s="33" t="s">
        <v>362</v>
      </c>
      <c r="C50" s="33">
        <v>100</v>
      </c>
      <c r="D50" s="33">
        <v>46</v>
      </c>
      <c r="E50" s="33">
        <v>88.599998474121094</v>
      </c>
      <c r="F50" s="33">
        <v>1.1000000238418579</v>
      </c>
      <c r="G50" s="33">
        <v>0.30000001192092896</v>
      </c>
      <c r="H50" s="33">
        <v>0.10000000149011612</v>
      </c>
      <c r="I50" s="33">
        <v>9.8000001907348633</v>
      </c>
      <c r="J50" s="33">
        <v>0</v>
      </c>
      <c r="K50" s="33">
        <v>0</v>
      </c>
      <c r="L50" s="33">
        <v>2.9999999329447746E-2</v>
      </c>
      <c r="M50" s="33">
        <v>0.20000000298023224</v>
      </c>
      <c r="N50" s="33">
        <v>0</v>
      </c>
      <c r="O50" s="33">
        <v>2.7999999523162842</v>
      </c>
      <c r="P50" s="33">
        <v>7</v>
      </c>
      <c r="Q50" s="33">
        <v>0.10000000149011612</v>
      </c>
      <c r="R50" s="34" t="s">
        <v>315</v>
      </c>
      <c r="S50" s="33">
        <v>0</v>
      </c>
      <c r="T50" s="35">
        <v>0</v>
      </c>
    </row>
    <row r="51" spans="1:20">
      <c r="A51" s="31">
        <v>49</v>
      </c>
      <c r="B51" s="33" t="s">
        <v>363</v>
      </c>
      <c r="C51" s="33">
        <v>100</v>
      </c>
      <c r="D51" s="33">
        <v>348</v>
      </c>
      <c r="E51" s="33">
        <v>9.3999996185302734</v>
      </c>
      <c r="F51" s="33">
        <v>10.600000381469727</v>
      </c>
      <c r="G51" s="33">
        <v>0.60000002384185791</v>
      </c>
      <c r="H51" s="33">
        <v>0</v>
      </c>
      <c r="I51" s="33">
        <v>75.099998474121094</v>
      </c>
      <c r="J51" s="33">
        <v>0</v>
      </c>
      <c r="K51" s="33">
        <v>0.44999998807907104</v>
      </c>
      <c r="L51" s="33">
        <v>0.18000000715255737</v>
      </c>
      <c r="M51" s="33">
        <v>1.2000000476837158</v>
      </c>
      <c r="N51" s="33">
        <v>3.5</v>
      </c>
      <c r="O51" s="33">
        <v>9.6000003814697266</v>
      </c>
      <c r="P51" s="33">
        <v>99</v>
      </c>
      <c r="Q51" s="33">
        <v>5</v>
      </c>
      <c r="R51" s="34" t="s">
        <v>315</v>
      </c>
      <c r="S51" s="33">
        <v>0</v>
      </c>
      <c r="T51" s="35">
        <v>0</v>
      </c>
    </row>
    <row r="52" spans="1:20">
      <c r="A52" s="31">
        <v>50</v>
      </c>
      <c r="B52" s="33" t="s">
        <v>364</v>
      </c>
      <c r="C52" s="33">
        <v>100</v>
      </c>
      <c r="D52" s="33">
        <v>374</v>
      </c>
      <c r="E52" s="33">
        <v>7.5999999046325684</v>
      </c>
      <c r="F52" s="33">
        <v>8.1000003814697266</v>
      </c>
      <c r="G52" s="33">
        <v>2.5999999046325684</v>
      </c>
      <c r="H52" s="33">
        <v>1</v>
      </c>
      <c r="I52" s="33">
        <v>79.5</v>
      </c>
      <c r="J52" s="33">
        <v>0</v>
      </c>
      <c r="K52" s="33">
        <v>0.28999999165534973</v>
      </c>
      <c r="L52" s="33">
        <v>3.9999999105930328E-2</v>
      </c>
      <c r="M52" s="33">
        <v>0.69999998807907104</v>
      </c>
      <c r="N52" s="33">
        <v>0</v>
      </c>
      <c r="O52" s="33">
        <v>10.699999809265137</v>
      </c>
      <c r="P52" s="33">
        <v>12</v>
      </c>
      <c r="Q52" s="33">
        <v>14.300000190734863</v>
      </c>
      <c r="R52" s="34" t="s">
        <v>315</v>
      </c>
      <c r="S52" s="33">
        <v>0</v>
      </c>
      <c r="T52" s="35">
        <v>0</v>
      </c>
    </row>
    <row r="53" spans="1:20">
      <c r="A53" s="31">
        <v>51</v>
      </c>
      <c r="B53" s="33" t="s">
        <v>365</v>
      </c>
      <c r="C53" s="33">
        <v>100</v>
      </c>
      <c r="D53" s="33">
        <v>344</v>
      </c>
      <c r="E53" s="33">
        <v>14.199999809265137</v>
      </c>
      <c r="F53" s="33">
        <v>9</v>
      </c>
      <c r="G53" s="33">
        <v>1</v>
      </c>
      <c r="H53" s="33">
        <v>0.60000002384185791</v>
      </c>
      <c r="I53" s="33">
        <v>74.699996948242188</v>
      </c>
      <c r="J53" s="33">
        <v>0</v>
      </c>
      <c r="K53" s="33">
        <v>0.10000000149011612</v>
      </c>
      <c r="L53" s="33">
        <v>2.9999999329447746E-2</v>
      </c>
      <c r="M53" s="33">
        <v>1.8999999761581421</v>
      </c>
      <c r="N53" s="33">
        <v>0.93000000715255737</v>
      </c>
      <c r="O53" s="33">
        <v>1.2000000476837158</v>
      </c>
      <c r="P53" s="33">
        <v>8</v>
      </c>
      <c r="Q53" s="33">
        <v>0.80000001192092896</v>
      </c>
      <c r="R53" s="34" t="s">
        <v>315</v>
      </c>
      <c r="S53" s="33">
        <v>0</v>
      </c>
      <c r="T53" s="35">
        <v>0</v>
      </c>
    </row>
    <row r="54" spans="1:20">
      <c r="A54" s="31">
        <v>52</v>
      </c>
      <c r="B54" s="33" t="s">
        <v>366</v>
      </c>
      <c r="C54" s="33">
        <v>100</v>
      </c>
      <c r="D54" s="33">
        <v>343</v>
      </c>
      <c r="E54" s="33">
        <v>13.800000190734863</v>
      </c>
      <c r="F54" s="33">
        <v>7.9000000953674316</v>
      </c>
      <c r="G54" s="33">
        <v>0.80000001192092896</v>
      </c>
      <c r="H54" s="33">
        <v>0.69999998807907104</v>
      </c>
      <c r="I54" s="33">
        <v>76</v>
      </c>
      <c r="J54" s="33">
        <v>0</v>
      </c>
      <c r="K54" s="33">
        <v>0.20000000298023224</v>
      </c>
      <c r="L54" s="33">
        <v>5.000000074505806E-2</v>
      </c>
      <c r="M54" s="33">
        <v>1.7000000476837158</v>
      </c>
      <c r="N54" s="33">
        <v>7.9999998211860657E-2</v>
      </c>
      <c r="O54" s="33">
        <v>2.7999999523162842</v>
      </c>
      <c r="P54" s="33">
        <v>21</v>
      </c>
      <c r="Q54" s="33">
        <v>1.8999999761581421</v>
      </c>
      <c r="R54" s="34" t="s">
        <v>315</v>
      </c>
      <c r="S54" s="33">
        <v>0</v>
      </c>
      <c r="T54" s="35">
        <v>0</v>
      </c>
    </row>
    <row r="55" spans="1:20">
      <c r="A55" s="31">
        <v>53</v>
      </c>
      <c r="B55" s="33" t="s">
        <v>367</v>
      </c>
      <c r="C55" s="33">
        <v>100</v>
      </c>
      <c r="D55" s="33">
        <v>348</v>
      </c>
      <c r="E55" s="33">
        <v>12.600000381469727</v>
      </c>
      <c r="F55" s="33">
        <v>7.3000001907348633</v>
      </c>
      <c r="G55" s="33">
        <v>1</v>
      </c>
      <c r="H55" s="33">
        <v>0.80000001192092896</v>
      </c>
      <c r="I55" s="33">
        <v>77.5</v>
      </c>
      <c r="J55" s="33">
        <v>0</v>
      </c>
      <c r="K55" s="33">
        <v>0.10999999940395355</v>
      </c>
      <c r="L55" s="33">
        <v>3.9999999105930328E-2</v>
      </c>
      <c r="M55" s="33">
        <v>2.2999999523162842</v>
      </c>
      <c r="N55" s="33">
        <v>1.2899999618530273</v>
      </c>
      <c r="O55" s="33">
        <v>1.5</v>
      </c>
      <c r="P55" s="33">
        <v>26</v>
      </c>
      <c r="Q55" s="33">
        <v>1.3999999761581421</v>
      </c>
      <c r="R55" s="34" t="s">
        <v>315</v>
      </c>
      <c r="S55" s="33">
        <v>0</v>
      </c>
      <c r="T55" s="35">
        <v>0</v>
      </c>
    </row>
    <row r="56" spans="1:20">
      <c r="A56" s="31">
        <v>54</v>
      </c>
      <c r="B56" s="33" t="s">
        <v>368</v>
      </c>
      <c r="C56" s="33">
        <v>100</v>
      </c>
      <c r="D56" s="33">
        <v>352</v>
      </c>
      <c r="E56" s="33">
        <v>12.300000190734863</v>
      </c>
      <c r="F56" s="33">
        <v>7.9000000953674316</v>
      </c>
      <c r="G56" s="33">
        <v>1.1000000238418579</v>
      </c>
      <c r="H56" s="33">
        <v>0.5</v>
      </c>
      <c r="I56" s="33">
        <v>77.5</v>
      </c>
      <c r="J56" s="33">
        <v>0</v>
      </c>
      <c r="K56" s="33">
        <v>0.18999999761581421</v>
      </c>
      <c r="L56" s="33">
        <v>3.9999999105930328E-2</v>
      </c>
      <c r="M56" s="33">
        <v>2.2999999523162842</v>
      </c>
      <c r="N56" s="33">
        <v>0</v>
      </c>
      <c r="O56" s="33">
        <v>1.8999999761581421</v>
      </c>
      <c r="P56" s="33">
        <v>14</v>
      </c>
      <c r="Q56" s="33">
        <v>1.7999999523162842</v>
      </c>
      <c r="R56" s="34" t="s">
        <v>315</v>
      </c>
      <c r="S56" s="33">
        <v>0</v>
      </c>
      <c r="T56" s="35">
        <v>0</v>
      </c>
    </row>
    <row r="57" spans="1:20">
      <c r="A57" s="31">
        <v>55</v>
      </c>
      <c r="B57" s="33" t="s">
        <v>369</v>
      </c>
      <c r="C57" s="33">
        <v>64</v>
      </c>
      <c r="D57" s="33">
        <v>344</v>
      </c>
      <c r="E57" s="33">
        <v>11.300000190734863</v>
      </c>
      <c r="F57" s="33">
        <v>7.0999999046325684</v>
      </c>
      <c r="G57" s="33">
        <v>0</v>
      </c>
      <c r="H57" s="33">
        <v>1.2000000476837158</v>
      </c>
      <c r="I57" s="33">
        <v>79</v>
      </c>
      <c r="J57" s="33">
        <v>7</v>
      </c>
      <c r="K57" s="33">
        <v>0.18999999761581421</v>
      </c>
      <c r="L57" s="33">
        <v>3.9999999105930328E-2</v>
      </c>
      <c r="M57" s="33">
        <v>0.69999998807907104</v>
      </c>
      <c r="N57" s="33">
        <v>0.12999999523162842</v>
      </c>
      <c r="O57" s="33">
        <v>4.0999999046325684</v>
      </c>
      <c r="P57" s="33">
        <v>19</v>
      </c>
      <c r="Q57" s="33">
        <v>3</v>
      </c>
      <c r="R57" s="34" t="s">
        <v>315</v>
      </c>
      <c r="S57" s="33">
        <v>0</v>
      </c>
      <c r="T57" s="35">
        <v>0</v>
      </c>
    </row>
    <row r="58" spans="1:20">
      <c r="A58" s="31">
        <v>56</v>
      </c>
      <c r="B58" s="33" t="s">
        <v>370</v>
      </c>
      <c r="C58" s="33">
        <v>100</v>
      </c>
      <c r="D58" s="33">
        <v>343</v>
      </c>
      <c r="E58" s="33">
        <v>13.800000190734863</v>
      </c>
      <c r="F58" s="33">
        <v>8.3000001907348633</v>
      </c>
      <c r="G58" s="33">
        <v>1.7000000476837158</v>
      </c>
      <c r="H58" s="33">
        <v>1.3999999761581421</v>
      </c>
      <c r="I58" s="33">
        <v>73.699996948242188</v>
      </c>
      <c r="J58" s="33">
        <v>0</v>
      </c>
      <c r="K58" s="33">
        <v>0.31000000238418579</v>
      </c>
      <c r="L58" s="33">
        <v>0.11999999731779099</v>
      </c>
      <c r="M58" s="33">
        <v>4.1999998092651367</v>
      </c>
      <c r="N58" s="33">
        <v>1.3600000143051147</v>
      </c>
      <c r="O58" s="33">
        <v>4</v>
      </c>
      <c r="P58" s="33">
        <v>13</v>
      </c>
      <c r="Q58" s="33">
        <v>3.9000000953674316</v>
      </c>
      <c r="R58" s="34" t="s">
        <v>315</v>
      </c>
      <c r="S58" s="33">
        <v>0</v>
      </c>
      <c r="T58" s="35">
        <v>0</v>
      </c>
    </row>
    <row r="59" spans="1:20">
      <c r="A59" s="31">
        <v>57</v>
      </c>
      <c r="B59" s="33" t="s">
        <v>371</v>
      </c>
      <c r="C59" s="33">
        <v>100</v>
      </c>
      <c r="D59" s="33">
        <v>324</v>
      </c>
      <c r="E59" s="33">
        <v>13</v>
      </c>
      <c r="F59" s="33">
        <v>9.3000001907348633</v>
      </c>
      <c r="G59" s="33">
        <v>2.2999999523162842</v>
      </c>
      <c r="H59" s="33">
        <v>6.5</v>
      </c>
      <c r="I59" s="33">
        <v>66.5</v>
      </c>
      <c r="J59" s="33">
        <v>3</v>
      </c>
      <c r="K59" s="33">
        <v>0.2800000011920929</v>
      </c>
      <c r="L59" s="33">
        <v>0.15999999642372131</v>
      </c>
      <c r="M59" s="33">
        <v>2.2000000476837158</v>
      </c>
      <c r="N59" s="33">
        <v>4.4000000953674316</v>
      </c>
      <c r="O59" s="33">
        <v>4.6999998092651367</v>
      </c>
      <c r="P59" s="33">
        <v>47</v>
      </c>
      <c r="Q59" s="33">
        <v>6.1999998092651367</v>
      </c>
      <c r="R59" s="34" t="s">
        <v>315</v>
      </c>
      <c r="S59" s="33">
        <v>0</v>
      </c>
      <c r="T59" s="35">
        <v>0</v>
      </c>
    </row>
    <row r="60" spans="1:20">
      <c r="A60" s="31">
        <v>58</v>
      </c>
      <c r="B60" s="33" t="s">
        <v>372</v>
      </c>
      <c r="C60" s="33">
        <v>100</v>
      </c>
      <c r="D60" s="33">
        <v>298</v>
      </c>
      <c r="E60" s="33">
        <v>12.100000381469727</v>
      </c>
      <c r="F60" s="33">
        <v>10.199999809265137</v>
      </c>
      <c r="G60" s="33">
        <v>1.2000000476837158</v>
      </c>
      <c r="H60" s="33">
        <v>13.399999618530273</v>
      </c>
      <c r="I60" s="33">
        <v>61.599998474121094</v>
      </c>
      <c r="J60" s="33">
        <v>0</v>
      </c>
      <c r="K60" s="33">
        <v>0.31999999284744263</v>
      </c>
      <c r="L60" s="33">
        <v>0.20999999344348907</v>
      </c>
      <c r="M60" s="33">
        <v>3.5999999046325684</v>
      </c>
      <c r="N60" s="33">
        <v>1.25</v>
      </c>
      <c r="O60" s="33">
        <v>0</v>
      </c>
      <c r="P60" s="33">
        <v>0</v>
      </c>
      <c r="Q60" s="33">
        <v>0</v>
      </c>
      <c r="R60" s="34" t="s">
        <v>315</v>
      </c>
      <c r="S60" s="33">
        <v>0</v>
      </c>
      <c r="T60" s="35">
        <v>0</v>
      </c>
    </row>
    <row r="61" spans="1:20">
      <c r="A61" s="31">
        <v>59</v>
      </c>
      <c r="B61" s="33" t="s">
        <v>373</v>
      </c>
      <c r="C61" s="33">
        <v>100</v>
      </c>
      <c r="D61" s="33">
        <v>302</v>
      </c>
      <c r="E61" s="33">
        <v>25.899999618530273</v>
      </c>
      <c r="F61" s="33">
        <v>8</v>
      </c>
      <c r="G61" s="33">
        <v>2.0999999046325684</v>
      </c>
      <c r="H61" s="33">
        <v>0</v>
      </c>
      <c r="I61" s="33">
        <v>62.700000762939453</v>
      </c>
      <c r="J61" s="33">
        <v>0</v>
      </c>
      <c r="K61" s="33">
        <v>0</v>
      </c>
      <c r="L61" s="33">
        <v>9.9999997764825821E-3</v>
      </c>
      <c r="M61" s="33">
        <v>1.1000000238418579</v>
      </c>
      <c r="N61" s="33">
        <v>0.38999998569488525</v>
      </c>
      <c r="O61" s="33">
        <v>62.5</v>
      </c>
      <c r="P61" s="33">
        <v>51</v>
      </c>
      <c r="Q61" s="33">
        <v>1.6000000238418579</v>
      </c>
      <c r="R61" s="34" t="s">
        <v>315</v>
      </c>
      <c r="S61" s="33">
        <v>0</v>
      </c>
      <c r="T61" s="35">
        <v>0</v>
      </c>
    </row>
    <row r="62" spans="1:20">
      <c r="A62" s="31">
        <v>60</v>
      </c>
      <c r="B62" s="33" t="s">
        <v>374</v>
      </c>
      <c r="C62" s="33">
        <v>100</v>
      </c>
      <c r="D62" s="33">
        <v>362</v>
      </c>
      <c r="E62" s="33">
        <v>10.600000381469727</v>
      </c>
      <c r="F62" s="33">
        <v>9.8999996185302734</v>
      </c>
      <c r="G62" s="33">
        <v>1.1000000238418579</v>
      </c>
      <c r="H62" s="33">
        <v>0</v>
      </c>
      <c r="I62" s="33">
        <v>78.199996948242188</v>
      </c>
      <c r="J62" s="33">
        <v>0</v>
      </c>
      <c r="K62" s="33">
        <v>9.9999997764825821E-3</v>
      </c>
      <c r="L62" s="33">
        <v>7.9999998211860657E-2</v>
      </c>
      <c r="M62" s="33">
        <v>1.1000000238418579</v>
      </c>
      <c r="N62" s="33">
        <v>0</v>
      </c>
      <c r="O62" s="33">
        <v>0</v>
      </c>
      <c r="P62" s="33">
        <v>19</v>
      </c>
      <c r="Q62" s="33">
        <v>0.89999997615814209</v>
      </c>
      <c r="R62" s="34" t="s">
        <v>315</v>
      </c>
      <c r="S62" s="33">
        <v>0</v>
      </c>
      <c r="T62" s="35">
        <v>0</v>
      </c>
    </row>
    <row r="63" spans="1:20">
      <c r="A63" s="31">
        <v>61</v>
      </c>
      <c r="B63" s="33" t="s">
        <v>375</v>
      </c>
      <c r="C63" s="33">
        <v>100</v>
      </c>
      <c r="D63" s="33">
        <v>350</v>
      </c>
      <c r="E63" s="33">
        <v>11.800000190734863</v>
      </c>
      <c r="F63" s="33">
        <v>11.899999618530273</v>
      </c>
      <c r="G63" s="33">
        <v>0.10000000149011612</v>
      </c>
      <c r="H63" s="33">
        <v>0.40000000596046448</v>
      </c>
      <c r="I63" s="33">
        <v>75.400001525878906</v>
      </c>
      <c r="J63" s="33">
        <v>0</v>
      </c>
      <c r="K63" s="33">
        <v>0.11999999731779099</v>
      </c>
      <c r="L63" s="33">
        <v>2.9999999329447746E-2</v>
      </c>
      <c r="M63" s="33">
        <v>1</v>
      </c>
      <c r="N63" s="33">
        <v>0</v>
      </c>
      <c r="O63" s="33">
        <v>35</v>
      </c>
      <c r="P63" s="33">
        <v>14</v>
      </c>
      <c r="Q63" s="33">
        <v>2.5999999046325684</v>
      </c>
      <c r="R63" s="34" t="s">
        <v>315</v>
      </c>
      <c r="S63" s="33">
        <v>0</v>
      </c>
      <c r="T63" s="35">
        <v>0</v>
      </c>
    </row>
    <row r="64" spans="1:20">
      <c r="A64" s="31">
        <v>62</v>
      </c>
      <c r="B64" s="33" t="s">
        <v>376</v>
      </c>
      <c r="C64" s="33">
        <v>100</v>
      </c>
      <c r="D64" s="33">
        <v>377</v>
      </c>
      <c r="E64" s="33">
        <v>5.5999999046325684</v>
      </c>
      <c r="F64" s="33">
        <v>9.8999996185302734</v>
      </c>
      <c r="G64" s="33">
        <v>2.5999999046325684</v>
      </c>
      <c r="H64" s="33">
        <v>0.5</v>
      </c>
      <c r="I64" s="33">
        <v>78.400001525878906</v>
      </c>
      <c r="J64" s="33">
        <v>0</v>
      </c>
      <c r="K64" s="33">
        <v>0.10999999940395355</v>
      </c>
      <c r="L64" s="33">
        <v>0.18999999761581421</v>
      </c>
      <c r="M64" s="33">
        <v>0</v>
      </c>
      <c r="N64" s="33">
        <v>2.309999942779541</v>
      </c>
      <c r="O64" s="33">
        <v>1</v>
      </c>
      <c r="P64" s="33">
        <v>2</v>
      </c>
      <c r="Q64" s="33">
        <v>0.5</v>
      </c>
      <c r="R64" s="34" t="s">
        <v>315</v>
      </c>
      <c r="S64" s="33">
        <v>0</v>
      </c>
      <c r="T64" s="35">
        <v>0</v>
      </c>
    </row>
    <row r="65" spans="1:20">
      <c r="A65" s="31">
        <v>63</v>
      </c>
      <c r="B65" s="33" t="s">
        <v>377</v>
      </c>
      <c r="C65" s="33">
        <v>100</v>
      </c>
      <c r="D65" s="33">
        <v>352</v>
      </c>
      <c r="E65" s="33">
        <v>0</v>
      </c>
      <c r="F65" s="33">
        <v>12</v>
      </c>
      <c r="G65" s="33">
        <v>0</v>
      </c>
      <c r="H65" s="33">
        <v>10.199999809265137</v>
      </c>
      <c r="I65" s="33">
        <v>76.099998474121094</v>
      </c>
      <c r="J65" s="33">
        <v>0</v>
      </c>
      <c r="K65" s="33">
        <v>0.47999998927116394</v>
      </c>
      <c r="L65" s="33">
        <v>0.14000000059604645</v>
      </c>
      <c r="M65" s="33">
        <v>0</v>
      </c>
      <c r="N65" s="33">
        <v>1.9099999666213989</v>
      </c>
      <c r="O65" s="33">
        <v>107.40000152587891</v>
      </c>
      <c r="P65" s="33">
        <v>0</v>
      </c>
      <c r="Q65" s="33">
        <v>5.9000000953674316</v>
      </c>
      <c r="R65" s="34" t="s">
        <v>315</v>
      </c>
      <c r="S65" s="33">
        <v>0</v>
      </c>
      <c r="T65" s="35">
        <v>0</v>
      </c>
    </row>
    <row r="66" spans="1:20">
      <c r="A66" s="31">
        <v>64</v>
      </c>
      <c r="B66" s="33" t="s">
        <v>378</v>
      </c>
      <c r="C66" s="33">
        <v>100</v>
      </c>
      <c r="D66" s="33">
        <v>349</v>
      </c>
      <c r="E66" s="33">
        <v>12</v>
      </c>
      <c r="F66" s="33">
        <v>10.399999618530273</v>
      </c>
      <c r="G66" s="33">
        <v>1.1000000238418579</v>
      </c>
      <c r="H66" s="33">
        <v>1.6000000238418579</v>
      </c>
      <c r="I66" s="33">
        <v>74.300003051757813</v>
      </c>
      <c r="J66" s="33">
        <v>0</v>
      </c>
      <c r="K66" s="33">
        <v>0.15000000596046448</v>
      </c>
      <c r="L66" s="33">
        <v>0.10999999940395355</v>
      </c>
      <c r="M66" s="33">
        <v>2</v>
      </c>
      <c r="N66" s="33">
        <v>1.25</v>
      </c>
      <c r="O66" s="33">
        <v>1.5</v>
      </c>
      <c r="P66" s="33">
        <v>30</v>
      </c>
      <c r="Q66" s="33">
        <v>3</v>
      </c>
      <c r="R66" s="34" t="s">
        <v>315</v>
      </c>
      <c r="S66" s="33">
        <v>0</v>
      </c>
      <c r="T66" s="35">
        <v>0</v>
      </c>
    </row>
    <row r="67" spans="1:20">
      <c r="A67" s="31">
        <v>65</v>
      </c>
      <c r="B67" s="33" t="s">
        <v>379</v>
      </c>
      <c r="C67" s="33">
        <v>100</v>
      </c>
      <c r="D67" s="33">
        <v>344</v>
      </c>
      <c r="E67" s="33">
        <v>12.699999809265137</v>
      </c>
      <c r="F67" s="33">
        <v>11.199999809265137</v>
      </c>
      <c r="G67" s="33">
        <v>1.5</v>
      </c>
      <c r="H67" s="33">
        <v>2.0999999046325684</v>
      </c>
      <c r="I67" s="33">
        <v>71.5</v>
      </c>
      <c r="J67" s="33">
        <v>0</v>
      </c>
      <c r="K67" s="33">
        <v>0.2800000011920929</v>
      </c>
      <c r="L67" s="33">
        <v>7.9999998211860657E-2</v>
      </c>
      <c r="M67" s="33">
        <v>2</v>
      </c>
      <c r="N67" s="33">
        <v>1.7999999523162842</v>
      </c>
      <c r="O67" s="33">
        <v>3.0999999046325684</v>
      </c>
      <c r="P67" s="33">
        <v>31</v>
      </c>
      <c r="Q67" s="33">
        <v>3.5</v>
      </c>
      <c r="R67" s="34" t="s">
        <v>315</v>
      </c>
      <c r="S67" s="33">
        <v>0</v>
      </c>
      <c r="T67" s="35">
        <v>0</v>
      </c>
    </row>
    <row r="68" spans="1:20">
      <c r="A68" s="31">
        <v>66</v>
      </c>
      <c r="B68" s="33" t="s">
        <v>380</v>
      </c>
      <c r="C68" s="33">
        <v>100</v>
      </c>
      <c r="D68" s="33">
        <v>350</v>
      </c>
      <c r="E68" s="33">
        <v>12.699999809265137</v>
      </c>
      <c r="F68" s="33">
        <v>10.300000190734863</v>
      </c>
      <c r="G68" s="33">
        <v>1.1000000238418579</v>
      </c>
      <c r="H68" s="33">
        <v>0.60000002384185791</v>
      </c>
      <c r="I68" s="33">
        <v>74.599998474121094</v>
      </c>
      <c r="J68" s="33">
        <v>0</v>
      </c>
      <c r="K68" s="33">
        <v>0.17000000178813934</v>
      </c>
      <c r="L68" s="33">
        <v>5.9999998658895493E-2</v>
      </c>
      <c r="M68" s="33">
        <v>2</v>
      </c>
      <c r="N68" s="33">
        <v>0.73000001907348633</v>
      </c>
      <c r="O68" s="33">
        <v>2.7000000476837158</v>
      </c>
      <c r="P68" s="33">
        <v>27</v>
      </c>
      <c r="Q68" s="33">
        <v>2.7000000476837158</v>
      </c>
      <c r="R68" s="34" t="s">
        <v>315</v>
      </c>
      <c r="S68" s="33">
        <v>0</v>
      </c>
      <c r="T68" s="35">
        <v>0</v>
      </c>
    </row>
    <row r="69" spans="1:20">
      <c r="A69" s="31">
        <v>67</v>
      </c>
      <c r="B69" s="33" t="s">
        <v>381</v>
      </c>
      <c r="C69" s="33">
        <v>100</v>
      </c>
      <c r="D69" s="33">
        <v>392</v>
      </c>
      <c r="E69" s="33">
        <v>4.3000001907348633</v>
      </c>
      <c r="F69" s="33">
        <v>36.400001525878906</v>
      </c>
      <c r="G69" s="33">
        <v>10.100000381469727</v>
      </c>
      <c r="H69" s="33">
        <v>5.5999999046325684</v>
      </c>
      <c r="I69" s="33">
        <v>38.900001525878906</v>
      </c>
      <c r="J69" s="33">
        <v>0</v>
      </c>
      <c r="K69" s="33">
        <v>3.5</v>
      </c>
      <c r="L69" s="33">
        <v>0.79000002145767212</v>
      </c>
      <c r="M69" s="33">
        <v>3.7000000476837158</v>
      </c>
      <c r="N69" s="33">
        <v>23.200000762939453</v>
      </c>
      <c r="O69" s="33">
        <v>4.5999999046325684</v>
      </c>
      <c r="P69" s="33">
        <v>85</v>
      </c>
      <c r="Q69" s="33">
        <v>0.60000002384185791</v>
      </c>
      <c r="R69" s="34" t="s">
        <v>315</v>
      </c>
      <c r="S69" s="33">
        <v>0</v>
      </c>
      <c r="T69" s="35">
        <v>0</v>
      </c>
    </row>
    <row r="70" spans="1:20">
      <c r="A70" s="31">
        <v>68</v>
      </c>
      <c r="B70" s="33" t="s">
        <v>382</v>
      </c>
      <c r="C70" s="33">
        <v>100</v>
      </c>
      <c r="D70" s="33">
        <v>358</v>
      </c>
      <c r="E70" s="33">
        <v>11.600000381469727</v>
      </c>
      <c r="F70" s="33">
        <v>9</v>
      </c>
      <c r="G70" s="33">
        <v>3.0999999046325684</v>
      </c>
      <c r="H70" s="33">
        <v>1.6000000238418579</v>
      </c>
      <c r="I70" s="33">
        <v>73.5</v>
      </c>
      <c r="J70" s="33">
        <v>17</v>
      </c>
      <c r="K70" s="33">
        <v>0.33000001311302185</v>
      </c>
      <c r="L70" s="33">
        <v>0.10000000149011612</v>
      </c>
      <c r="M70" s="33">
        <v>1.5</v>
      </c>
      <c r="N70" s="33">
        <v>3.630000114440918</v>
      </c>
      <c r="O70" s="33">
        <v>4.3000001907348633</v>
      </c>
      <c r="P70" s="33">
        <v>41</v>
      </c>
      <c r="Q70" s="33">
        <v>5.0999999046325684</v>
      </c>
      <c r="R70" s="34" t="s">
        <v>315</v>
      </c>
      <c r="S70" s="33">
        <v>0</v>
      </c>
      <c r="T70" s="35">
        <v>0</v>
      </c>
    </row>
    <row r="71" spans="1:20">
      <c r="A71" s="31">
        <v>69</v>
      </c>
      <c r="B71" s="33" t="s">
        <v>383</v>
      </c>
      <c r="C71" s="33">
        <v>100</v>
      </c>
      <c r="D71" s="33">
        <v>46</v>
      </c>
      <c r="E71" s="33">
        <v>89.300003051757813</v>
      </c>
      <c r="F71" s="33">
        <v>1.3999999761581421</v>
      </c>
      <c r="G71" s="33">
        <v>0.69999998807907104</v>
      </c>
      <c r="H71" s="33">
        <v>0</v>
      </c>
      <c r="I71" s="33">
        <v>8.3999996185302734</v>
      </c>
      <c r="J71" s="33">
        <v>0</v>
      </c>
      <c r="K71" s="33">
        <v>1.9999999552965164E-2</v>
      </c>
      <c r="L71" s="33">
        <v>7.0000000298023224E-2</v>
      </c>
      <c r="M71" s="33">
        <v>0.89999997615814209</v>
      </c>
      <c r="N71" s="33">
        <v>0.25999999046325684</v>
      </c>
      <c r="O71" s="33">
        <v>4.0999999046325684</v>
      </c>
      <c r="P71" s="33">
        <v>10</v>
      </c>
      <c r="Q71" s="33">
        <v>1</v>
      </c>
      <c r="R71" s="34" t="s">
        <v>315</v>
      </c>
      <c r="S71" s="33">
        <v>0</v>
      </c>
      <c r="T71" s="35">
        <v>0</v>
      </c>
    </row>
    <row r="72" spans="1:20">
      <c r="A72" s="31">
        <v>70</v>
      </c>
      <c r="B72" s="33" t="s">
        <v>384</v>
      </c>
      <c r="C72" s="33">
        <v>100</v>
      </c>
      <c r="D72" s="33">
        <v>367</v>
      </c>
      <c r="E72" s="33">
        <v>9.1999998092651367</v>
      </c>
      <c r="F72" s="33">
        <v>15</v>
      </c>
      <c r="G72" s="33">
        <v>6.6999998092651367</v>
      </c>
      <c r="H72" s="33">
        <v>5.3000001907348633</v>
      </c>
      <c r="I72" s="33">
        <v>61.599998474121094</v>
      </c>
      <c r="J72" s="33">
        <v>0</v>
      </c>
      <c r="K72" s="33">
        <v>0.30000001192092896</v>
      </c>
      <c r="L72" s="33">
        <v>0.12999999523162842</v>
      </c>
      <c r="M72" s="33">
        <v>1.2000000476837158</v>
      </c>
      <c r="N72" s="33">
        <v>3.0699999332427979</v>
      </c>
      <c r="O72" s="33">
        <v>3.7000000476837158</v>
      </c>
      <c r="P72" s="33">
        <v>186</v>
      </c>
      <c r="Q72" s="33">
        <v>7</v>
      </c>
      <c r="R72" s="34" t="s">
        <v>315</v>
      </c>
      <c r="S72" s="33">
        <v>0</v>
      </c>
      <c r="T72" s="35">
        <v>0</v>
      </c>
    </row>
    <row r="73" spans="1:20">
      <c r="A73" s="31">
        <v>71</v>
      </c>
      <c r="B73" s="33" t="s">
        <v>385</v>
      </c>
      <c r="C73" s="33">
        <v>100</v>
      </c>
      <c r="D73" s="33">
        <v>357</v>
      </c>
      <c r="E73" s="33">
        <v>11.199999809265137</v>
      </c>
      <c r="F73" s="33">
        <v>12.800000190734863</v>
      </c>
      <c r="G73" s="33">
        <v>3.2999999523162842</v>
      </c>
      <c r="H73" s="33">
        <v>2</v>
      </c>
      <c r="I73" s="33">
        <v>69.099998474121094</v>
      </c>
      <c r="J73" s="33">
        <v>0</v>
      </c>
      <c r="K73" s="33">
        <v>0.2199999988079071</v>
      </c>
      <c r="L73" s="33">
        <v>0.15000000596046448</v>
      </c>
      <c r="M73" s="33">
        <v>2</v>
      </c>
      <c r="N73" s="33">
        <v>2.0799999237060547</v>
      </c>
      <c r="O73" s="33">
        <v>3.5999999046325684</v>
      </c>
      <c r="P73" s="33">
        <v>42</v>
      </c>
      <c r="Q73" s="33">
        <v>3.5999999046325684</v>
      </c>
      <c r="R73" s="34" t="s">
        <v>315</v>
      </c>
      <c r="S73" s="33">
        <v>0</v>
      </c>
      <c r="T73" s="35">
        <v>0</v>
      </c>
    </row>
    <row r="74" spans="1:20">
      <c r="A74" s="31">
        <v>72</v>
      </c>
      <c r="B74" s="33" t="s">
        <v>386</v>
      </c>
      <c r="C74" s="33">
        <v>100</v>
      </c>
      <c r="D74" s="33">
        <v>399</v>
      </c>
      <c r="E74" s="33">
        <v>24.799999237060547</v>
      </c>
      <c r="F74" s="33">
        <v>7.9000000953674316</v>
      </c>
      <c r="G74" s="33">
        <v>22.899999618530273</v>
      </c>
      <c r="H74" s="33">
        <v>2</v>
      </c>
      <c r="I74" s="33">
        <v>40.400001525878906</v>
      </c>
      <c r="J74" s="33">
        <v>0</v>
      </c>
      <c r="K74" s="33">
        <v>0.10999999940395355</v>
      </c>
      <c r="L74" s="33">
        <v>5.000000074505806E-2</v>
      </c>
      <c r="M74" s="33">
        <v>0</v>
      </c>
      <c r="N74" s="33">
        <v>0</v>
      </c>
      <c r="O74" s="33">
        <v>572.5</v>
      </c>
      <c r="P74" s="33">
        <v>46</v>
      </c>
      <c r="Q74" s="33">
        <v>2.2999999523162842</v>
      </c>
      <c r="R74" s="34" t="s">
        <v>315</v>
      </c>
      <c r="S74" s="33">
        <v>0</v>
      </c>
      <c r="T74" s="35">
        <v>0</v>
      </c>
    </row>
    <row r="75" spans="1:20">
      <c r="A75" s="31">
        <v>73</v>
      </c>
      <c r="B75" s="33" t="s">
        <v>387</v>
      </c>
      <c r="C75" s="33">
        <v>100</v>
      </c>
      <c r="D75" s="33">
        <v>385</v>
      </c>
      <c r="E75" s="33">
        <v>11</v>
      </c>
      <c r="F75" s="33">
        <v>12.199999809265137</v>
      </c>
      <c r="G75" s="33">
        <v>7.1999998092651367</v>
      </c>
      <c r="H75" s="33">
        <v>0</v>
      </c>
      <c r="I75" s="33">
        <v>67.800003051757813</v>
      </c>
      <c r="J75" s="33">
        <v>3</v>
      </c>
      <c r="K75" s="33">
        <v>0.38999998569488525</v>
      </c>
      <c r="L75" s="33">
        <v>3.9999999105930328E-2</v>
      </c>
      <c r="M75" s="33">
        <v>3.9000000953674316</v>
      </c>
      <c r="N75" s="33">
        <v>7.9600000381469727</v>
      </c>
      <c r="O75" s="33">
        <v>2.2000000476837158</v>
      </c>
      <c r="P75" s="33">
        <v>27</v>
      </c>
      <c r="Q75" s="33">
        <v>13.600000381469727</v>
      </c>
      <c r="R75" s="34" t="s">
        <v>315</v>
      </c>
      <c r="S75" s="33">
        <v>0</v>
      </c>
      <c r="T75" s="35">
        <v>0</v>
      </c>
    </row>
    <row r="76" spans="1:20">
      <c r="A76" s="31">
        <v>74</v>
      </c>
      <c r="B76" s="33" t="s">
        <v>388</v>
      </c>
      <c r="C76" s="33">
        <v>100</v>
      </c>
      <c r="D76" s="33">
        <v>386</v>
      </c>
      <c r="E76" s="33">
        <v>21.799999237060547</v>
      </c>
      <c r="F76" s="33">
        <v>6.9000000953674316</v>
      </c>
      <c r="G76" s="33">
        <v>17.600000381469727</v>
      </c>
      <c r="H76" s="33">
        <v>0.89999997615814209</v>
      </c>
      <c r="I76" s="33">
        <v>50.099998474121094</v>
      </c>
      <c r="J76" s="33">
        <v>0</v>
      </c>
      <c r="K76" s="33">
        <v>9.9999997764825821E-3</v>
      </c>
      <c r="L76" s="33">
        <v>7.0000000298023224E-2</v>
      </c>
      <c r="M76" s="33">
        <v>0.69999998807907104</v>
      </c>
      <c r="N76" s="33">
        <v>3.190000057220459</v>
      </c>
      <c r="O76" s="33">
        <v>585.20001220703125</v>
      </c>
      <c r="P76" s="33">
        <v>6</v>
      </c>
      <c r="Q76" s="33">
        <v>1</v>
      </c>
      <c r="R76" s="34" t="s">
        <v>315</v>
      </c>
      <c r="S76" s="33">
        <v>0</v>
      </c>
      <c r="T76" s="35">
        <v>0</v>
      </c>
    </row>
    <row r="77" spans="1:20">
      <c r="A77" s="31">
        <v>75</v>
      </c>
      <c r="B77" s="33" t="s">
        <v>389</v>
      </c>
      <c r="C77" s="33">
        <v>100</v>
      </c>
      <c r="D77" s="33">
        <v>336</v>
      </c>
      <c r="E77" s="33">
        <v>11.699999809265137</v>
      </c>
      <c r="F77" s="33">
        <v>8.8000001907348633</v>
      </c>
      <c r="G77" s="33">
        <v>3.7999999523162842</v>
      </c>
      <c r="H77" s="33">
        <v>8</v>
      </c>
      <c r="I77" s="33">
        <v>66.699996948242188</v>
      </c>
      <c r="J77" s="33">
        <v>0</v>
      </c>
      <c r="K77" s="33">
        <v>0.27000001072883606</v>
      </c>
      <c r="L77" s="33">
        <v>7.0000000298023224E-2</v>
      </c>
      <c r="M77" s="33">
        <v>2.2999999523162842</v>
      </c>
      <c r="N77" s="33">
        <v>8.2299995422363281</v>
      </c>
      <c r="O77" s="33">
        <v>2.5</v>
      </c>
      <c r="P77" s="33">
        <v>10</v>
      </c>
      <c r="Q77" s="33">
        <v>2.2000000476837158</v>
      </c>
      <c r="R77" s="34" t="s">
        <v>315</v>
      </c>
      <c r="S77" s="33">
        <v>0</v>
      </c>
      <c r="T77" s="35">
        <v>0</v>
      </c>
    </row>
    <row r="78" spans="1:20">
      <c r="A78" s="31">
        <v>76</v>
      </c>
      <c r="B78" s="33" t="s">
        <v>390</v>
      </c>
      <c r="C78" s="33">
        <v>100</v>
      </c>
      <c r="D78" s="33">
        <v>335</v>
      </c>
      <c r="E78" s="33">
        <v>13.199999809265137</v>
      </c>
      <c r="F78" s="33">
        <v>8.6999998092651367</v>
      </c>
      <c r="G78" s="33">
        <v>3.7999999523162842</v>
      </c>
      <c r="H78" s="33">
        <v>6.4000000953674316</v>
      </c>
      <c r="I78" s="33">
        <v>66.599998474121094</v>
      </c>
      <c r="J78" s="33">
        <v>17</v>
      </c>
      <c r="K78" s="33">
        <v>0.20999999344348907</v>
      </c>
      <c r="L78" s="33">
        <v>0.12999999523162842</v>
      </c>
      <c r="M78" s="33">
        <v>2.5</v>
      </c>
      <c r="N78" s="33">
        <v>3.8900001049041748</v>
      </c>
      <c r="O78" s="33">
        <v>3.2999999523162842</v>
      </c>
      <c r="P78" s="33">
        <v>14</v>
      </c>
      <c r="Q78" s="33">
        <v>2.4000000953674316</v>
      </c>
      <c r="R78" s="34" t="s">
        <v>315</v>
      </c>
      <c r="S78" s="33">
        <v>0</v>
      </c>
      <c r="T78" s="35">
        <v>0</v>
      </c>
    </row>
    <row r="79" spans="1:20">
      <c r="A79" s="31">
        <v>77</v>
      </c>
      <c r="B79" s="33" t="s">
        <v>391</v>
      </c>
      <c r="C79" s="33">
        <v>46</v>
      </c>
      <c r="D79" s="33">
        <v>106</v>
      </c>
      <c r="E79" s="33">
        <v>71.300003051757813</v>
      </c>
      <c r="F79" s="33">
        <v>4</v>
      </c>
      <c r="G79" s="33">
        <v>1.2000000476837158</v>
      </c>
      <c r="H79" s="33">
        <v>2.9000000953674316</v>
      </c>
      <c r="I79" s="33">
        <v>19.899999618530273</v>
      </c>
      <c r="J79" s="33">
        <v>0</v>
      </c>
      <c r="K79" s="33">
        <v>0.15999999642372131</v>
      </c>
      <c r="L79" s="33">
        <v>0.10999999940395355</v>
      </c>
      <c r="M79" s="33">
        <v>1.7999999523162842</v>
      </c>
      <c r="N79" s="33">
        <v>0.46000000834465027</v>
      </c>
      <c r="O79" s="33">
        <v>1.1000000238418579</v>
      </c>
      <c r="P79" s="33">
        <v>0</v>
      </c>
      <c r="Q79" s="33">
        <v>1.1000000238418579</v>
      </c>
      <c r="R79" s="34" t="s">
        <v>315</v>
      </c>
      <c r="S79" s="33">
        <v>0</v>
      </c>
      <c r="T79" s="35">
        <v>0</v>
      </c>
    </row>
    <row r="80" spans="1:20">
      <c r="A80" s="31">
        <v>78</v>
      </c>
      <c r="B80" s="33" t="s">
        <v>392</v>
      </c>
      <c r="C80" s="33">
        <v>100</v>
      </c>
      <c r="D80" s="33">
        <v>4</v>
      </c>
      <c r="E80" s="33">
        <v>93</v>
      </c>
      <c r="F80" s="33">
        <v>1.1000000238418579</v>
      </c>
      <c r="G80" s="33">
        <v>0.20000000298023224</v>
      </c>
      <c r="H80" s="33">
        <v>4.9000000953674316</v>
      </c>
      <c r="I80" s="33">
        <v>0</v>
      </c>
      <c r="J80" s="33">
        <v>7</v>
      </c>
      <c r="K80" s="33">
        <v>0</v>
      </c>
      <c r="L80" s="33">
        <v>0</v>
      </c>
      <c r="M80" s="33">
        <v>0</v>
      </c>
      <c r="N80" s="33">
        <v>0</v>
      </c>
      <c r="O80" s="33">
        <v>170.89999389648438</v>
      </c>
      <c r="P80" s="33">
        <v>6</v>
      </c>
      <c r="Q80" s="33">
        <v>0.10000000149011612</v>
      </c>
      <c r="R80" s="34" t="s">
        <v>315</v>
      </c>
      <c r="S80" s="33">
        <v>0</v>
      </c>
      <c r="T80" s="35">
        <v>0</v>
      </c>
    </row>
    <row r="81" spans="1:20">
      <c r="A81" s="31">
        <v>79</v>
      </c>
      <c r="B81" s="33" t="s">
        <v>393</v>
      </c>
      <c r="C81" s="33">
        <v>100</v>
      </c>
      <c r="D81" s="33">
        <v>340</v>
      </c>
      <c r="E81" s="33">
        <v>13.399999618530273</v>
      </c>
      <c r="F81" s="33">
        <v>8</v>
      </c>
      <c r="G81" s="33">
        <v>4.5</v>
      </c>
      <c r="H81" s="33">
        <v>6.1999998092651367</v>
      </c>
      <c r="I81" s="33">
        <v>66.900001525878906</v>
      </c>
      <c r="J81" s="33">
        <v>0</v>
      </c>
      <c r="K81" s="33">
        <v>0.34000000357627869</v>
      </c>
      <c r="L81" s="33">
        <v>5.9999998658895493E-2</v>
      </c>
      <c r="M81" s="33">
        <v>3</v>
      </c>
      <c r="N81" s="33">
        <v>6.8899998664855957</v>
      </c>
      <c r="O81" s="33">
        <v>0.5</v>
      </c>
      <c r="P81" s="33">
        <v>12</v>
      </c>
      <c r="Q81" s="33">
        <v>1.2999999523162842</v>
      </c>
      <c r="R81" s="34" t="s">
        <v>315</v>
      </c>
      <c r="S81" s="33">
        <v>0</v>
      </c>
      <c r="T81" s="35">
        <v>0</v>
      </c>
    </row>
    <row r="82" spans="1:20">
      <c r="A82" s="31">
        <v>80</v>
      </c>
      <c r="B82" s="33" t="s">
        <v>394</v>
      </c>
      <c r="C82" s="33">
        <v>100</v>
      </c>
      <c r="D82" s="33">
        <v>340</v>
      </c>
      <c r="E82" s="33">
        <v>12.100000381469727</v>
      </c>
      <c r="F82" s="33">
        <v>8.1000003814697266</v>
      </c>
      <c r="G82" s="33">
        <v>3.2999999523162842</v>
      </c>
      <c r="H82" s="33">
        <v>5.5999999046325684</v>
      </c>
      <c r="I82" s="33">
        <v>69.599998474121094</v>
      </c>
      <c r="J82" s="33">
        <v>7</v>
      </c>
      <c r="K82" s="33">
        <v>0.25999999046325684</v>
      </c>
      <c r="L82" s="33">
        <v>9.0000003576278687E-2</v>
      </c>
      <c r="M82" s="33">
        <v>2.2999999523162842</v>
      </c>
      <c r="N82" s="33">
        <v>3.7999999523162842</v>
      </c>
      <c r="O82" s="33">
        <v>2.2999999523162842</v>
      </c>
      <c r="P82" s="33">
        <v>22</v>
      </c>
      <c r="Q82" s="33">
        <v>3.2000000476837158</v>
      </c>
      <c r="R82" s="34" t="s">
        <v>315</v>
      </c>
      <c r="S82" s="33">
        <v>0</v>
      </c>
      <c r="T82" s="35">
        <v>0</v>
      </c>
    </row>
    <row r="83" spans="1:20">
      <c r="A83" s="31">
        <v>81</v>
      </c>
      <c r="B83" s="33" t="s">
        <v>395</v>
      </c>
      <c r="C83" s="33">
        <v>100</v>
      </c>
      <c r="D83" s="33">
        <v>339</v>
      </c>
      <c r="E83" s="33">
        <v>13.600000381469727</v>
      </c>
      <c r="F83" s="33">
        <v>11.800000190734863</v>
      </c>
      <c r="G83" s="33">
        <v>4.9000000953674316</v>
      </c>
      <c r="H83" s="33">
        <v>6.4000000953674316</v>
      </c>
      <c r="I83" s="33">
        <v>61.900001525878906</v>
      </c>
      <c r="J83" s="33">
        <v>0</v>
      </c>
      <c r="K83" s="33">
        <v>0.20999999344348907</v>
      </c>
      <c r="L83" s="33">
        <v>3.9999999105930328E-2</v>
      </c>
      <c r="M83" s="33">
        <v>3.0999999046325684</v>
      </c>
      <c r="N83" s="33">
        <v>7.130000114440918</v>
      </c>
      <c r="O83" s="33">
        <v>1.6000000238418579</v>
      </c>
      <c r="P83" s="33">
        <v>18</v>
      </c>
      <c r="Q83" s="33">
        <v>3.4000000953674316</v>
      </c>
      <c r="R83" s="34" t="s">
        <v>315</v>
      </c>
      <c r="S83" s="33">
        <v>0</v>
      </c>
      <c r="T83" s="35">
        <v>0</v>
      </c>
    </row>
    <row r="84" spans="1:20">
      <c r="A84" s="31">
        <v>82</v>
      </c>
      <c r="B84" s="33" t="s">
        <v>396</v>
      </c>
      <c r="C84" s="33">
        <v>100</v>
      </c>
      <c r="D84" s="33">
        <v>347</v>
      </c>
      <c r="E84" s="33">
        <v>12.800000190734863</v>
      </c>
      <c r="F84" s="33">
        <v>7.9000000953674316</v>
      </c>
      <c r="G84" s="33">
        <v>3</v>
      </c>
      <c r="H84" s="33">
        <v>3.5999999046325684</v>
      </c>
      <c r="I84" s="33">
        <v>72</v>
      </c>
      <c r="J84" s="33">
        <v>0</v>
      </c>
      <c r="K84" s="33">
        <v>0.10000000149011612</v>
      </c>
      <c r="L84" s="33">
        <v>7.9999998211860657E-2</v>
      </c>
      <c r="M84" s="33">
        <v>1.2000000476837158</v>
      </c>
      <c r="N84" s="33">
        <v>0.56999999284744263</v>
      </c>
      <c r="O84" s="33">
        <v>1.7000000476837158</v>
      </c>
      <c r="P84" s="33">
        <v>49</v>
      </c>
      <c r="Q84" s="33">
        <v>2.4000000953674316</v>
      </c>
      <c r="R84" s="34" t="s">
        <v>315</v>
      </c>
      <c r="S84" s="33">
        <v>0</v>
      </c>
      <c r="T84" s="35">
        <v>0</v>
      </c>
    </row>
    <row r="85" spans="1:20">
      <c r="A85" s="31">
        <v>83</v>
      </c>
      <c r="B85" s="33" t="s">
        <v>397</v>
      </c>
      <c r="C85" s="33">
        <v>100</v>
      </c>
      <c r="D85" s="33">
        <v>390</v>
      </c>
      <c r="E85" s="33">
        <v>6.3000001907348633</v>
      </c>
      <c r="F85" s="33">
        <v>7.1999998092651367</v>
      </c>
      <c r="G85" s="33">
        <v>3.7000000476837158</v>
      </c>
      <c r="H85" s="33">
        <v>0.40000000596046448</v>
      </c>
      <c r="I85" s="33">
        <v>81.900001525878906</v>
      </c>
      <c r="J85" s="33">
        <v>0</v>
      </c>
      <c r="K85" s="33">
        <v>1.9999999552965164E-2</v>
      </c>
      <c r="L85" s="33">
        <v>2.9999999329447746E-2</v>
      </c>
      <c r="M85" s="33">
        <v>2.2000000476837158</v>
      </c>
      <c r="N85" s="33">
        <v>7.9999998211860657E-2</v>
      </c>
      <c r="O85" s="33">
        <v>1.7000000476837158</v>
      </c>
      <c r="P85" s="33">
        <v>11</v>
      </c>
      <c r="Q85" s="33">
        <v>9</v>
      </c>
      <c r="R85" s="34" t="s">
        <v>315</v>
      </c>
      <c r="S85" s="33">
        <v>0</v>
      </c>
      <c r="T85" s="35">
        <v>0</v>
      </c>
    </row>
    <row r="86" spans="1:20">
      <c r="A86" s="31">
        <v>84</v>
      </c>
      <c r="B86" s="33" t="s">
        <v>398</v>
      </c>
      <c r="C86" s="33">
        <v>100</v>
      </c>
      <c r="D86" s="33">
        <v>257</v>
      </c>
      <c r="E86" s="33">
        <v>49.299999237060547</v>
      </c>
      <c r="F86" s="33">
        <v>4.0999999046325684</v>
      </c>
      <c r="G86" s="33">
        <v>13.100000381469727</v>
      </c>
      <c r="H86" s="33">
        <v>1.7999999523162842</v>
      </c>
      <c r="I86" s="33">
        <v>30.700000762939453</v>
      </c>
      <c r="J86" s="33">
        <v>0</v>
      </c>
      <c r="K86" s="33">
        <v>5.000000074505806E-2</v>
      </c>
      <c r="L86" s="33">
        <v>0.15000000596046448</v>
      </c>
      <c r="M86" s="33">
        <v>1.8999999761581421</v>
      </c>
      <c r="N86" s="33">
        <v>2.6800000667572021</v>
      </c>
      <c r="O86" s="33">
        <v>8.8999996185302734</v>
      </c>
      <c r="P86" s="33">
        <v>71</v>
      </c>
      <c r="Q86" s="33">
        <v>13.899999618530273</v>
      </c>
      <c r="R86" s="34" t="s">
        <v>315</v>
      </c>
      <c r="S86" s="33">
        <v>0</v>
      </c>
      <c r="T86" s="35">
        <v>0</v>
      </c>
    </row>
    <row r="87" spans="1:20">
      <c r="A87" s="31">
        <v>85</v>
      </c>
      <c r="B87" s="33" t="s">
        <v>399</v>
      </c>
      <c r="C87" s="33">
        <v>100</v>
      </c>
      <c r="D87" s="33">
        <v>326</v>
      </c>
      <c r="E87" s="33">
        <v>9.8999996185302734</v>
      </c>
      <c r="F87" s="33">
        <v>25.299999237060547</v>
      </c>
      <c r="G87" s="33">
        <v>0.40000000596046448</v>
      </c>
      <c r="H87" s="33">
        <v>6.5</v>
      </c>
      <c r="I87" s="33">
        <v>55.400001525878906</v>
      </c>
      <c r="J87" s="33">
        <v>5</v>
      </c>
      <c r="K87" s="33">
        <v>0.25999999046325684</v>
      </c>
      <c r="L87" s="33">
        <v>0.44999998807907104</v>
      </c>
      <c r="M87" s="33">
        <v>2.5999999046325684</v>
      </c>
      <c r="N87" s="33">
        <v>1.8600000143051147</v>
      </c>
      <c r="O87" s="33">
        <v>2.2999999523162842</v>
      </c>
      <c r="P87" s="33">
        <v>137</v>
      </c>
      <c r="Q87" s="33">
        <v>19.200000762939453</v>
      </c>
      <c r="R87" s="34" t="s">
        <v>400</v>
      </c>
      <c r="S87" s="33">
        <v>0</v>
      </c>
      <c r="T87" s="35">
        <v>0</v>
      </c>
    </row>
    <row r="88" spans="1:20">
      <c r="A88" s="31">
        <v>86</v>
      </c>
      <c r="B88" s="33" t="s">
        <v>401</v>
      </c>
      <c r="C88" s="33">
        <v>100</v>
      </c>
      <c r="D88" s="33">
        <v>256</v>
      </c>
      <c r="E88" s="33">
        <v>19.399999618530273</v>
      </c>
      <c r="F88" s="33">
        <v>19</v>
      </c>
      <c r="G88" s="33">
        <v>1.2999999523162842</v>
      </c>
      <c r="H88" s="33">
        <v>13.399999618530273</v>
      </c>
      <c r="I88" s="33">
        <v>42.200000762939453</v>
      </c>
      <c r="J88" s="33">
        <v>0</v>
      </c>
      <c r="K88" s="33">
        <v>0.33000001311302185</v>
      </c>
      <c r="L88" s="33">
        <v>0.10999999940395355</v>
      </c>
      <c r="M88" s="33">
        <v>1.2000000476837158</v>
      </c>
      <c r="N88" s="33">
        <v>0.88999998569488525</v>
      </c>
      <c r="O88" s="33">
        <v>1</v>
      </c>
      <c r="P88" s="33">
        <v>68</v>
      </c>
      <c r="Q88" s="33">
        <v>4</v>
      </c>
      <c r="R88" s="34" t="s">
        <v>400</v>
      </c>
      <c r="S88" s="33">
        <v>0</v>
      </c>
      <c r="T88" s="35">
        <v>0</v>
      </c>
    </row>
    <row r="89" spans="1:20">
      <c r="A89" s="31">
        <v>87</v>
      </c>
      <c r="B89" s="33" t="s">
        <v>402</v>
      </c>
      <c r="C89" s="33">
        <v>100</v>
      </c>
      <c r="D89" s="33">
        <v>304</v>
      </c>
      <c r="E89" s="33">
        <v>11.5</v>
      </c>
      <c r="F89" s="33">
        <v>24.600000381469727</v>
      </c>
      <c r="G89" s="33">
        <v>1.1000000238418579</v>
      </c>
      <c r="H89" s="33">
        <v>10.899999618530273</v>
      </c>
      <c r="I89" s="33">
        <v>49</v>
      </c>
      <c r="J89" s="33">
        <v>8</v>
      </c>
      <c r="K89" s="33">
        <v>0.12999999523162842</v>
      </c>
      <c r="L89" s="33">
        <v>0.23000000417232513</v>
      </c>
      <c r="M89" s="33">
        <v>2.2000000476837158</v>
      </c>
      <c r="N89" s="33">
        <v>4.9000000953674316</v>
      </c>
      <c r="O89" s="33">
        <v>21.200000762939453</v>
      </c>
      <c r="P89" s="33">
        <v>49</v>
      </c>
      <c r="Q89" s="33">
        <v>2.9000000953674316</v>
      </c>
      <c r="R89" s="34" t="s">
        <v>400</v>
      </c>
      <c r="S89" s="33">
        <v>0</v>
      </c>
      <c r="T89" s="35">
        <v>0</v>
      </c>
    </row>
    <row r="90" spans="1:20">
      <c r="A90" s="31">
        <v>88</v>
      </c>
      <c r="B90" s="33" t="s">
        <v>403</v>
      </c>
      <c r="C90" s="33">
        <v>93</v>
      </c>
      <c r="D90" s="33">
        <v>342</v>
      </c>
      <c r="E90" s="33">
        <v>11.300000190734863</v>
      </c>
      <c r="F90" s="33">
        <v>25.399999618530273</v>
      </c>
      <c r="G90" s="33">
        <v>1.6000000238418579</v>
      </c>
      <c r="H90" s="33">
        <v>2.5</v>
      </c>
      <c r="I90" s="33">
        <v>56.400001525878906</v>
      </c>
      <c r="J90" s="33">
        <v>50</v>
      </c>
      <c r="K90" s="33">
        <v>0.20000000298023224</v>
      </c>
      <c r="L90" s="33">
        <v>0.20000000298023224</v>
      </c>
      <c r="M90" s="33">
        <v>2.5</v>
      </c>
      <c r="N90" s="33">
        <v>6.679999828338623</v>
      </c>
      <c r="O90" s="33">
        <v>2.2000000476837158</v>
      </c>
      <c r="P90" s="33">
        <v>54</v>
      </c>
      <c r="Q90" s="33">
        <v>2.5</v>
      </c>
      <c r="R90" s="34" t="s">
        <v>400</v>
      </c>
      <c r="S90" s="33">
        <v>0</v>
      </c>
      <c r="T90" s="35">
        <v>0</v>
      </c>
    </row>
    <row r="91" spans="1:20">
      <c r="A91" s="31">
        <v>89</v>
      </c>
      <c r="B91" s="33" t="s">
        <v>404</v>
      </c>
      <c r="C91" s="33">
        <v>100</v>
      </c>
      <c r="D91" s="33">
        <v>99</v>
      </c>
      <c r="E91" s="33">
        <v>77.900001525878906</v>
      </c>
      <c r="F91" s="33">
        <v>10.199999809265137</v>
      </c>
      <c r="G91" s="33">
        <v>4.5999999046325684</v>
      </c>
      <c r="H91" s="33">
        <v>0.40000000596046448</v>
      </c>
      <c r="I91" s="33">
        <v>4.0999999046325684</v>
      </c>
      <c r="J91" s="33">
        <v>0</v>
      </c>
      <c r="K91" s="33">
        <v>1.9999999552965164E-2</v>
      </c>
      <c r="L91" s="33">
        <v>0.10999999940395355</v>
      </c>
      <c r="M91" s="33">
        <v>0.10000000149011612</v>
      </c>
      <c r="N91" s="33">
        <v>0</v>
      </c>
      <c r="O91" s="33">
        <v>33.799999237060547</v>
      </c>
      <c r="P91" s="33">
        <v>720</v>
      </c>
      <c r="Q91" s="33">
        <v>4.1999998092651367</v>
      </c>
      <c r="R91" s="34" t="s">
        <v>400</v>
      </c>
      <c r="S91" s="33">
        <v>0</v>
      </c>
      <c r="T91" s="35">
        <v>0</v>
      </c>
    </row>
    <row r="92" spans="1:20">
      <c r="A92" s="31">
        <v>90</v>
      </c>
      <c r="B92" s="33" t="s">
        <v>405</v>
      </c>
      <c r="C92" s="33">
        <v>100</v>
      </c>
      <c r="D92" s="33">
        <v>310</v>
      </c>
      <c r="E92" s="33">
        <v>11.5</v>
      </c>
      <c r="F92" s="33">
        <v>42.599998474121094</v>
      </c>
      <c r="G92" s="33">
        <v>2.0999999046325684</v>
      </c>
      <c r="H92" s="33">
        <v>7.5999999046325684</v>
      </c>
      <c r="I92" s="33">
        <v>30.200000762939453</v>
      </c>
      <c r="J92" s="33">
        <v>0</v>
      </c>
      <c r="K92" s="33">
        <v>0.49000000953674316</v>
      </c>
      <c r="L92" s="33">
        <v>0.20000000298023224</v>
      </c>
      <c r="M92" s="33">
        <v>2.5</v>
      </c>
      <c r="N92" s="33">
        <v>5.809999942779541</v>
      </c>
      <c r="O92" s="33">
        <v>76</v>
      </c>
      <c r="P92" s="33">
        <v>154</v>
      </c>
      <c r="Q92" s="33">
        <v>14.899999618530273</v>
      </c>
      <c r="R92" s="34" t="s">
        <v>400</v>
      </c>
      <c r="S92" s="33">
        <v>0</v>
      </c>
      <c r="T92" s="35">
        <v>0</v>
      </c>
    </row>
    <row r="93" spans="1:20">
      <c r="A93" s="31">
        <v>91</v>
      </c>
      <c r="B93" s="33" t="s">
        <v>406</v>
      </c>
      <c r="C93" s="33">
        <v>100</v>
      </c>
      <c r="D93" s="33">
        <v>81</v>
      </c>
      <c r="E93" s="33">
        <v>82.800003051757813</v>
      </c>
      <c r="F93" s="33">
        <v>8.1000003814697266</v>
      </c>
      <c r="G93" s="33">
        <v>3.7000000476837158</v>
      </c>
      <c r="H93" s="33">
        <v>0.40000000596046448</v>
      </c>
      <c r="I93" s="33">
        <v>3.7999999523162842</v>
      </c>
      <c r="J93" s="33">
        <v>0</v>
      </c>
      <c r="K93" s="33">
        <v>3.9999999105930328E-2</v>
      </c>
      <c r="L93" s="33">
        <v>2.9999999329447746E-2</v>
      </c>
      <c r="M93" s="33">
        <v>0.20000000298023224</v>
      </c>
      <c r="N93" s="33">
        <v>2.7100000381469727</v>
      </c>
      <c r="O93" s="33">
        <v>7.1999998092651367</v>
      </c>
      <c r="P93" s="33">
        <v>164</v>
      </c>
      <c r="Q93" s="33">
        <v>1.8999999761581421</v>
      </c>
      <c r="R93" s="34" t="s">
        <v>400</v>
      </c>
      <c r="S93" s="33">
        <v>0</v>
      </c>
      <c r="T93" s="35">
        <v>0</v>
      </c>
    </row>
    <row r="94" spans="1:20">
      <c r="A94" s="31">
        <v>92</v>
      </c>
      <c r="B94" s="33" t="s">
        <v>407</v>
      </c>
      <c r="C94" s="33">
        <v>100</v>
      </c>
      <c r="D94" s="33">
        <v>49</v>
      </c>
      <c r="E94" s="33">
        <v>89.199996948242188</v>
      </c>
      <c r="F94" s="33">
        <v>5</v>
      </c>
      <c r="G94" s="33">
        <v>1.8999999761581421</v>
      </c>
      <c r="H94" s="33">
        <v>0.40000000596046448</v>
      </c>
      <c r="I94" s="33">
        <v>2.9000000953674316</v>
      </c>
      <c r="J94" s="33">
        <v>0</v>
      </c>
      <c r="K94" s="33">
        <v>5.9999998658895493E-2</v>
      </c>
      <c r="L94" s="33">
        <v>2.9999999329447746E-2</v>
      </c>
      <c r="M94" s="33">
        <v>0.30000001192092896</v>
      </c>
      <c r="N94" s="33">
        <v>3.2599999904632568</v>
      </c>
      <c r="O94" s="33">
        <v>6.4000000953674316</v>
      </c>
      <c r="P94" s="33">
        <v>17</v>
      </c>
      <c r="Q94" s="33">
        <v>0.80000001192092896</v>
      </c>
      <c r="R94" s="34" t="s">
        <v>400</v>
      </c>
      <c r="S94" s="33">
        <v>0</v>
      </c>
      <c r="T94" s="35">
        <v>0</v>
      </c>
    </row>
    <row r="95" spans="1:20">
      <c r="A95" s="31">
        <v>93</v>
      </c>
      <c r="B95" s="33" t="s">
        <v>408</v>
      </c>
      <c r="C95" s="33">
        <v>100</v>
      </c>
      <c r="D95" s="33">
        <v>57</v>
      </c>
      <c r="E95" s="33">
        <v>87.900001525878906</v>
      </c>
      <c r="F95" s="33">
        <v>6.1999998092651367</v>
      </c>
      <c r="G95" s="33">
        <v>2.5</v>
      </c>
      <c r="H95" s="33">
        <v>0.20000000298023224</v>
      </c>
      <c r="I95" s="33">
        <v>2.4000000953674316</v>
      </c>
      <c r="J95" s="33">
        <v>0</v>
      </c>
      <c r="K95" s="33">
        <v>1.9999999552965164E-2</v>
      </c>
      <c r="L95" s="33">
        <v>3.9999999105930328E-2</v>
      </c>
      <c r="M95" s="33">
        <v>1</v>
      </c>
      <c r="N95" s="33">
        <v>3.619999885559082</v>
      </c>
      <c r="O95" s="33">
        <v>3.0999999046325684</v>
      </c>
      <c r="P95" s="33">
        <v>116</v>
      </c>
      <c r="Q95" s="33">
        <v>1.5</v>
      </c>
      <c r="R95" s="34" t="s">
        <v>400</v>
      </c>
      <c r="S95" s="33">
        <v>0</v>
      </c>
      <c r="T95" s="35">
        <v>0</v>
      </c>
    </row>
    <row r="96" spans="1:20">
      <c r="A96" s="31">
        <v>94</v>
      </c>
      <c r="B96" s="33" t="s">
        <v>409</v>
      </c>
      <c r="C96" s="33">
        <v>100</v>
      </c>
      <c r="D96" s="33">
        <v>98</v>
      </c>
      <c r="E96" s="33">
        <v>80</v>
      </c>
      <c r="F96" s="33">
        <v>12.199999809265137</v>
      </c>
      <c r="G96" s="33">
        <v>4.8000001907348633</v>
      </c>
      <c r="H96" s="33">
        <v>0.5</v>
      </c>
      <c r="I96" s="33">
        <v>1.5</v>
      </c>
      <c r="J96" s="33">
        <v>5</v>
      </c>
      <c r="K96" s="33">
        <v>5.000000074505806E-2</v>
      </c>
      <c r="L96" s="33">
        <v>2.9999999329447746E-2</v>
      </c>
      <c r="M96" s="33">
        <v>0.30000001192092896</v>
      </c>
      <c r="N96" s="33">
        <v>6.6999998092651367</v>
      </c>
      <c r="O96" s="33">
        <v>7.3000001907348633</v>
      </c>
      <c r="P96" s="33">
        <v>138</v>
      </c>
      <c r="Q96" s="33">
        <v>2.5</v>
      </c>
      <c r="R96" s="34" t="s">
        <v>400</v>
      </c>
      <c r="S96" s="33">
        <v>0</v>
      </c>
      <c r="T96" s="35">
        <v>0</v>
      </c>
    </row>
    <row r="97" spans="1:20">
      <c r="A97" s="31">
        <v>95</v>
      </c>
      <c r="B97" s="33" t="s">
        <v>410</v>
      </c>
      <c r="C97" s="33">
        <v>100</v>
      </c>
      <c r="D97" s="33">
        <v>140</v>
      </c>
      <c r="E97" s="33">
        <v>65.199996948242188</v>
      </c>
      <c r="F97" s="33">
        <v>16.200000762939453</v>
      </c>
      <c r="G97" s="33">
        <v>3.5999999046325684</v>
      </c>
      <c r="H97" s="33">
        <v>0.80000001192092896</v>
      </c>
      <c r="I97" s="33">
        <v>10.699999809265137</v>
      </c>
      <c r="J97" s="33">
        <v>0</v>
      </c>
      <c r="K97" s="33">
        <v>2.9999999329447746E-2</v>
      </c>
      <c r="L97" s="33">
        <v>7.0000000298023224E-2</v>
      </c>
      <c r="M97" s="33">
        <v>0.30000001192092896</v>
      </c>
      <c r="N97" s="33">
        <v>0</v>
      </c>
      <c r="O97" s="33">
        <v>76.5</v>
      </c>
      <c r="P97" s="33">
        <v>308</v>
      </c>
      <c r="Q97" s="33">
        <v>4.9000000953674316</v>
      </c>
      <c r="R97" s="34" t="s">
        <v>400</v>
      </c>
      <c r="S97" s="33">
        <v>0</v>
      </c>
      <c r="T97" s="35">
        <v>0</v>
      </c>
    </row>
    <row r="98" spans="1:20">
      <c r="A98" s="31">
        <v>96</v>
      </c>
      <c r="B98" s="33" t="s">
        <v>411</v>
      </c>
      <c r="C98" s="33">
        <v>100</v>
      </c>
      <c r="D98" s="33">
        <v>147</v>
      </c>
      <c r="E98" s="33">
        <v>69.199996948242188</v>
      </c>
      <c r="F98" s="33">
        <v>15.800000190734863</v>
      </c>
      <c r="G98" s="33">
        <v>7.8000001907348633</v>
      </c>
      <c r="H98" s="33">
        <v>1.7999999523162842</v>
      </c>
      <c r="I98" s="33">
        <v>3.2999999523162842</v>
      </c>
      <c r="J98" s="33">
        <v>7</v>
      </c>
      <c r="K98" s="33">
        <v>3.9999999105930328E-2</v>
      </c>
      <c r="L98" s="33">
        <v>2.9999999329447746E-2</v>
      </c>
      <c r="M98" s="33">
        <v>0.30000001192092896</v>
      </c>
      <c r="N98" s="33">
        <v>15.850000381469727</v>
      </c>
      <c r="O98" s="33">
        <v>4.0999999046325684</v>
      </c>
      <c r="P98" s="33">
        <v>299</v>
      </c>
      <c r="Q98" s="33">
        <v>5.6999998092651367</v>
      </c>
      <c r="R98" s="34" t="s">
        <v>400</v>
      </c>
      <c r="S98" s="33">
        <v>0</v>
      </c>
      <c r="T98" s="35">
        <v>0</v>
      </c>
    </row>
    <row r="99" spans="1:20">
      <c r="A99" s="31">
        <v>97</v>
      </c>
      <c r="B99" s="33" t="s">
        <v>412</v>
      </c>
      <c r="C99" s="33">
        <v>100</v>
      </c>
      <c r="D99" s="33">
        <v>136</v>
      </c>
      <c r="E99" s="33">
        <v>71.300003051757813</v>
      </c>
      <c r="F99" s="33">
        <v>13.399999618530273</v>
      </c>
      <c r="G99" s="33">
        <v>7.0999999046325684</v>
      </c>
      <c r="H99" s="33">
        <v>0.30000001192092896</v>
      </c>
      <c r="I99" s="33">
        <v>4.6999998092651367</v>
      </c>
      <c r="J99" s="33">
        <v>0</v>
      </c>
      <c r="K99" s="33">
        <v>9.9999997764825821E-3</v>
      </c>
      <c r="L99" s="33">
        <v>9.9999997764825821E-3</v>
      </c>
      <c r="M99" s="33">
        <v>0.30000001192092896</v>
      </c>
      <c r="N99" s="33">
        <v>0.62000000476837158</v>
      </c>
      <c r="O99" s="33">
        <v>633.5999755859375</v>
      </c>
      <c r="P99" s="33">
        <v>179</v>
      </c>
      <c r="Q99" s="33">
        <v>3</v>
      </c>
      <c r="R99" s="34" t="s">
        <v>400</v>
      </c>
      <c r="S99" s="33">
        <v>0</v>
      </c>
      <c r="T99" s="35">
        <v>0</v>
      </c>
    </row>
    <row r="100" spans="1:20">
      <c r="A100" s="31">
        <v>98</v>
      </c>
      <c r="B100" s="33" t="s">
        <v>413</v>
      </c>
      <c r="C100" s="33">
        <v>100</v>
      </c>
      <c r="D100" s="33">
        <v>158</v>
      </c>
      <c r="E100" s="33">
        <v>70.199996948242188</v>
      </c>
      <c r="F100" s="33">
        <v>14.899999618530273</v>
      </c>
      <c r="G100" s="33">
        <v>9.1000003814697266</v>
      </c>
      <c r="H100" s="33">
        <v>0</v>
      </c>
      <c r="I100" s="33">
        <v>4</v>
      </c>
      <c r="J100" s="33">
        <v>0</v>
      </c>
      <c r="K100" s="33">
        <v>1.9999999552965164E-2</v>
      </c>
      <c r="L100" s="33">
        <v>2.9999999329447746E-2</v>
      </c>
      <c r="M100" s="33">
        <v>0</v>
      </c>
      <c r="N100" s="33">
        <v>16.409999847412109</v>
      </c>
      <c r="O100" s="33">
        <v>90.300003051757813</v>
      </c>
      <c r="P100" s="33">
        <v>413</v>
      </c>
      <c r="Q100" s="33">
        <v>5.9000000953674316</v>
      </c>
      <c r="R100" s="34" t="s">
        <v>400</v>
      </c>
      <c r="S100" s="33">
        <v>0</v>
      </c>
      <c r="T100" s="35">
        <v>0</v>
      </c>
    </row>
    <row r="101" spans="1:20">
      <c r="A101" s="31">
        <v>99</v>
      </c>
      <c r="B101" s="33" t="s">
        <v>414</v>
      </c>
      <c r="C101" s="33">
        <v>100</v>
      </c>
      <c r="D101" s="33">
        <v>174</v>
      </c>
      <c r="E101" s="33">
        <v>61</v>
      </c>
      <c r="F101" s="33">
        <v>17.899999618530273</v>
      </c>
      <c r="G101" s="33">
        <v>9.1000003814697266</v>
      </c>
      <c r="H101" s="33">
        <v>0.40000000596046448</v>
      </c>
      <c r="I101" s="33">
        <v>5</v>
      </c>
      <c r="J101" s="33">
        <v>0</v>
      </c>
      <c r="K101" s="33">
        <v>2.9999999329447746E-2</v>
      </c>
      <c r="L101" s="33">
        <v>7.0000000298023224E-2</v>
      </c>
      <c r="M101" s="33">
        <v>0</v>
      </c>
      <c r="N101" s="33">
        <v>7.3899998664855957</v>
      </c>
      <c r="O101" s="33">
        <v>372.29998779296875</v>
      </c>
      <c r="P101" s="33">
        <v>1019</v>
      </c>
      <c r="Q101" s="33">
        <v>23.299999237060547</v>
      </c>
      <c r="R101" s="34" t="s">
        <v>400</v>
      </c>
      <c r="S101" s="33">
        <v>0</v>
      </c>
      <c r="T101" s="35">
        <v>0</v>
      </c>
    </row>
    <row r="102" spans="1:20">
      <c r="A102" s="31">
        <v>100</v>
      </c>
      <c r="B102" s="33" t="s">
        <v>415</v>
      </c>
      <c r="C102" s="33">
        <v>100</v>
      </c>
      <c r="D102" s="33">
        <v>153</v>
      </c>
      <c r="E102" s="33">
        <v>67.5</v>
      </c>
      <c r="F102" s="33">
        <v>15.800000190734863</v>
      </c>
      <c r="G102" s="33">
        <v>6.1999998092651367</v>
      </c>
      <c r="H102" s="33">
        <v>0.30000001192092896</v>
      </c>
      <c r="I102" s="33">
        <v>8.5</v>
      </c>
      <c r="J102" s="33">
        <v>2</v>
      </c>
      <c r="K102" s="33">
        <v>2.9999999329447746E-2</v>
      </c>
      <c r="L102" s="33">
        <v>9.9999997764825821E-3</v>
      </c>
      <c r="M102" s="33">
        <v>1</v>
      </c>
      <c r="N102" s="33">
        <v>7.0300002098083496</v>
      </c>
      <c r="O102" s="33">
        <v>232.69999694824219</v>
      </c>
      <c r="P102" s="33">
        <v>173</v>
      </c>
      <c r="Q102" s="33">
        <v>3.9000000953674316</v>
      </c>
      <c r="R102" s="34" t="s">
        <v>400</v>
      </c>
      <c r="S102" s="33">
        <v>0</v>
      </c>
      <c r="T102" s="35">
        <v>0</v>
      </c>
    </row>
    <row r="103" spans="1:20">
      <c r="A103" s="31">
        <v>101</v>
      </c>
      <c r="B103" s="33" t="s">
        <v>416</v>
      </c>
      <c r="C103" s="33">
        <v>100</v>
      </c>
      <c r="D103" s="33">
        <v>401</v>
      </c>
      <c r="E103" s="33">
        <v>1.6000000238418579</v>
      </c>
      <c r="F103" s="33">
        <v>10</v>
      </c>
      <c r="G103" s="33">
        <v>2.5999999046325684</v>
      </c>
      <c r="H103" s="33">
        <v>0</v>
      </c>
      <c r="I103" s="33">
        <v>84.300003051757813</v>
      </c>
      <c r="J103" s="33">
        <v>42</v>
      </c>
      <c r="K103" s="33">
        <v>1.9999999552965164E-2</v>
      </c>
      <c r="L103" s="33">
        <v>2.9999999329447746E-2</v>
      </c>
      <c r="M103" s="33">
        <v>0.40000000596046448</v>
      </c>
      <c r="N103" s="33">
        <v>5</v>
      </c>
      <c r="O103" s="33">
        <v>0</v>
      </c>
      <c r="P103" s="33">
        <v>175</v>
      </c>
      <c r="Q103" s="33">
        <v>3.2999999523162842</v>
      </c>
      <c r="R103" s="34" t="s">
        <v>400</v>
      </c>
      <c r="S103" s="33">
        <v>0</v>
      </c>
      <c r="T103" s="35">
        <v>0</v>
      </c>
    </row>
    <row r="104" spans="1:20">
      <c r="A104" s="31">
        <v>102</v>
      </c>
      <c r="B104" s="33" t="s">
        <v>417</v>
      </c>
      <c r="C104" s="33">
        <v>100</v>
      </c>
      <c r="D104" s="33">
        <v>200</v>
      </c>
      <c r="E104" s="33">
        <v>59.200000762939453</v>
      </c>
      <c r="F104" s="33">
        <v>17.799999237060547</v>
      </c>
      <c r="G104" s="33">
        <v>13.899999618530273</v>
      </c>
      <c r="H104" s="33">
        <v>4.5</v>
      </c>
      <c r="I104" s="33">
        <v>1</v>
      </c>
      <c r="J104" s="33">
        <v>0</v>
      </c>
      <c r="K104" s="33">
        <v>1.9999999552965164E-2</v>
      </c>
      <c r="L104" s="33">
        <v>3.9999999105930328E-2</v>
      </c>
      <c r="M104" s="33">
        <v>0.20000000298023224</v>
      </c>
      <c r="N104" s="33">
        <v>46.659999847412109</v>
      </c>
      <c r="O104" s="33">
        <v>537.20001220703125</v>
      </c>
      <c r="P104" s="33">
        <v>6</v>
      </c>
      <c r="Q104" s="33">
        <v>6.1999998092651367</v>
      </c>
      <c r="R104" s="34" t="s">
        <v>400</v>
      </c>
      <c r="S104" s="33">
        <v>0</v>
      </c>
      <c r="T104" s="35">
        <v>0</v>
      </c>
    </row>
    <row r="105" spans="1:20">
      <c r="A105" s="31">
        <v>103</v>
      </c>
      <c r="B105" s="33" t="s">
        <v>418</v>
      </c>
      <c r="C105" s="33">
        <v>100</v>
      </c>
      <c r="D105" s="33">
        <v>201</v>
      </c>
      <c r="E105" s="33">
        <v>61.599998474121094</v>
      </c>
      <c r="F105" s="33">
        <v>17.899999618530273</v>
      </c>
      <c r="G105" s="33">
        <v>11.600000381469727</v>
      </c>
      <c r="H105" s="33">
        <v>1</v>
      </c>
      <c r="I105" s="33">
        <v>6.1999998092651367</v>
      </c>
      <c r="J105" s="33">
        <v>30</v>
      </c>
      <c r="K105" s="33">
        <v>1.9999999552965164E-2</v>
      </c>
      <c r="L105" s="33">
        <v>3.9999999105930328E-2</v>
      </c>
      <c r="M105" s="33">
        <v>0.40000000596046448</v>
      </c>
      <c r="N105" s="33">
        <v>27.629999160766602</v>
      </c>
      <c r="O105" s="33">
        <v>0</v>
      </c>
      <c r="P105" s="33">
        <v>156</v>
      </c>
      <c r="Q105" s="33">
        <v>6.0999999046325684</v>
      </c>
      <c r="R105" s="34" t="s">
        <v>400</v>
      </c>
      <c r="S105" s="33">
        <v>0</v>
      </c>
      <c r="T105" s="35">
        <v>0</v>
      </c>
    </row>
    <row r="106" spans="1:20">
      <c r="A106" s="31">
        <v>104</v>
      </c>
      <c r="B106" s="33" t="s">
        <v>419</v>
      </c>
      <c r="C106" s="33">
        <v>100</v>
      </c>
      <c r="D106" s="33">
        <v>10</v>
      </c>
      <c r="E106" s="33">
        <v>97.800003051757813</v>
      </c>
      <c r="F106" s="33">
        <v>1.8999999761581421</v>
      </c>
      <c r="G106" s="33">
        <v>0.80000001192092896</v>
      </c>
      <c r="H106" s="33">
        <v>0</v>
      </c>
      <c r="I106" s="33">
        <v>0</v>
      </c>
      <c r="J106" s="33">
        <v>6</v>
      </c>
      <c r="K106" s="33">
        <v>3.9999999105930328E-2</v>
      </c>
      <c r="L106" s="33">
        <v>1.9999999552965164E-2</v>
      </c>
      <c r="M106" s="33">
        <v>0.40000000596046448</v>
      </c>
      <c r="N106" s="33">
        <v>10.460000038146973</v>
      </c>
      <c r="O106" s="33">
        <v>2.7999999523162842</v>
      </c>
      <c r="P106" s="33">
        <v>18</v>
      </c>
      <c r="Q106" s="33">
        <v>0.89999997615814209</v>
      </c>
      <c r="R106" s="34" t="s">
        <v>400</v>
      </c>
      <c r="S106" s="33">
        <v>0</v>
      </c>
      <c r="T106" s="35">
        <v>0</v>
      </c>
    </row>
    <row r="107" spans="1:20">
      <c r="A107" s="31">
        <v>105</v>
      </c>
      <c r="B107" s="33" t="s">
        <v>420</v>
      </c>
      <c r="C107" s="33">
        <v>100</v>
      </c>
      <c r="D107" s="33">
        <v>409</v>
      </c>
      <c r="E107" s="33">
        <v>16.5</v>
      </c>
      <c r="F107" s="33">
        <v>44.599998474121094</v>
      </c>
      <c r="G107" s="33">
        <v>17.399999618530273</v>
      </c>
      <c r="H107" s="33">
        <v>0.20000000298023224</v>
      </c>
      <c r="I107" s="33">
        <v>18.600000381469727</v>
      </c>
      <c r="J107" s="33">
        <v>0</v>
      </c>
      <c r="K107" s="33">
        <v>0.31000000238418579</v>
      </c>
      <c r="L107" s="33">
        <v>0.10999999940395355</v>
      </c>
      <c r="M107" s="33">
        <v>1.5</v>
      </c>
      <c r="N107" s="33">
        <v>20.629999160766602</v>
      </c>
      <c r="O107" s="33">
        <v>9.3999996185302734</v>
      </c>
      <c r="P107" s="33">
        <v>116</v>
      </c>
      <c r="Q107" s="33">
        <v>30.799999237060547</v>
      </c>
      <c r="R107" s="34" t="s">
        <v>400</v>
      </c>
      <c r="S107" s="33">
        <v>0</v>
      </c>
      <c r="T107" s="35">
        <v>0</v>
      </c>
    </row>
    <row r="108" spans="1:20">
      <c r="A108" s="31">
        <v>106</v>
      </c>
      <c r="B108" s="33" t="s">
        <v>421</v>
      </c>
      <c r="C108" s="33">
        <v>100</v>
      </c>
      <c r="D108" s="33">
        <v>201</v>
      </c>
      <c r="E108" s="33">
        <v>58.400001525878906</v>
      </c>
      <c r="F108" s="33">
        <v>21.5</v>
      </c>
      <c r="G108" s="33">
        <v>10.5</v>
      </c>
      <c r="H108" s="33">
        <v>1.1000000238418579</v>
      </c>
      <c r="I108" s="33">
        <v>5.0999999046325684</v>
      </c>
      <c r="J108" s="33">
        <v>5</v>
      </c>
      <c r="K108" s="33">
        <v>3.9999999105930328E-2</v>
      </c>
      <c r="L108" s="33">
        <v>0.11999999731779099</v>
      </c>
      <c r="M108" s="33">
        <v>0.5</v>
      </c>
      <c r="N108" s="33">
        <v>9.7600002288818359</v>
      </c>
      <c r="O108" s="33">
        <v>20.600000381469727</v>
      </c>
      <c r="P108" s="33">
        <v>204</v>
      </c>
      <c r="Q108" s="33">
        <v>9.1000003814697266</v>
      </c>
      <c r="R108" s="34" t="s">
        <v>400</v>
      </c>
      <c r="S108" s="33">
        <v>0</v>
      </c>
      <c r="T108" s="35">
        <v>0</v>
      </c>
    </row>
    <row r="109" spans="1:20">
      <c r="A109" s="31">
        <v>107</v>
      </c>
      <c r="B109" s="33" t="s">
        <v>422</v>
      </c>
      <c r="C109" s="33">
        <v>100</v>
      </c>
      <c r="D109" s="33">
        <v>451</v>
      </c>
      <c r="E109" s="33">
        <v>7.4000000953674316</v>
      </c>
      <c r="F109" s="33">
        <v>57.799999237060547</v>
      </c>
      <c r="G109" s="33">
        <v>22.799999237060547</v>
      </c>
      <c r="H109" s="33">
        <v>0</v>
      </c>
      <c r="I109" s="33">
        <v>3.5999999046325684</v>
      </c>
      <c r="J109" s="33">
        <v>0</v>
      </c>
      <c r="K109" s="33">
        <v>0.30000001192092896</v>
      </c>
      <c r="L109" s="33">
        <v>0.60000002384185791</v>
      </c>
      <c r="M109" s="33">
        <v>0</v>
      </c>
      <c r="N109" s="33">
        <v>7.8000001907348633</v>
      </c>
      <c r="O109" s="33">
        <v>110</v>
      </c>
      <c r="P109" s="33">
        <v>5</v>
      </c>
      <c r="Q109" s="33">
        <v>1.2999999523162842</v>
      </c>
      <c r="R109" s="34" t="s">
        <v>400</v>
      </c>
      <c r="S109" s="33">
        <v>0</v>
      </c>
      <c r="T109" s="35">
        <v>0</v>
      </c>
    </row>
    <row r="110" spans="1:20">
      <c r="A110" s="31">
        <v>108</v>
      </c>
      <c r="B110" s="33" t="s">
        <v>423</v>
      </c>
      <c r="C110" s="33">
        <v>100</v>
      </c>
      <c r="D110" s="33">
        <v>300</v>
      </c>
      <c r="E110" s="33">
        <v>38.200000762939453</v>
      </c>
      <c r="F110" s="33">
        <v>24.200000762939453</v>
      </c>
      <c r="G110" s="33">
        <v>17.100000381469727</v>
      </c>
      <c r="H110" s="33">
        <v>2.2000000476837158</v>
      </c>
      <c r="I110" s="33">
        <v>12.300000190734863</v>
      </c>
      <c r="J110" s="33">
        <v>3</v>
      </c>
      <c r="K110" s="33">
        <v>1.9999999552965164E-2</v>
      </c>
      <c r="L110" s="33">
        <v>9.0000003576278687E-2</v>
      </c>
      <c r="M110" s="33">
        <v>1.7999999523162842</v>
      </c>
      <c r="N110" s="33">
        <v>17.799999237060547</v>
      </c>
      <c r="O110" s="33">
        <v>769.4000244140625</v>
      </c>
      <c r="P110" s="33">
        <v>152</v>
      </c>
      <c r="Q110" s="33">
        <v>5</v>
      </c>
      <c r="R110" s="34" t="s">
        <v>400</v>
      </c>
      <c r="S110" s="33">
        <v>0</v>
      </c>
      <c r="T110" s="35">
        <v>0</v>
      </c>
    </row>
    <row r="111" spans="1:20">
      <c r="A111" s="31">
        <v>109</v>
      </c>
      <c r="B111" s="33" t="s">
        <v>424</v>
      </c>
      <c r="C111" s="33">
        <v>100</v>
      </c>
      <c r="D111" s="33">
        <v>35</v>
      </c>
      <c r="E111" s="33">
        <v>89.199996948242188</v>
      </c>
      <c r="F111" s="33">
        <v>3.2000000476837158</v>
      </c>
      <c r="G111" s="33">
        <v>0.80000001192092896</v>
      </c>
      <c r="H111" s="33">
        <v>2.5999999046325684</v>
      </c>
      <c r="I111" s="33">
        <v>3.7000000476837158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4" t="s">
        <v>400</v>
      </c>
      <c r="S111" s="33">
        <v>0</v>
      </c>
      <c r="T111" s="35">
        <v>0</v>
      </c>
    </row>
    <row r="112" spans="1:20">
      <c r="A112" s="31">
        <v>110</v>
      </c>
      <c r="B112" s="33" t="s">
        <v>425</v>
      </c>
      <c r="C112" s="33">
        <v>100</v>
      </c>
      <c r="D112" s="33">
        <v>192</v>
      </c>
      <c r="E112" s="33">
        <v>57.599998474121094</v>
      </c>
      <c r="F112" s="33">
        <v>17.200000762939453</v>
      </c>
      <c r="G112" s="33">
        <v>12</v>
      </c>
      <c r="H112" s="33">
        <v>5.6999998092651367</v>
      </c>
      <c r="I112" s="33">
        <v>3.7000000476837158</v>
      </c>
      <c r="J112" s="33">
        <v>0</v>
      </c>
      <c r="K112" s="33">
        <v>9.9999997764825821E-3</v>
      </c>
      <c r="L112" s="33">
        <v>5.9999998658895493E-2</v>
      </c>
      <c r="M112" s="33">
        <v>0.10000000149011612</v>
      </c>
      <c r="N112" s="33">
        <v>37.580001831054688</v>
      </c>
      <c r="O112" s="33">
        <v>614.5</v>
      </c>
      <c r="P112" s="33">
        <v>5</v>
      </c>
      <c r="Q112" s="33">
        <v>7.4000000953674316</v>
      </c>
      <c r="R112" s="34" t="s">
        <v>400</v>
      </c>
      <c r="S112" s="33">
        <v>0</v>
      </c>
      <c r="T112" s="35">
        <v>0</v>
      </c>
    </row>
    <row r="113" spans="1:20">
      <c r="A113" s="31">
        <v>111</v>
      </c>
      <c r="B113" s="33" t="s">
        <v>426</v>
      </c>
      <c r="C113" s="33">
        <v>100</v>
      </c>
      <c r="D113" s="33">
        <v>13</v>
      </c>
      <c r="E113" s="33">
        <v>96.400001525878906</v>
      </c>
      <c r="F113" s="33">
        <v>1.7999999523162842</v>
      </c>
      <c r="G113" s="33">
        <v>0.69999998807907104</v>
      </c>
      <c r="H113" s="33">
        <v>1.1000000238418579</v>
      </c>
      <c r="I113" s="33">
        <v>0</v>
      </c>
      <c r="J113" s="33">
        <v>15</v>
      </c>
      <c r="K113" s="33">
        <v>1.9999999552965164E-2</v>
      </c>
      <c r="L113" s="33">
        <v>1.9999999552965164E-2</v>
      </c>
      <c r="M113" s="33">
        <v>0.10000000149011612</v>
      </c>
      <c r="N113" s="33">
        <v>0.80000001192092896</v>
      </c>
      <c r="O113" s="33">
        <v>3</v>
      </c>
      <c r="P113" s="33">
        <v>10</v>
      </c>
      <c r="Q113" s="33">
        <v>0.5</v>
      </c>
      <c r="R113" s="34" t="s">
        <v>400</v>
      </c>
      <c r="S113" s="33">
        <v>0</v>
      </c>
      <c r="T113" s="35">
        <v>0</v>
      </c>
    </row>
    <row r="114" spans="1:20">
      <c r="A114" s="31">
        <v>112</v>
      </c>
      <c r="B114" s="33" t="s">
        <v>427</v>
      </c>
      <c r="C114" s="33">
        <v>100</v>
      </c>
      <c r="D114" s="33">
        <v>422</v>
      </c>
      <c r="E114" s="33">
        <v>1.5</v>
      </c>
      <c r="F114" s="33">
        <v>19.700000762939453</v>
      </c>
      <c r="G114" s="33">
        <v>9.3999996185302734</v>
      </c>
      <c r="H114" s="33">
        <v>2.2000000476837158</v>
      </c>
      <c r="I114" s="33">
        <v>64.599998474121094</v>
      </c>
      <c r="J114" s="33">
        <v>0</v>
      </c>
      <c r="K114" s="33">
        <v>7.0000000298023224E-2</v>
      </c>
      <c r="L114" s="33">
        <v>5.000000074505806E-2</v>
      </c>
      <c r="M114" s="33">
        <v>0.69999998807907104</v>
      </c>
      <c r="N114" s="33">
        <v>17.989999771118164</v>
      </c>
      <c r="O114" s="33">
        <v>26.399999618530273</v>
      </c>
      <c r="P114" s="33">
        <v>101</v>
      </c>
      <c r="Q114" s="33">
        <v>3.7000000476837158</v>
      </c>
      <c r="R114" s="34" t="s">
        <v>400</v>
      </c>
      <c r="S114" s="33">
        <v>0</v>
      </c>
      <c r="T114" s="35">
        <v>0</v>
      </c>
    </row>
    <row r="115" spans="1:20">
      <c r="A115" s="31">
        <v>113</v>
      </c>
      <c r="B115" s="33" t="s">
        <v>428</v>
      </c>
      <c r="C115" s="33">
        <v>100</v>
      </c>
      <c r="D115" s="33">
        <v>30</v>
      </c>
      <c r="E115" s="33">
        <v>94</v>
      </c>
      <c r="F115" s="33">
        <v>2.4000000953674316</v>
      </c>
      <c r="G115" s="33">
        <v>1.5</v>
      </c>
      <c r="H115" s="33">
        <v>0</v>
      </c>
      <c r="I115" s="33">
        <v>1.7999999523162842</v>
      </c>
      <c r="J115" s="33">
        <v>0</v>
      </c>
      <c r="K115" s="33">
        <v>1.9999999552965164E-2</v>
      </c>
      <c r="L115" s="33">
        <v>5.9999998658895493E-2</v>
      </c>
      <c r="M115" s="33">
        <v>0.30000001192092896</v>
      </c>
      <c r="N115" s="33">
        <v>4.5</v>
      </c>
      <c r="O115" s="33">
        <v>3.2000000476837158</v>
      </c>
      <c r="P115" s="33">
        <v>23</v>
      </c>
      <c r="Q115" s="33">
        <v>0.60000002384185791</v>
      </c>
      <c r="R115" s="34" t="s">
        <v>400</v>
      </c>
      <c r="S115" s="33">
        <v>0</v>
      </c>
      <c r="T115" s="35">
        <v>0</v>
      </c>
    </row>
    <row r="116" spans="1:20">
      <c r="A116" s="31">
        <v>114</v>
      </c>
      <c r="B116" s="33" t="s">
        <v>429</v>
      </c>
      <c r="C116" s="33">
        <v>100</v>
      </c>
      <c r="D116" s="33">
        <v>243</v>
      </c>
      <c r="E116" s="33">
        <v>39.200000762939453</v>
      </c>
      <c r="F116" s="33">
        <v>5.5</v>
      </c>
      <c r="G116" s="33">
        <v>1.8999999761581421</v>
      </c>
      <c r="H116" s="33">
        <v>1.7000000476837158</v>
      </c>
      <c r="I116" s="33">
        <v>51</v>
      </c>
      <c r="J116" s="33">
        <v>0</v>
      </c>
      <c r="K116" s="33">
        <v>2.9999999329447746E-2</v>
      </c>
      <c r="L116" s="33">
        <v>5.000000074505806E-2</v>
      </c>
      <c r="M116" s="33">
        <v>0.30000001192092896</v>
      </c>
      <c r="N116" s="33">
        <v>4.369999885559082</v>
      </c>
      <c r="O116" s="33">
        <v>23.5</v>
      </c>
      <c r="P116" s="33">
        <v>42</v>
      </c>
      <c r="Q116" s="33">
        <v>8</v>
      </c>
      <c r="R116" s="34" t="s">
        <v>400</v>
      </c>
      <c r="S116" s="33">
        <v>0</v>
      </c>
      <c r="T116" s="35">
        <v>0</v>
      </c>
    </row>
    <row r="117" spans="1:20">
      <c r="A117" s="31">
        <v>115</v>
      </c>
      <c r="B117" s="33" t="s">
        <v>430</v>
      </c>
      <c r="C117" s="33">
        <v>100</v>
      </c>
      <c r="D117" s="33">
        <v>133</v>
      </c>
      <c r="E117" s="33">
        <v>68.300003051757813</v>
      </c>
      <c r="F117" s="33">
        <v>10.899999618530273</v>
      </c>
      <c r="G117" s="33">
        <v>8.1999998092651367</v>
      </c>
      <c r="H117" s="33">
        <v>0.89999997615814209</v>
      </c>
      <c r="I117" s="33">
        <v>3.9000000953674316</v>
      </c>
      <c r="J117" s="33">
        <v>22</v>
      </c>
      <c r="K117" s="33">
        <v>2.9999999329447746E-2</v>
      </c>
      <c r="L117" s="33">
        <v>3.9999999105930328E-2</v>
      </c>
      <c r="M117" s="33">
        <v>1</v>
      </c>
      <c r="N117" s="33">
        <v>8.3999996185302734</v>
      </c>
      <c r="O117" s="33">
        <v>2460</v>
      </c>
      <c r="P117" s="33">
        <v>61</v>
      </c>
      <c r="Q117" s="33">
        <v>3.7999999523162842</v>
      </c>
      <c r="R117" s="34" t="s">
        <v>400</v>
      </c>
      <c r="S117" s="33">
        <v>0</v>
      </c>
      <c r="T117" s="35">
        <v>0</v>
      </c>
    </row>
    <row r="118" spans="1:20">
      <c r="A118" s="31">
        <v>116</v>
      </c>
      <c r="B118" s="33" t="s">
        <v>431</v>
      </c>
      <c r="C118" s="33">
        <v>100</v>
      </c>
      <c r="D118" s="33">
        <v>130</v>
      </c>
      <c r="E118" s="33">
        <v>66.400001525878906</v>
      </c>
      <c r="F118" s="33">
        <v>11.600000381469727</v>
      </c>
      <c r="G118" s="33">
        <v>7.9000000953674316</v>
      </c>
      <c r="H118" s="33">
        <v>0.80000001192092896</v>
      </c>
      <c r="I118" s="33">
        <v>3.0999999046325684</v>
      </c>
      <c r="J118" s="33">
        <v>20</v>
      </c>
      <c r="K118" s="33">
        <v>1.9999999552965164E-2</v>
      </c>
      <c r="L118" s="33">
        <v>9.0000003576278687E-2</v>
      </c>
      <c r="M118" s="33">
        <v>0.60000002384185791</v>
      </c>
      <c r="N118" s="33">
        <v>9.1800003051757813</v>
      </c>
      <c r="O118" s="33">
        <v>2012.300048828125</v>
      </c>
      <c r="P118" s="33">
        <v>75</v>
      </c>
      <c r="Q118" s="33">
        <v>6.9000000953674316</v>
      </c>
      <c r="R118" s="34" t="s">
        <v>400</v>
      </c>
      <c r="S118" s="33">
        <v>0</v>
      </c>
      <c r="T118" s="35">
        <v>0</v>
      </c>
    </row>
    <row r="119" spans="1:20">
      <c r="A119" s="31">
        <v>117</v>
      </c>
      <c r="B119" s="33" t="s">
        <v>432</v>
      </c>
      <c r="C119" s="33">
        <v>100</v>
      </c>
      <c r="D119" s="33">
        <v>204</v>
      </c>
      <c r="E119" s="33">
        <v>60.099998474121094</v>
      </c>
      <c r="F119" s="33">
        <v>7.3000001907348633</v>
      </c>
      <c r="G119" s="33">
        <v>11.300000190734863</v>
      </c>
      <c r="H119" s="33">
        <v>1</v>
      </c>
      <c r="I119" s="33">
        <v>18.200000762939453</v>
      </c>
      <c r="J119" s="33">
        <v>22</v>
      </c>
      <c r="K119" s="33">
        <v>2.9999999329447746E-2</v>
      </c>
      <c r="L119" s="33">
        <v>5.9999998658895493E-2</v>
      </c>
      <c r="M119" s="33">
        <v>0.40000000596046448</v>
      </c>
      <c r="N119" s="33">
        <v>13.220000267028809</v>
      </c>
      <c r="O119" s="33">
        <v>3000</v>
      </c>
      <c r="P119" s="33">
        <v>302</v>
      </c>
      <c r="Q119" s="33">
        <v>10.199999809265137</v>
      </c>
      <c r="R119" s="34" t="s">
        <v>400</v>
      </c>
      <c r="S119" s="33">
        <v>0</v>
      </c>
      <c r="T119" s="35">
        <v>0</v>
      </c>
    </row>
    <row r="120" spans="1:20">
      <c r="A120" s="31">
        <v>118</v>
      </c>
      <c r="B120" s="33" t="s">
        <v>433</v>
      </c>
      <c r="C120" s="33">
        <v>100</v>
      </c>
      <c r="D120" s="33">
        <v>151</v>
      </c>
      <c r="E120" s="33">
        <v>61.200000762939453</v>
      </c>
      <c r="F120" s="33">
        <v>12</v>
      </c>
      <c r="G120" s="33">
        <v>8.1000003814697266</v>
      </c>
      <c r="H120" s="33">
        <v>0.60000002384185791</v>
      </c>
      <c r="I120" s="33">
        <v>7.5999999046325684</v>
      </c>
      <c r="J120" s="33">
        <v>15</v>
      </c>
      <c r="K120" s="33">
        <v>1.9999999552965164E-2</v>
      </c>
      <c r="L120" s="33">
        <v>0.20999999344348907</v>
      </c>
      <c r="M120" s="33">
        <v>0.5</v>
      </c>
      <c r="N120" s="33">
        <v>7.2399997711181641</v>
      </c>
      <c r="O120" s="33">
        <v>3091.300048828125</v>
      </c>
      <c r="P120" s="33">
        <v>87</v>
      </c>
      <c r="Q120" s="33">
        <v>11.5</v>
      </c>
      <c r="R120" s="34" t="s">
        <v>400</v>
      </c>
      <c r="S120" s="33">
        <v>0</v>
      </c>
      <c r="T120" s="35">
        <v>0</v>
      </c>
    </row>
    <row r="121" spans="1:20">
      <c r="A121" s="31">
        <v>119</v>
      </c>
      <c r="B121" s="33" t="s">
        <v>434</v>
      </c>
      <c r="C121" s="33">
        <v>100</v>
      </c>
      <c r="D121" s="33">
        <v>138</v>
      </c>
      <c r="E121" s="33">
        <v>64</v>
      </c>
      <c r="F121" s="33">
        <v>9.8999996185302734</v>
      </c>
      <c r="G121" s="33">
        <v>8.1000003814697266</v>
      </c>
      <c r="H121" s="33">
        <v>0</v>
      </c>
      <c r="I121" s="33">
        <v>6.4000000953674316</v>
      </c>
      <c r="J121" s="33">
        <v>0</v>
      </c>
      <c r="K121" s="33">
        <v>3.9999999105930328E-2</v>
      </c>
      <c r="L121" s="33">
        <v>0.11999999731779099</v>
      </c>
      <c r="M121" s="33">
        <v>0.80000001192092896</v>
      </c>
      <c r="N121" s="33">
        <v>7.75</v>
      </c>
      <c r="O121" s="33">
        <v>2110.39990234375</v>
      </c>
      <c r="P121" s="33">
        <v>142</v>
      </c>
      <c r="Q121" s="33">
        <v>2.9000000953674316</v>
      </c>
      <c r="R121" s="34" t="s">
        <v>400</v>
      </c>
      <c r="S121" s="33">
        <v>0</v>
      </c>
      <c r="T121" s="35">
        <v>0</v>
      </c>
    </row>
    <row r="122" spans="1:20">
      <c r="A122" s="31">
        <v>120</v>
      </c>
      <c r="B122" s="33" t="s">
        <v>435</v>
      </c>
      <c r="C122" s="33">
        <v>100</v>
      </c>
      <c r="D122" s="33">
        <v>158</v>
      </c>
      <c r="E122" s="33">
        <v>57.5</v>
      </c>
      <c r="F122" s="33">
        <v>11.699999809265137</v>
      </c>
      <c r="G122" s="33">
        <v>7.4000000953674316</v>
      </c>
      <c r="H122" s="33">
        <v>0</v>
      </c>
      <c r="I122" s="33">
        <v>11.199999809265137</v>
      </c>
      <c r="J122" s="33">
        <v>0</v>
      </c>
      <c r="K122" s="33">
        <v>1.9999999552965164E-2</v>
      </c>
      <c r="L122" s="33">
        <v>1.9999999552965164E-2</v>
      </c>
      <c r="M122" s="33">
        <v>0</v>
      </c>
      <c r="N122" s="33">
        <v>8.9899997711181641</v>
      </c>
      <c r="O122" s="33">
        <v>7410.2998046875</v>
      </c>
      <c r="P122" s="33">
        <v>62</v>
      </c>
      <c r="Q122" s="33">
        <v>22.5</v>
      </c>
      <c r="R122" s="34" t="s">
        <v>400</v>
      </c>
      <c r="S122" s="33">
        <v>0</v>
      </c>
      <c r="T122" s="35">
        <v>0</v>
      </c>
    </row>
    <row r="123" spans="1:20">
      <c r="A123" s="31">
        <v>121</v>
      </c>
      <c r="B123" s="33" t="s">
        <v>436</v>
      </c>
      <c r="C123" s="33">
        <v>100</v>
      </c>
      <c r="D123" s="33">
        <v>459</v>
      </c>
      <c r="E123" s="33">
        <v>7.9000000953674316</v>
      </c>
      <c r="F123" s="33">
        <v>44.599998474121094</v>
      </c>
      <c r="G123" s="33">
        <v>21.700000762939453</v>
      </c>
      <c r="H123" s="33">
        <v>1</v>
      </c>
      <c r="I123" s="33">
        <v>21.299999237060547</v>
      </c>
      <c r="J123" s="33">
        <v>0</v>
      </c>
      <c r="K123" s="33">
        <v>0.12999999523162842</v>
      </c>
      <c r="L123" s="33">
        <v>7.0000000298023224E-2</v>
      </c>
      <c r="M123" s="33">
        <v>0.80000001192092896</v>
      </c>
      <c r="N123" s="33">
        <v>27.840000152587891</v>
      </c>
      <c r="O123" s="33">
        <v>26.5</v>
      </c>
      <c r="P123" s="33">
        <v>77</v>
      </c>
      <c r="Q123" s="33">
        <v>16.5</v>
      </c>
      <c r="R123" s="34" t="s">
        <v>400</v>
      </c>
      <c r="S123" s="33">
        <v>0</v>
      </c>
      <c r="T123" s="35">
        <v>0</v>
      </c>
    </row>
    <row r="124" spans="1:20">
      <c r="A124" s="31">
        <v>122</v>
      </c>
      <c r="B124" s="33" t="s">
        <v>437</v>
      </c>
      <c r="C124" s="33">
        <v>100</v>
      </c>
      <c r="D124" s="33">
        <v>489</v>
      </c>
      <c r="E124" s="33">
        <v>8.1999998092651367</v>
      </c>
      <c r="F124" s="33">
        <v>56.599998474121094</v>
      </c>
      <c r="G124" s="33">
        <v>26.299999237060547</v>
      </c>
      <c r="H124" s="33">
        <v>0</v>
      </c>
      <c r="I124" s="33">
        <v>6.5</v>
      </c>
      <c r="J124" s="33">
        <v>0</v>
      </c>
      <c r="K124" s="33">
        <v>0.12999999523162842</v>
      </c>
      <c r="L124" s="33">
        <v>3.9999999105930328E-2</v>
      </c>
      <c r="M124" s="33">
        <v>0</v>
      </c>
      <c r="N124" s="33">
        <v>18</v>
      </c>
      <c r="O124" s="33">
        <v>119</v>
      </c>
      <c r="P124" s="33">
        <v>48</v>
      </c>
      <c r="Q124" s="33">
        <v>11.199999809265137</v>
      </c>
      <c r="R124" s="34" t="s">
        <v>400</v>
      </c>
      <c r="S124" s="33">
        <v>0</v>
      </c>
      <c r="T124" s="35">
        <v>0</v>
      </c>
    </row>
    <row r="125" spans="1:20">
      <c r="A125" s="31">
        <v>123</v>
      </c>
      <c r="B125" s="33" t="s">
        <v>438</v>
      </c>
      <c r="C125" s="33">
        <v>100</v>
      </c>
      <c r="D125" s="33">
        <v>414</v>
      </c>
      <c r="E125" s="33">
        <v>2</v>
      </c>
      <c r="F125" s="33">
        <v>16.5</v>
      </c>
      <c r="G125" s="33">
        <v>7.0999999046325684</v>
      </c>
      <c r="H125" s="33">
        <v>0</v>
      </c>
      <c r="I125" s="33">
        <v>71</v>
      </c>
      <c r="J125" s="33">
        <v>0</v>
      </c>
      <c r="K125" s="33">
        <v>1.1000000238418579</v>
      </c>
      <c r="L125" s="33">
        <v>0.68000000715255737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4" t="s">
        <v>400</v>
      </c>
      <c r="S125" s="33">
        <v>0</v>
      </c>
      <c r="T125" s="35">
        <v>0</v>
      </c>
    </row>
    <row r="126" spans="1:20">
      <c r="A126" s="31">
        <v>124</v>
      </c>
      <c r="B126" s="33" t="s">
        <v>439</v>
      </c>
      <c r="C126" s="33">
        <v>100</v>
      </c>
      <c r="D126" s="33">
        <v>381</v>
      </c>
      <c r="E126" s="33">
        <v>9.8999996185302734</v>
      </c>
      <c r="F126" s="33">
        <v>36.099998474121094</v>
      </c>
      <c r="G126" s="33">
        <v>15.899999618530273</v>
      </c>
      <c r="H126" s="33">
        <v>10.199999809265137</v>
      </c>
      <c r="I126" s="33">
        <v>23.299999237060547</v>
      </c>
      <c r="J126" s="33">
        <v>5</v>
      </c>
      <c r="K126" s="33">
        <v>0.20000000298023224</v>
      </c>
      <c r="L126" s="33">
        <v>0.33000001311302185</v>
      </c>
      <c r="M126" s="33">
        <v>2</v>
      </c>
      <c r="N126" s="33">
        <v>17.360000610351563</v>
      </c>
      <c r="O126" s="33">
        <v>3</v>
      </c>
      <c r="P126" s="33">
        <v>224</v>
      </c>
      <c r="Q126" s="33">
        <v>7</v>
      </c>
      <c r="R126" s="34" t="s">
        <v>400</v>
      </c>
      <c r="S126" s="33">
        <v>0</v>
      </c>
      <c r="T126" s="35">
        <v>0</v>
      </c>
    </row>
    <row r="127" spans="1:20">
      <c r="A127" s="31">
        <v>125</v>
      </c>
      <c r="B127" s="33" t="s">
        <v>440</v>
      </c>
      <c r="C127" s="33">
        <v>100</v>
      </c>
      <c r="D127" s="33">
        <v>240</v>
      </c>
      <c r="E127" s="33">
        <v>35.900001525878906</v>
      </c>
      <c r="F127" s="33">
        <v>4.8000001907348633</v>
      </c>
      <c r="G127" s="33">
        <v>3.5999999046325684</v>
      </c>
      <c r="H127" s="33">
        <v>7.9000000953674316</v>
      </c>
      <c r="I127" s="33">
        <v>47.200000762939453</v>
      </c>
      <c r="J127" s="33">
        <v>0</v>
      </c>
      <c r="K127" s="33">
        <v>3.9999999105930328E-2</v>
      </c>
      <c r="L127" s="33">
        <v>5.000000074505806E-2</v>
      </c>
      <c r="M127" s="33">
        <v>1.7000000476837158</v>
      </c>
      <c r="N127" s="33">
        <v>9.1700000762939453</v>
      </c>
      <c r="O127" s="33">
        <v>3.2999999523162842</v>
      </c>
      <c r="P127" s="33">
        <v>2</v>
      </c>
      <c r="Q127" s="33">
        <v>1</v>
      </c>
      <c r="R127" s="34" t="s">
        <v>400</v>
      </c>
      <c r="S127" s="33">
        <v>0</v>
      </c>
      <c r="T127" s="35">
        <v>0</v>
      </c>
    </row>
    <row r="128" spans="1:20">
      <c r="A128" s="31">
        <v>126</v>
      </c>
      <c r="B128" s="33" t="s">
        <v>441</v>
      </c>
      <c r="C128" s="33">
        <v>100</v>
      </c>
      <c r="D128" s="33">
        <v>317</v>
      </c>
      <c r="E128" s="33">
        <v>14.800000190734863</v>
      </c>
      <c r="F128" s="33">
        <v>19.100000381469727</v>
      </c>
      <c r="G128" s="33">
        <v>1.2999999523162842</v>
      </c>
      <c r="H128" s="33">
        <v>5.5</v>
      </c>
      <c r="I128" s="33">
        <v>57.200000762939453</v>
      </c>
      <c r="J128" s="33">
        <v>72</v>
      </c>
      <c r="K128" s="33">
        <v>0.25</v>
      </c>
      <c r="L128" s="33">
        <v>0</v>
      </c>
      <c r="M128" s="33">
        <v>3</v>
      </c>
      <c r="N128" s="33">
        <v>6.130000114440918</v>
      </c>
      <c r="O128" s="33">
        <v>12.5</v>
      </c>
      <c r="P128" s="33">
        <v>38</v>
      </c>
      <c r="Q128" s="33">
        <v>0.30000001192092896</v>
      </c>
      <c r="R128" s="34" t="s">
        <v>400</v>
      </c>
      <c r="S128" s="33">
        <v>0</v>
      </c>
      <c r="T128" s="35">
        <v>0</v>
      </c>
    </row>
    <row r="129" spans="1:20">
      <c r="A129" s="31">
        <v>127</v>
      </c>
      <c r="B129" s="33" t="s">
        <v>442</v>
      </c>
      <c r="C129" s="33">
        <v>97</v>
      </c>
      <c r="D129" s="33">
        <v>315</v>
      </c>
      <c r="E129" s="33">
        <v>13.199999809265137</v>
      </c>
      <c r="F129" s="33">
        <v>17.200000762939453</v>
      </c>
      <c r="G129" s="33">
        <v>1.3999999761581421</v>
      </c>
      <c r="H129" s="33">
        <v>7.4000000953674316</v>
      </c>
      <c r="I129" s="33">
        <v>58.400001525878906</v>
      </c>
      <c r="J129" s="33">
        <v>47</v>
      </c>
      <c r="K129" s="33">
        <v>0.14000000059604645</v>
      </c>
      <c r="L129" s="33">
        <v>0</v>
      </c>
      <c r="M129" s="33">
        <v>2.7000000476837158</v>
      </c>
      <c r="N129" s="33">
        <v>9.6400003433227539</v>
      </c>
      <c r="O129" s="33">
        <v>19.600000381469727</v>
      </c>
      <c r="P129" s="33">
        <v>221</v>
      </c>
      <c r="Q129" s="33">
        <v>5.9000000953674316</v>
      </c>
      <c r="R129" s="34" t="s">
        <v>400</v>
      </c>
      <c r="S129" s="33">
        <v>0</v>
      </c>
      <c r="T129" s="35">
        <v>0</v>
      </c>
    </row>
    <row r="130" spans="1:20">
      <c r="A130" s="31">
        <v>128</v>
      </c>
      <c r="B130" s="33" t="s">
        <v>443</v>
      </c>
      <c r="C130" s="33">
        <v>100</v>
      </c>
      <c r="D130" s="33">
        <v>359</v>
      </c>
      <c r="E130" s="33">
        <v>10.199999809265137</v>
      </c>
      <c r="F130" s="33">
        <v>35.099998474121094</v>
      </c>
      <c r="G130" s="33">
        <v>16</v>
      </c>
      <c r="H130" s="33">
        <v>15.5</v>
      </c>
      <c r="I130" s="33">
        <v>18.600000381469727</v>
      </c>
      <c r="J130" s="33">
        <v>37</v>
      </c>
      <c r="K130" s="33">
        <v>0.40999999642372131</v>
      </c>
      <c r="L130" s="33">
        <v>0.20000000298023224</v>
      </c>
      <c r="M130" s="33">
        <v>2.0999999046325684</v>
      </c>
      <c r="N130" s="33">
        <v>18.899999618530273</v>
      </c>
      <c r="O130" s="33">
        <v>2.2000000476837158</v>
      </c>
      <c r="P130" s="33">
        <v>191</v>
      </c>
      <c r="Q130" s="33">
        <v>8.1999998092651367</v>
      </c>
      <c r="R130" s="34" t="s">
        <v>400</v>
      </c>
      <c r="S130" s="33">
        <v>0</v>
      </c>
      <c r="T130" s="35">
        <v>0</v>
      </c>
    </row>
    <row r="131" spans="1:20">
      <c r="A131" s="31">
        <v>129</v>
      </c>
      <c r="B131" s="33" t="s">
        <v>444</v>
      </c>
      <c r="C131" s="33">
        <v>100</v>
      </c>
      <c r="D131" s="33">
        <v>418</v>
      </c>
      <c r="E131" s="33">
        <v>6.6999998092651367</v>
      </c>
      <c r="F131" s="33">
        <v>32.799999237060547</v>
      </c>
      <c r="G131" s="33">
        <v>18.299999237060547</v>
      </c>
      <c r="H131" s="33">
        <v>7</v>
      </c>
      <c r="I131" s="33">
        <v>30.5</v>
      </c>
      <c r="J131" s="33">
        <v>63</v>
      </c>
      <c r="K131" s="33">
        <v>0.31000000238418579</v>
      </c>
      <c r="L131" s="33">
        <v>0.2199999988079071</v>
      </c>
      <c r="M131" s="33">
        <v>2.5</v>
      </c>
      <c r="N131" s="33">
        <v>33.689998626708984</v>
      </c>
      <c r="O131" s="33">
        <v>3.5999999046325684</v>
      </c>
      <c r="P131" s="33">
        <v>207</v>
      </c>
      <c r="Q131" s="33">
        <v>8.1000003814697266</v>
      </c>
      <c r="R131" s="34" t="s">
        <v>400</v>
      </c>
      <c r="S131" s="33">
        <v>0</v>
      </c>
      <c r="T131" s="35">
        <v>0</v>
      </c>
    </row>
    <row r="132" spans="1:20">
      <c r="A132" s="31">
        <v>130</v>
      </c>
      <c r="B132" s="33" t="s">
        <v>445</v>
      </c>
      <c r="C132" s="33">
        <v>100</v>
      </c>
      <c r="D132" s="33">
        <v>315</v>
      </c>
      <c r="E132" s="33">
        <v>11.199999809265137</v>
      </c>
      <c r="F132" s="33">
        <v>18.899999618530273</v>
      </c>
      <c r="G132" s="33">
        <v>0.40000000596046448</v>
      </c>
      <c r="H132" s="33">
        <v>6.9000000953674316</v>
      </c>
      <c r="I132" s="33">
        <v>58.900001525878906</v>
      </c>
      <c r="J132" s="33">
        <v>3</v>
      </c>
      <c r="K132" s="33">
        <v>0.2199999988079071</v>
      </c>
      <c r="L132" s="33">
        <v>9.0000003576278687E-2</v>
      </c>
      <c r="M132" s="33">
        <v>2.4000000953674316</v>
      </c>
      <c r="N132" s="33">
        <v>11.420000076293945</v>
      </c>
      <c r="O132" s="33">
        <v>4</v>
      </c>
      <c r="P132" s="33">
        <v>67</v>
      </c>
      <c r="Q132" s="33">
        <v>7.9000000953674316</v>
      </c>
      <c r="R132" s="34" t="s">
        <v>400</v>
      </c>
      <c r="S132" s="33">
        <v>0</v>
      </c>
      <c r="T132" s="35">
        <v>0</v>
      </c>
    </row>
    <row r="133" spans="1:20">
      <c r="A133" s="31">
        <v>131</v>
      </c>
      <c r="B133" s="33" t="s">
        <v>446</v>
      </c>
      <c r="C133" s="33">
        <v>100</v>
      </c>
      <c r="D133" s="33">
        <v>322</v>
      </c>
      <c r="E133" s="33">
        <v>10.899999618530273</v>
      </c>
      <c r="F133" s="33">
        <v>19.299999237060547</v>
      </c>
      <c r="G133" s="33">
        <v>1.2000000476837158</v>
      </c>
      <c r="H133" s="33">
        <v>7.0999999046325684</v>
      </c>
      <c r="I133" s="33">
        <v>58.5</v>
      </c>
      <c r="J133" s="33">
        <v>10</v>
      </c>
      <c r="K133" s="33">
        <v>0.15999999642372131</v>
      </c>
      <c r="L133" s="33">
        <v>7.9999998211860657E-2</v>
      </c>
      <c r="M133" s="33">
        <v>1.8999999761581421</v>
      </c>
      <c r="N133" s="33">
        <v>8.6099996566772461</v>
      </c>
      <c r="O133" s="33">
        <v>6.8000001907348633</v>
      </c>
      <c r="P133" s="33">
        <v>40</v>
      </c>
      <c r="Q133" s="33">
        <v>7.0999999046325684</v>
      </c>
      <c r="R133" s="34" t="s">
        <v>400</v>
      </c>
      <c r="S133" s="33">
        <v>0</v>
      </c>
      <c r="T133" s="35">
        <v>0</v>
      </c>
    </row>
    <row r="134" spans="1:20">
      <c r="A134" s="31">
        <v>132</v>
      </c>
      <c r="B134" s="33" t="s">
        <v>447</v>
      </c>
      <c r="C134" s="33">
        <v>100</v>
      </c>
      <c r="D134" s="33">
        <v>316</v>
      </c>
      <c r="E134" s="33">
        <v>12.300000190734863</v>
      </c>
      <c r="F134" s="33">
        <v>21.600000381469727</v>
      </c>
      <c r="G134" s="33">
        <v>0.80000001192092896</v>
      </c>
      <c r="H134" s="33">
        <v>6.4000000953674316</v>
      </c>
      <c r="I134" s="33">
        <v>55.599998474121094</v>
      </c>
      <c r="J134" s="33">
        <v>22</v>
      </c>
      <c r="K134" s="33">
        <v>0.25</v>
      </c>
      <c r="L134" s="33">
        <v>0.10999999940395355</v>
      </c>
      <c r="M134" s="33">
        <v>2</v>
      </c>
      <c r="N134" s="33">
        <v>10.949999809265137</v>
      </c>
      <c r="O134" s="33">
        <v>3.2000000476837158</v>
      </c>
      <c r="P134" s="33">
        <v>81</v>
      </c>
      <c r="Q134" s="33">
        <v>6.5</v>
      </c>
      <c r="R134" s="34" t="s">
        <v>400</v>
      </c>
      <c r="S134" s="33">
        <v>0</v>
      </c>
      <c r="T134" s="35">
        <v>0</v>
      </c>
    </row>
    <row r="135" spans="1:20">
      <c r="A135" s="31">
        <v>133</v>
      </c>
      <c r="B135" s="33" t="s">
        <v>448</v>
      </c>
      <c r="C135" s="33">
        <v>100</v>
      </c>
      <c r="D135" s="33">
        <v>122</v>
      </c>
      <c r="E135" s="33">
        <v>69.699996948242188</v>
      </c>
      <c r="F135" s="33">
        <v>15.199999809265137</v>
      </c>
      <c r="G135" s="33">
        <v>1.2000000476837158</v>
      </c>
      <c r="H135" s="33">
        <v>0</v>
      </c>
      <c r="I135" s="33">
        <v>12.699999809265137</v>
      </c>
      <c r="J135" s="33">
        <v>0</v>
      </c>
      <c r="K135" s="33">
        <v>7.0000000298023224E-2</v>
      </c>
      <c r="L135" s="33">
        <v>1.9999999552965164E-2</v>
      </c>
      <c r="M135" s="33">
        <v>0</v>
      </c>
      <c r="N135" s="33">
        <v>0</v>
      </c>
      <c r="O135" s="33">
        <v>3.0999999046325684</v>
      </c>
      <c r="P135" s="33">
        <v>18</v>
      </c>
      <c r="Q135" s="33">
        <v>1</v>
      </c>
      <c r="R135" s="34" t="s">
        <v>400</v>
      </c>
      <c r="S135" s="33">
        <v>0</v>
      </c>
      <c r="T135" s="35">
        <v>0</v>
      </c>
    </row>
    <row r="136" spans="1:20">
      <c r="A136" s="31">
        <v>134</v>
      </c>
      <c r="B136" s="33" t="s">
        <v>449</v>
      </c>
      <c r="C136" s="33">
        <v>100</v>
      </c>
      <c r="D136" s="33">
        <v>330</v>
      </c>
      <c r="E136" s="33">
        <v>9.6000003814697266</v>
      </c>
      <c r="F136" s="33">
        <v>20.799999237060547</v>
      </c>
      <c r="G136" s="33">
        <v>0.69999998807907104</v>
      </c>
      <c r="H136" s="33">
        <v>5.8000001907348633</v>
      </c>
      <c r="I136" s="33">
        <v>60</v>
      </c>
      <c r="J136" s="33">
        <v>15</v>
      </c>
      <c r="K136" s="33">
        <v>0.44999998807907104</v>
      </c>
      <c r="L136" s="33">
        <v>0.11999999731779099</v>
      </c>
      <c r="M136" s="33">
        <v>0.69999998807907104</v>
      </c>
      <c r="N136" s="33">
        <v>0</v>
      </c>
      <c r="O136" s="33">
        <v>3.2999999523162842</v>
      </c>
      <c r="P136" s="33">
        <v>134</v>
      </c>
      <c r="Q136" s="33">
        <v>8.1000003814697266</v>
      </c>
      <c r="R136" s="34" t="s">
        <v>400</v>
      </c>
      <c r="S136" s="33">
        <v>0</v>
      </c>
      <c r="T136" s="35">
        <v>0</v>
      </c>
    </row>
    <row r="137" spans="1:20">
      <c r="A137" s="31">
        <v>135</v>
      </c>
      <c r="B137" s="33" t="s">
        <v>450</v>
      </c>
      <c r="C137" s="33">
        <v>100</v>
      </c>
      <c r="D137" s="33">
        <v>336</v>
      </c>
      <c r="E137" s="33">
        <v>32.400001525878906</v>
      </c>
      <c r="F137" s="33">
        <v>14.5</v>
      </c>
      <c r="G137" s="33">
        <v>16.700000762939453</v>
      </c>
      <c r="H137" s="33">
        <v>1.6000000238418579</v>
      </c>
      <c r="I137" s="33">
        <v>31.799999237060547</v>
      </c>
      <c r="J137" s="33">
        <v>0</v>
      </c>
      <c r="K137" s="33">
        <v>2.9999999329447746E-2</v>
      </c>
      <c r="L137" s="33">
        <v>0.14000000059604645</v>
      </c>
      <c r="M137" s="33">
        <v>0.20000000298023224</v>
      </c>
      <c r="N137" s="33">
        <v>0</v>
      </c>
      <c r="O137" s="33">
        <v>40.900001525878906</v>
      </c>
      <c r="P137" s="33">
        <v>731</v>
      </c>
      <c r="Q137" s="33">
        <v>3.9000000953674316</v>
      </c>
      <c r="R137" s="34" t="s">
        <v>400</v>
      </c>
      <c r="S137" s="33">
        <v>0</v>
      </c>
      <c r="T137" s="35">
        <v>0</v>
      </c>
    </row>
    <row r="138" spans="1:20">
      <c r="A138" s="31">
        <v>136</v>
      </c>
      <c r="B138" s="33" t="s">
        <v>451</v>
      </c>
      <c r="C138" s="33">
        <v>100</v>
      </c>
      <c r="D138" s="33">
        <v>320</v>
      </c>
      <c r="E138" s="33">
        <v>12</v>
      </c>
      <c r="F138" s="33">
        <v>18.600000381469727</v>
      </c>
      <c r="G138" s="33">
        <v>1.1000000238418579</v>
      </c>
      <c r="H138" s="33">
        <v>6.5999999046325684</v>
      </c>
      <c r="I138" s="33">
        <v>59</v>
      </c>
      <c r="J138" s="33">
        <v>0</v>
      </c>
      <c r="K138" s="33">
        <v>0.15000000596046448</v>
      </c>
      <c r="L138" s="33">
        <v>0.18000000715255737</v>
      </c>
      <c r="M138" s="33">
        <v>2.0999999046325684</v>
      </c>
      <c r="N138" s="33">
        <v>12.289999961853027</v>
      </c>
      <c r="O138" s="33">
        <v>86.5</v>
      </c>
      <c r="P138" s="33">
        <v>60</v>
      </c>
      <c r="Q138" s="33">
        <v>5.5</v>
      </c>
      <c r="R138" s="34" t="s">
        <v>400</v>
      </c>
      <c r="S138" s="33">
        <v>0</v>
      </c>
      <c r="T138" s="35">
        <v>0</v>
      </c>
    </row>
    <row r="139" spans="1:20">
      <c r="A139" s="31">
        <v>137</v>
      </c>
      <c r="B139" s="33" t="s">
        <v>452</v>
      </c>
      <c r="C139" s="33">
        <v>100</v>
      </c>
      <c r="D139" s="33">
        <v>360</v>
      </c>
      <c r="E139" s="33">
        <v>10.699999809265137</v>
      </c>
      <c r="F139" s="33">
        <v>23.399999618530273</v>
      </c>
      <c r="G139" s="33">
        <v>3.7999999523162842</v>
      </c>
      <c r="H139" s="33">
        <v>1.5</v>
      </c>
      <c r="I139" s="33">
        <v>58.099998474121094</v>
      </c>
      <c r="J139" s="33">
        <v>0</v>
      </c>
      <c r="K139" s="33">
        <v>0.34999999403953552</v>
      </c>
      <c r="L139" s="33">
        <v>0.2800000011920929</v>
      </c>
      <c r="M139" s="33">
        <v>2.9000000953674316</v>
      </c>
      <c r="N139" s="33">
        <v>19.209999084472656</v>
      </c>
      <c r="O139" s="33">
        <v>12</v>
      </c>
      <c r="P139" s="33">
        <v>327</v>
      </c>
      <c r="Q139" s="33">
        <v>7.6999998092651367</v>
      </c>
      <c r="R139" s="34" t="s">
        <v>400</v>
      </c>
      <c r="S139" s="33">
        <v>0</v>
      </c>
      <c r="T139" s="35">
        <v>0</v>
      </c>
    </row>
    <row r="140" spans="1:20">
      <c r="A140" s="31">
        <v>138</v>
      </c>
      <c r="B140" s="33" t="s">
        <v>453</v>
      </c>
      <c r="C140" s="33">
        <v>100</v>
      </c>
      <c r="D140" s="33">
        <v>321</v>
      </c>
      <c r="E140" s="33">
        <v>9.3000001907348633</v>
      </c>
      <c r="F140" s="33">
        <v>36.700000762939453</v>
      </c>
      <c r="G140" s="33">
        <v>0.69999998807907104</v>
      </c>
      <c r="H140" s="33">
        <v>5.9000000953674316</v>
      </c>
      <c r="I140" s="33">
        <v>42</v>
      </c>
      <c r="J140" s="33">
        <v>0</v>
      </c>
      <c r="K140" s="33">
        <v>0</v>
      </c>
      <c r="L140" s="33">
        <v>0.10999999940395355</v>
      </c>
      <c r="M140" s="33">
        <v>5.8000001907348633</v>
      </c>
      <c r="N140" s="33">
        <v>1.1399999856948853</v>
      </c>
      <c r="O140" s="33">
        <v>3.2999999523162842</v>
      </c>
      <c r="P140" s="33">
        <v>144</v>
      </c>
      <c r="Q140" s="33">
        <v>9.8000001907348633</v>
      </c>
      <c r="R140" s="34" t="s">
        <v>400</v>
      </c>
      <c r="S140" s="33">
        <v>0</v>
      </c>
      <c r="T140" s="35">
        <v>0</v>
      </c>
    </row>
    <row r="141" spans="1:20">
      <c r="A141" s="31">
        <v>139</v>
      </c>
      <c r="B141" s="33" t="s">
        <v>454</v>
      </c>
      <c r="C141" s="33">
        <v>100</v>
      </c>
      <c r="D141" s="33">
        <v>135</v>
      </c>
      <c r="E141" s="33">
        <v>72.5</v>
      </c>
      <c r="F141" s="33">
        <v>12.100000381469727</v>
      </c>
      <c r="G141" s="33">
        <v>5.6999998092651367</v>
      </c>
      <c r="H141" s="33">
        <v>0</v>
      </c>
      <c r="I141" s="33">
        <v>8.8999996185302734</v>
      </c>
      <c r="J141" s="33">
        <v>0</v>
      </c>
      <c r="K141" s="33">
        <v>1.9999999552965164E-2</v>
      </c>
      <c r="L141" s="33">
        <v>9.9999997764825821E-3</v>
      </c>
      <c r="M141" s="33">
        <v>0</v>
      </c>
      <c r="N141" s="33">
        <v>14.090000152587891</v>
      </c>
      <c r="O141" s="33">
        <v>633.0999755859375</v>
      </c>
      <c r="P141" s="33">
        <v>134</v>
      </c>
      <c r="Q141" s="33">
        <v>9.1000003814697266</v>
      </c>
      <c r="R141" s="34" t="s">
        <v>400</v>
      </c>
      <c r="S141" s="33">
        <v>0</v>
      </c>
      <c r="T141" s="35">
        <v>0</v>
      </c>
    </row>
    <row r="142" spans="1:20">
      <c r="A142" s="31">
        <v>140</v>
      </c>
      <c r="B142" s="33" t="s">
        <v>455</v>
      </c>
      <c r="C142" s="33">
        <v>100</v>
      </c>
      <c r="D142" s="33">
        <v>260</v>
      </c>
      <c r="E142" s="33">
        <v>52</v>
      </c>
      <c r="F142" s="33">
        <v>24.5</v>
      </c>
      <c r="G142" s="33">
        <v>16</v>
      </c>
      <c r="H142" s="33">
        <v>1</v>
      </c>
      <c r="I142" s="33">
        <v>4.5</v>
      </c>
      <c r="J142" s="33">
        <v>5</v>
      </c>
      <c r="K142" s="33">
        <v>3.9999999105930328E-2</v>
      </c>
      <c r="L142" s="33">
        <v>5.000000074505806E-2</v>
      </c>
      <c r="M142" s="33">
        <v>0.20000000298023224</v>
      </c>
      <c r="N142" s="33">
        <v>23.379999160766602</v>
      </c>
      <c r="O142" s="33">
        <v>20.600000381469727</v>
      </c>
      <c r="P142" s="33">
        <v>313</v>
      </c>
      <c r="Q142" s="33">
        <v>6.4000000953674316</v>
      </c>
      <c r="R142" s="34" t="s">
        <v>400</v>
      </c>
      <c r="S142" s="33">
        <v>0</v>
      </c>
      <c r="T142" s="35">
        <v>0</v>
      </c>
    </row>
    <row r="143" spans="1:20">
      <c r="A143" s="31">
        <v>141</v>
      </c>
      <c r="B143" s="33" t="s">
        <v>456</v>
      </c>
      <c r="C143" s="33">
        <v>100</v>
      </c>
      <c r="D143" s="33">
        <v>373</v>
      </c>
      <c r="E143" s="33">
        <v>9.5</v>
      </c>
      <c r="F143" s="33">
        <v>34.599998474121094</v>
      </c>
      <c r="G143" s="33">
        <v>16</v>
      </c>
      <c r="H143" s="33">
        <v>12.600000381469727</v>
      </c>
      <c r="I143" s="33">
        <v>22.700000762939453</v>
      </c>
      <c r="J143" s="33">
        <v>132</v>
      </c>
      <c r="K143" s="33">
        <v>0.40999999642372131</v>
      </c>
      <c r="L143" s="33">
        <v>0.18000000715255737</v>
      </c>
      <c r="M143" s="33">
        <v>3</v>
      </c>
      <c r="N143" s="33">
        <v>10.090000152587891</v>
      </c>
      <c r="O143" s="33">
        <v>1.7999999523162842</v>
      </c>
      <c r="P143" s="33">
        <v>200</v>
      </c>
      <c r="Q143" s="33">
        <v>8.3999996185302734</v>
      </c>
      <c r="R143" s="34" t="s">
        <v>400</v>
      </c>
      <c r="S143" s="33">
        <v>0</v>
      </c>
      <c r="T143" s="35">
        <v>0</v>
      </c>
    </row>
    <row r="144" spans="1:20">
      <c r="A144" s="31">
        <v>142</v>
      </c>
      <c r="B144" s="33" t="s">
        <v>457</v>
      </c>
      <c r="C144" s="33">
        <v>100</v>
      </c>
      <c r="D144" s="33">
        <v>67</v>
      </c>
      <c r="E144" s="33">
        <v>84.5</v>
      </c>
      <c r="F144" s="33">
        <v>2.2000000476837158</v>
      </c>
      <c r="G144" s="33">
        <v>1.2000000476837158</v>
      </c>
      <c r="H144" s="33">
        <v>0</v>
      </c>
      <c r="I144" s="33">
        <v>11.800000190734863</v>
      </c>
      <c r="J144" s="33">
        <v>0</v>
      </c>
      <c r="K144" s="33">
        <v>5.9999998658895493E-2</v>
      </c>
      <c r="L144" s="33">
        <v>0</v>
      </c>
      <c r="M144" s="33">
        <v>0.69999998807907104</v>
      </c>
      <c r="N144" s="33">
        <v>1.1100000143051147</v>
      </c>
      <c r="O144" s="33">
        <v>18.600000381469727</v>
      </c>
      <c r="P144" s="33">
        <v>32</v>
      </c>
      <c r="Q144" s="33">
        <v>0.40000000596046448</v>
      </c>
      <c r="R144" s="34" t="s">
        <v>400</v>
      </c>
      <c r="S144" s="33">
        <v>0</v>
      </c>
      <c r="T144" s="35">
        <v>0</v>
      </c>
    </row>
    <row r="145" spans="1:20">
      <c r="A145" s="31">
        <v>143</v>
      </c>
      <c r="B145" s="33" t="s">
        <v>458</v>
      </c>
      <c r="C145" s="33">
        <v>100</v>
      </c>
      <c r="D145" s="33">
        <v>153</v>
      </c>
      <c r="E145" s="33">
        <v>63</v>
      </c>
      <c r="F145" s="33">
        <v>18.100000381469727</v>
      </c>
      <c r="G145" s="33">
        <v>3.5999999046325684</v>
      </c>
      <c r="H145" s="33">
        <v>1</v>
      </c>
      <c r="I145" s="33">
        <v>12</v>
      </c>
      <c r="J145" s="33">
        <v>0</v>
      </c>
      <c r="K145" s="33">
        <v>1.9999999552965164E-2</v>
      </c>
      <c r="L145" s="33">
        <v>1.9999999552965164E-2</v>
      </c>
      <c r="M145" s="33">
        <v>0.10000000149011612</v>
      </c>
      <c r="N145" s="33">
        <v>0</v>
      </c>
      <c r="O145" s="33">
        <v>144.69999694824219</v>
      </c>
      <c r="P145" s="33">
        <v>445</v>
      </c>
      <c r="Q145" s="33">
        <v>3.7999999523162842</v>
      </c>
      <c r="R145" s="34" t="s">
        <v>400</v>
      </c>
      <c r="S145" s="33">
        <v>0</v>
      </c>
      <c r="T145" s="35">
        <v>0</v>
      </c>
    </row>
    <row r="146" spans="1:20">
      <c r="A146" s="31">
        <v>144</v>
      </c>
      <c r="B146" s="33" t="s">
        <v>459</v>
      </c>
      <c r="C146" s="33">
        <v>100</v>
      </c>
      <c r="D146" s="33">
        <v>211</v>
      </c>
      <c r="E146" s="33">
        <v>55</v>
      </c>
      <c r="F146" s="33">
        <v>19.100000381469727</v>
      </c>
      <c r="G146" s="33">
        <v>13.199999809265137</v>
      </c>
      <c r="H146" s="33">
        <v>0.89999997615814209</v>
      </c>
      <c r="I146" s="33">
        <v>3.9000000953674316</v>
      </c>
      <c r="J146" s="33">
        <v>0</v>
      </c>
      <c r="K146" s="33">
        <v>9.9999997764825821E-3</v>
      </c>
      <c r="L146" s="33">
        <v>2.9999999329447746E-2</v>
      </c>
      <c r="M146" s="33">
        <v>0.10000000149011612</v>
      </c>
      <c r="N146" s="33">
        <v>25.989999771118164</v>
      </c>
      <c r="O146" s="33">
        <v>675.9000244140625</v>
      </c>
      <c r="P146" s="33">
        <v>8</v>
      </c>
      <c r="Q146" s="33">
        <v>7.3000001907348633</v>
      </c>
      <c r="R146" s="34" t="s">
        <v>400</v>
      </c>
      <c r="S146" s="33">
        <v>0</v>
      </c>
      <c r="T146" s="35">
        <v>0</v>
      </c>
    </row>
    <row r="147" spans="1:20">
      <c r="A147" s="31">
        <v>145</v>
      </c>
      <c r="B147" s="33" t="s">
        <v>460</v>
      </c>
      <c r="C147" s="33">
        <v>100</v>
      </c>
      <c r="D147" s="33">
        <v>192</v>
      </c>
      <c r="E147" s="33">
        <v>64.300003051757813</v>
      </c>
      <c r="F147" s="33">
        <v>16.5</v>
      </c>
      <c r="G147" s="33">
        <v>12.5</v>
      </c>
      <c r="H147" s="33">
        <v>0.89999997615814209</v>
      </c>
      <c r="I147" s="33">
        <v>3.2999999523162842</v>
      </c>
      <c r="J147" s="33">
        <v>10</v>
      </c>
      <c r="K147" s="33">
        <v>1.9999999552965164E-2</v>
      </c>
      <c r="L147" s="33">
        <v>2.9999999329447746E-2</v>
      </c>
      <c r="M147" s="33">
        <v>0.40000000596046448</v>
      </c>
      <c r="N147" s="33">
        <v>17.799999237060547</v>
      </c>
      <c r="O147" s="33">
        <v>373.79998779296875</v>
      </c>
      <c r="P147" s="33">
        <v>319</v>
      </c>
      <c r="Q147" s="33">
        <v>5.3000001907348633</v>
      </c>
      <c r="R147" s="34" t="s">
        <v>400</v>
      </c>
      <c r="S147" s="33">
        <v>0</v>
      </c>
      <c r="T147" s="35">
        <v>0</v>
      </c>
    </row>
    <row r="148" spans="1:20">
      <c r="A148" s="31">
        <v>146</v>
      </c>
      <c r="B148" s="33" t="s">
        <v>461</v>
      </c>
      <c r="C148" s="33">
        <v>100</v>
      </c>
      <c r="D148" s="33">
        <v>576</v>
      </c>
      <c r="E148" s="33">
        <v>3.4000000953674316</v>
      </c>
      <c r="F148" s="33">
        <v>27.600000381469727</v>
      </c>
      <c r="G148" s="33">
        <v>44.400001525878906</v>
      </c>
      <c r="H148" s="33">
        <v>2.7000000476837158</v>
      </c>
      <c r="I148" s="33">
        <v>16.600000381469727</v>
      </c>
      <c r="J148" s="33">
        <v>0</v>
      </c>
      <c r="K148" s="33">
        <v>3.9999999105930328E-2</v>
      </c>
      <c r="L148" s="33">
        <v>1.9999999552965164E-2</v>
      </c>
      <c r="M148" s="33">
        <v>1.6000000238418579</v>
      </c>
      <c r="N148" s="33">
        <v>50.790000915527344</v>
      </c>
      <c r="O148" s="33">
        <v>1440.300048828125</v>
      </c>
      <c r="P148" s="33">
        <v>251</v>
      </c>
      <c r="Q148" s="33">
        <v>6.3000001907348633</v>
      </c>
      <c r="R148" s="34" t="s">
        <v>400</v>
      </c>
      <c r="S148" s="33">
        <v>0</v>
      </c>
      <c r="T148" s="35">
        <v>0</v>
      </c>
    </row>
    <row r="149" spans="1:20">
      <c r="A149" s="31">
        <v>147</v>
      </c>
      <c r="B149" s="33" t="s">
        <v>462</v>
      </c>
      <c r="C149" s="33">
        <v>100</v>
      </c>
      <c r="D149" s="33">
        <v>186</v>
      </c>
      <c r="E149" s="33">
        <v>63.5</v>
      </c>
      <c r="F149" s="33">
        <v>11.199999809265137</v>
      </c>
      <c r="G149" s="33">
        <v>13.699999809265137</v>
      </c>
      <c r="H149" s="33">
        <v>5.5999999046325684</v>
      </c>
      <c r="I149" s="33">
        <v>4.5</v>
      </c>
      <c r="J149" s="33">
        <v>5</v>
      </c>
      <c r="K149" s="33">
        <v>2.9999999329447746E-2</v>
      </c>
      <c r="L149" s="33">
        <v>3.9999999105930328E-2</v>
      </c>
      <c r="M149" s="33">
        <v>0.5</v>
      </c>
      <c r="N149" s="33">
        <v>27.719999313354492</v>
      </c>
      <c r="O149" s="33">
        <v>0</v>
      </c>
      <c r="P149" s="33">
        <v>103</v>
      </c>
      <c r="Q149" s="33">
        <v>6</v>
      </c>
      <c r="R149" s="34" t="s">
        <v>400</v>
      </c>
      <c r="S149" s="33">
        <v>0</v>
      </c>
      <c r="T149" s="35">
        <v>0</v>
      </c>
    </row>
    <row r="150" spans="1:20">
      <c r="A150" s="31">
        <v>148</v>
      </c>
      <c r="B150" s="33" t="s">
        <v>463</v>
      </c>
      <c r="C150" s="33">
        <v>100</v>
      </c>
      <c r="D150" s="33">
        <v>173</v>
      </c>
      <c r="E150" s="33">
        <v>65.300003051757813</v>
      </c>
      <c r="F150" s="33">
        <v>14</v>
      </c>
      <c r="G150" s="33">
        <v>10.199999809265137</v>
      </c>
      <c r="H150" s="33">
        <v>2</v>
      </c>
      <c r="I150" s="33">
        <v>6.3000001907348633</v>
      </c>
      <c r="J150" s="33">
        <v>0</v>
      </c>
      <c r="K150" s="33">
        <v>7.0000000298023224E-2</v>
      </c>
      <c r="L150" s="33">
        <v>3.9999999105930328E-2</v>
      </c>
      <c r="M150" s="33">
        <v>0.5</v>
      </c>
      <c r="N150" s="33">
        <v>9.5100002288818359</v>
      </c>
      <c r="O150" s="33">
        <v>475.10000610351563</v>
      </c>
      <c r="P150" s="33">
        <v>174</v>
      </c>
      <c r="Q150" s="33">
        <v>6</v>
      </c>
      <c r="R150" s="34" t="s">
        <v>400</v>
      </c>
      <c r="S150" s="33">
        <v>0</v>
      </c>
      <c r="T150" s="35">
        <v>0</v>
      </c>
    </row>
    <row r="151" spans="1:20">
      <c r="A151" s="31">
        <v>149</v>
      </c>
      <c r="B151" s="33" t="s">
        <v>464</v>
      </c>
      <c r="C151" s="33">
        <v>100</v>
      </c>
      <c r="D151" s="33">
        <v>416</v>
      </c>
      <c r="E151" s="33">
        <v>9.1999998092651367</v>
      </c>
      <c r="F151" s="33">
        <v>12.800000190734863</v>
      </c>
      <c r="G151" s="33">
        <v>13.600000381469727</v>
      </c>
      <c r="H151" s="33">
        <v>1.2000000476837158</v>
      </c>
      <c r="I151" s="33">
        <v>60.5</v>
      </c>
      <c r="J151" s="33">
        <v>0</v>
      </c>
      <c r="K151" s="33">
        <v>0.25999999046325684</v>
      </c>
      <c r="L151" s="33">
        <v>0.17000000178813934</v>
      </c>
      <c r="M151" s="33">
        <v>1.5</v>
      </c>
      <c r="N151" s="33">
        <v>8.130000114440918</v>
      </c>
      <c r="O151" s="33">
        <v>109.80000305175781</v>
      </c>
      <c r="P151" s="33">
        <v>59</v>
      </c>
      <c r="Q151" s="33">
        <v>2.2999999523162842</v>
      </c>
      <c r="R151" s="34" t="s">
        <v>400</v>
      </c>
      <c r="S151" s="33">
        <v>0</v>
      </c>
      <c r="T151" s="35">
        <v>0</v>
      </c>
    </row>
    <row r="152" spans="1:20">
      <c r="A152" s="31">
        <v>150</v>
      </c>
      <c r="B152" s="33" t="s">
        <v>465</v>
      </c>
      <c r="C152" s="33">
        <v>100</v>
      </c>
      <c r="D152" s="33">
        <v>313</v>
      </c>
      <c r="E152" s="33">
        <v>10.399999618530273</v>
      </c>
      <c r="F152" s="33">
        <v>20.299999237060547</v>
      </c>
      <c r="G152" s="33">
        <v>1.1000000238418579</v>
      </c>
      <c r="H152" s="33">
        <v>10.399999618530273</v>
      </c>
      <c r="I152" s="33">
        <v>55.400001525878906</v>
      </c>
      <c r="J152" s="33">
        <v>42</v>
      </c>
      <c r="K152" s="33">
        <v>0.49000000953674316</v>
      </c>
      <c r="L152" s="33">
        <v>0.14000000059604645</v>
      </c>
      <c r="M152" s="33">
        <v>2.4000000953674316</v>
      </c>
      <c r="N152" s="33">
        <v>8.4700002670288086</v>
      </c>
      <c r="O152" s="33">
        <v>9.6999998092651367</v>
      </c>
      <c r="P152" s="33">
        <v>97</v>
      </c>
      <c r="Q152" s="33">
        <v>4.9000000953674316</v>
      </c>
      <c r="R152" s="34" t="s">
        <v>400</v>
      </c>
      <c r="S152" s="33">
        <v>0</v>
      </c>
      <c r="T152" s="35">
        <v>0</v>
      </c>
    </row>
    <row r="153" spans="1:20">
      <c r="A153" s="31">
        <v>151</v>
      </c>
      <c r="B153" s="33" t="s">
        <v>466</v>
      </c>
      <c r="C153" s="33">
        <v>100</v>
      </c>
      <c r="D153" s="33">
        <v>322</v>
      </c>
      <c r="E153" s="33">
        <v>11.5</v>
      </c>
      <c r="F153" s="33">
        <v>21.600000381469727</v>
      </c>
      <c r="G153" s="33">
        <v>1</v>
      </c>
      <c r="H153" s="33">
        <v>6.9000000953674316</v>
      </c>
      <c r="I153" s="33">
        <v>56.700000762939453</v>
      </c>
      <c r="J153" s="33">
        <v>40</v>
      </c>
      <c r="K153" s="33">
        <v>0.68000000715255737</v>
      </c>
      <c r="L153" s="33">
        <v>0.2199999988079071</v>
      </c>
      <c r="M153" s="33">
        <v>2.4000000953674316</v>
      </c>
      <c r="N153" s="33">
        <v>9.630000114440918</v>
      </c>
      <c r="O153" s="33">
        <v>3.2000000476837158</v>
      </c>
      <c r="P153" s="33">
        <v>106</v>
      </c>
      <c r="Q153" s="33">
        <v>4.4000000953674316</v>
      </c>
      <c r="R153" s="34" t="s">
        <v>400</v>
      </c>
      <c r="S153" s="33">
        <v>0</v>
      </c>
      <c r="T153" s="35">
        <v>0</v>
      </c>
    </row>
    <row r="154" spans="1:20">
      <c r="A154" s="31">
        <v>152</v>
      </c>
      <c r="B154" s="33" t="s">
        <v>467</v>
      </c>
      <c r="C154" s="33">
        <v>100</v>
      </c>
      <c r="D154" s="33">
        <v>309</v>
      </c>
      <c r="E154" s="33">
        <v>12.600000381469727</v>
      </c>
      <c r="F154" s="33">
        <v>20.200000762939453</v>
      </c>
      <c r="G154" s="33">
        <v>0.60000002384185791</v>
      </c>
      <c r="H154" s="33">
        <v>7.6999998092651367</v>
      </c>
      <c r="I154" s="33">
        <v>55.700000762939453</v>
      </c>
      <c r="J154" s="33">
        <v>13</v>
      </c>
      <c r="K154" s="33">
        <v>0.15999999642372131</v>
      </c>
      <c r="L154" s="33">
        <v>0.10999999940395355</v>
      </c>
      <c r="M154" s="33">
        <v>2</v>
      </c>
      <c r="N154" s="33">
        <v>14.359999656677246</v>
      </c>
      <c r="O154" s="33">
        <v>2.2000000476837158</v>
      </c>
      <c r="P154" s="33">
        <v>74</v>
      </c>
      <c r="Q154" s="33">
        <v>7.4000000953674316</v>
      </c>
      <c r="R154" s="34" t="s">
        <v>400</v>
      </c>
      <c r="S154" s="33">
        <v>0</v>
      </c>
      <c r="T154" s="35">
        <v>0</v>
      </c>
    </row>
    <row r="155" spans="1:20">
      <c r="A155" s="31">
        <v>153</v>
      </c>
      <c r="B155" s="33" t="s">
        <v>468</v>
      </c>
      <c r="C155" s="33">
        <v>100</v>
      </c>
      <c r="D155" s="33">
        <v>244</v>
      </c>
      <c r="E155" s="33">
        <v>58.799999237060547</v>
      </c>
      <c r="F155" s="33">
        <v>17</v>
      </c>
      <c r="G155" s="33">
        <v>17.600000381469727</v>
      </c>
      <c r="H155" s="33">
        <v>0.60000002384185791</v>
      </c>
      <c r="I155" s="33">
        <v>4.3000001907348633</v>
      </c>
      <c r="J155" s="33">
        <v>5</v>
      </c>
      <c r="K155" s="33">
        <v>5.000000074505806E-2</v>
      </c>
      <c r="L155" s="33">
        <v>3.9999999105930328E-2</v>
      </c>
      <c r="M155" s="33">
        <v>0.30000001192092896</v>
      </c>
      <c r="N155" s="33">
        <v>24.700000762939453</v>
      </c>
      <c r="O155" s="33">
        <v>32.5</v>
      </c>
      <c r="P155" s="33">
        <v>147</v>
      </c>
      <c r="Q155" s="33">
        <v>5.1999998092651367</v>
      </c>
      <c r="R155" s="34" t="s">
        <v>400</v>
      </c>
      <c r="S155" s="33">
        <v>0</v>
      </c>
      <c r="T155" s="35">
        <v>0</v>
      </c>
    </row>
    <row r="156" spans="1:20">
      <c r="A156" s="31">
        <v>154</v>
      </c>
      <c r="B156" s="33" t="s">
        <v>469</v>
      </c>
      <c r="C156" s="33">
        <v>100</v>
      </c>
      <c r="D156" s="33">
        <v>405</v>
      </c>
      <c r="E156" s="33">
        <v>8.1000003814697266</v>
      </c>
      <c r="F156" s="33">
        <v>25.100000381469727</v>
      </c>
      <c r="G156" s="33">
        <v>9.8000001907348633</v>
      </c>
      <c r="H156" s="33">
        <v>0.69999998807907104</v>
      </c>
      <c r="I156" s="33">
        <v>54</v>
      </c>
      <c r="J156" s="33">
        <v>0</v>
      </c>
      <c r="K156" s="33">
        <v>0.10999999940395355</v>
      </c>
      <c r="L156" s="33">
        <v>0.20000000298023224</v>
      </c>
      <c r="M156" s="33">
        <v>1.7999999523162842</v>
      </c>
      <c r="N156" s="33">
        <v>7.880000114440918</v>
      </c>
      <c r="O156" s="33">
        <v>359.39999389648438</v>
      </c>
      <c r="P156" s="33">
        <v>63</v>
      </c>
      <c r="Q156" s="33">
        <v>1.8999999761581421</v>
      </c>
      <c r="R156" s="34" t="s">
        <v>400</v>
      </c>
      <c r="S156" s="33">
        <v>0</v>
      </c>
      <c r="T156" s="35">
        <v>0</v>
      </c>
    </row>
    <row r="157" spans="1:20">
      <c r="A157" s="31">
        <v>155</v>
      </c>
      <c r="B157" s="33" t="s">
        <v>470</v>
      </c>
      <c r="C157" s="33">
        <v>100</v>
      </c>
      <c r="D157" s="33">
        <v>400</v>
      </c>
      <c r="E157" s="33">
        <v>12.199999809265137</v>
      </c>
      <c r="F157" s="33">
        <v>33.400001525878906</v>
      </c>
      <c r="G157" s="33">
        <v>14.800000190734863</v>
      </c>
      <c r="H157" s="33">
        <v>1.7999999523162842</v>
      </c>
      <c r="I157" s="33">
        <v>33.299999237060547</v>
      </c>
      <c r="J157" s="33">
        <v>0</v>
      </c>
      <c r="K157" s="33">
        <v>3.9999999105930328E-2</v>
      </c>
      <c r="L157" s="33">
        <v>0.25999999046325684</v>
      </c>
      <c r="M157" s="33">
        <v>1.7999999523162842</v>
      </c>
      <c r="N157" s="33">
        <v>18.75</v>
      </c>
      <c r="O157" s="33">
        <v>0</v>
      </c>
      <c r="P157" s="33">
        <v>0</v>
      </c>
      <c r="Q157" s="33">
        <v>0</v>
      </c>
      <c r="R157" s="34" t="s">
        <v>400</v>
      </c>
      <c r="S157" s="33">
        <v>0</v>
      </c>
      <c r="T157" s="35">
        <v>0</v>
      </c>
    </row>
    <row r="158" spans="1:20">
      <c r="A158" s="31">
        <v>156</v>
      </c>
      <c r="B158" s="33" t="s">
        <v>471</v>
      </c>
      <c r="C158" s="33">
        <v>100</v>
      </c>
      <c r="D158" s="33">
        <v>296</v>
      </c>
      <c r="E158" s="33">
        <v>14.399999618530273</v>
      </c>
      <c r="F158" s="33">
        <v>23.399999618530273</v>
      </c>
      <c r="G158" s="33">
        <v>1.3999999761581421</v>
      </c>
      <c r="H158" s="33">
        <v>9.8000001907348633</v>
      </c>
      <c r="I158" s="33">
        <v>47.400001525878906</v>
      </c>
      <c r="J158" s="33">
        <v>0</v>
      </c>
      <c r="K158" s="33">
        <v>0.18000000715255737</v>
      </c>
      <c r="L158" s="33">
        <v>0.25999999046325684</v>
      </c>
      <c r="M158" s="33">
        <v>2.4000000953674316</v>
      </c>
      <c r="N158" s="33">
        <v>6.1599998474121094</v>
      </c>
      <c r="O158" s="33">
        <v>0</v>
      </c>
      <c r="P158" s="33">
        <v>0</v>
      </c>
      <c r="Q158" s="33">
        <v>0</v>
      </c>
      <c r="R158" s="34" t="s">
        <v>400</v>
      </c>
      <c r="S158" s="33">
        <v>0</v>
      </c>
      <c r="T158" s="35">
        <v>0</v>
      </c>
    </row>
    <row r="159" spans="1:20">
      <c r="A159" s="31">
        <v>157</v>
      </c>
      <c r="B159" s="33" t="s">
        <v>472</v>
      </c>
      <c r="C159" s="33">
        <v>100</v>
      </c>
      <c r="D159" s="33">
        <v>314</v>
      </c>
      <c r="E159" s="33">
        <v>11.100000381469727</v>
      </c>
      <c r="F159" s="33">
        <v>21.399999618530273</v>
      </c>
      <c r="G159" s="33">
        <v>1.2999999523162842</v>
      </c>
      <c r="H159" s="33">
        <v>8.3000001907348633</v>
      </c>
      <c r="I159" s="33">
        <v>54.200000762939453</v>
      </c>
      <c r="J159" s="33">
        <v>30</v>
      </c>
      <c r="K159" s="33">
        <v>0.18000000715255737</v>
      </c>
      <c r="L159" s="33">
        <v>9.0000003576278687E-2</v>
      </c>
      <c r="M159" s="33">
        <v>2</v>
      </c>
      <c r="N159" s="33">
        <v>7.7399997711181641</v>
      </c>
      <c r="O159" s="33">
        <v>0.60000002384185791</v>
      </c>
      <c r="P159" s="33">
        <v>176</v>
      </c>
      <c r="Q159" s="33">
        <v>5.4000000953674316</v>
      </c>
      <c r="R159" s="34" t="s">
        <v>400</v>
      </c>
      <c r="S159" s="33">
        <v>0</v>
      </c>
      <c r="T159" s="35">
        <v>0</v>
      </c>
    </row>
    <row r="160" spans="1:20">
      <c r="A160" s="31">
        <v>158</v>
      </c>
      <c r="B160" s="33" t="s">
        <v>473</v>
      </c>
      <c r="C160" s="33">
        <v>100</v>
      </c>
      <c r="D160" s="33">
        <v>334</v>
      </c>
      <c r="E160" s="33">
        <v>10.199999809265137</v>
      </c>
      <c r="F160" s="33">
        <v>22.5</v>
      </c>
      <c r="G160" s="33">
        <v>0.89999997615814209</v>
      </c>
      <c r="H160" s="33">
        <v>3.5</v>
      </c>
      <c r="I160" s="33">
        <v>59</v>
      </c>
      <c r="J160" s="33">
        <v>0</v>
      </c>
      <c r="K160" s="33">
        <v>0.37000000476837158</v>
      </c>
      <c r="L160" s="33">
        <v>0.2800000011920929</v>
      </c>
      <c r="M160" s="33">
        <v>2.0999999046325684</v>
      </c>
      <c r="N160" s="33">
        <v>6.0199999809265137</v>
      </c>
      <c r="O160" s="33">
        <v>3.2999999523162842</v>
      </c>
      <c r="P160" s="33">
        <v>156</v>
      </c>
      <c r="Q160" s="33">
        <v>1.7000000476837158</v>
      </c>
      <c r="R160" s="34" t="s">
        <v>400</v>
      </c>
      <c r="S160" s="33">
        <v>0</v>
      </c>
      <c r="T160" s="35">
        <v>0</v>
      </c>
    </row>
    <row r="161" spans="1:20">
      <c r="A161" s="31">
        <v>159</v>
      </c>
      <c r="B161" s="33" t="s">
        <v>474</v>
      </c>
      <c r="C161" s="33">
        <v>100</v>
      </c>
      <c r="D161" s="33">
        <v>306</v>
      </c>
      <c r="E161" s="33">
        <v>9.8000001907348633</v>
      </c>
      <c r="F161" s="33">
        <v>22.399999618530273</v>
      </c>
      <c r="G161" s="33">
        <v>0.60000002384185791</v>
      </c>
      <c r="H161" s="33">
        <v>10.5</v>
      </c>
      <c r="I161" s="33">
        <v>52.799999237060547</v>
      </c>
      <c r="J161" s="33">
        <v>0</v>
      </c>
      <c r="K161" s="33">
        <v>0</v>
      </c>
      <c r="L161" s="33">
        <v>0</v>
      </c>
      <c r="M161" s="33">
        <v>0</v>
      </c>
      <c r="N161" s="33">
        <v>0</v>
      </c>
      <c r="O161" s="33">
        <v>10.5</v>
      </c>
      <c r="P161" s="33">
        <v>349</v>
      </c>
      <c r="Q161" s="33">
        <v>8.6999998092651367</v>
      </c>
      <c r="R161" s="34" t="s">
        <v>400</v>
      </c>
      <c r="S161" s="33">
        <v>0</v>
      </c>
      <c r="T161" s="35">
        <v>0</v>
      </c>
    </row>
    <row r="162" spans="1:20">
      <c r="A162" s="31">
        <v>160</v>
      </c>
      <c r="B162" s="33" t="s">
        <v>475</v>
      </c>
      <c r="C162" s="33">
        <v>100</v>
      </c>
      <c r="D162" s="33">
        <v>316</v>
      </c>
      <c r="E162" s="33">
        <v>11.399999618530273</v>
      </c>
      <c r="F162" s="33">
        <v>8.1999998092651367</v>
      </c>
      <c r="G162" s="33">
        <v>1</v>
      </c>
      <c r="H162" s="33">
        <v>6.8000001907348633</v>
      </c>
      <c r="I162" s="33">
        <v>68.599998474121094</v>
      </c>
      <c r="J162" s="33">
        <v>0</v>
      </c>
      <c r="K162" s="33">
        <v>0</v>
      </c>
      <c r="L162" s="33">
        <v>0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34" t="s">
        <v>400</v>
      </c>
      <c r="S162" s="33">
        <v>0</v>
      </c>
      <c r="T162" s="35">
        <v>0</v>
      </c>
    </row>
    <row r="163" spans="1:20">
      <c r="A163" s="31">
        <v>161</v>
      </c>
      <c r="B163" s="33" t="s">
        <v>476</v>
      </c>
      <c r="C163" s="33">
        <v>100</v>
      </c>
      <c r="D163" s="33">
        <v>472</v>
      </c>
      <c r="E163" s="33">
        <v>6.9000000953674316</v>
      </c>
      <c r="F163" s="33">
        <v>44.5</v>
      </c>
      <c r="G163" s="33">
        <v>24.700000762939453</v>
      </c>
      <c r="H163" s="33">
        <v>2.7000000476837158</v>
      </c>
      <c r="I163" s="33">
        <v>18</v>
      </c>
      <c r="J163" s="33">
        <v>0</v>
      </c>
      <c r="K163" s="33">
        <v>0.10999999940395355</v>
      </c>
      <c r="L163" s="33">
        <v>7.0000000298023224E-2</v>
      </c>
      <c r="M163" s="33">
        <v>0.89999997615814209</v>
      </c>
      <c r="N163" s="33">
        <v>26.780000686645508</v>
      </c>
      <c r="O163" s="33">
        <v>83</v>
      </c>
      <c r="P163" s="33">
        <v>49</v>
      </c>
      <c r="Q163" s="33">
        <v>10.800000190734863</v>
      </c>
      <c r="R163" s="34" t="s">
        <v>400</v>
      </c>
      <c r="S163" s="33">
        <v>0</v>
      </c>
      <c r="T163" s="35">
        <v>0</v>
      </c>
    </row>
    <row r="164" spans="1:20">
      <c r="A164" s="31">
        <v>162</v>
      </c>
      <c r="B164" s="33" t="s">
        <v>477</v>
      </c>
      <c r="C164" s="33">
        <v>91</v>
      </c>
      <c r="D164" s="33">
        <v>37</v>
      </c>
      <c r="E164" s="33">
        <v>88.300003051757813</v>
      </c>
      <c r="F164" s="33">
        <v>2.7000000476837158</v>
      </c>
      <c r="G164" s="33">
        <v>0.20000000298023224</v>
      </c>
      <c r="H164" s="33">
        <v>2.0999999046325684</v>
      </c>
      <c r="I164" s="33">
        <v>6.0999999046325684</v>
      </c>
      <c r="J164" s="33">
        <v>25</v>
      </c>
      <c r="K164" s="33">
        <v>3.9999999105930328E-2</v>
      </c>
      <c r="L164" s="33">
        <v>7.0000000298023224E-2</v>
      </c>
      <c r="M164" s="33">
        <v>0.89999997615814209</v>
      </c>
      <c r="N164" s="33">
        <v>0.23999999463558197</v>
      </c>
      <c r="O164" s="33">
        <v>3.7999999523162842</v>
      </c>
      <c r="P164" s="33">
        <v>38</v>
      </c>
      <c r="Q164" s="33">
        <v>1.8999999761581421</v>
      </c>
      <c r="R164" s="34" t="s">
        <v>478</v>
      </c>
      <c r="S164" s="33">
        <v>13</v>
      </c>
      <c r="T164" s="35">
        <v>0</v>
      </c>
    </row>
    <row r="165" spans="1:20">
      <c r="A165" s="31">
        <v>163</v>
      </c>
      <c r="B165" s="33" t="s">
        <v>479</v>
      </c>
      <c r="C165" s="33">
        <v>31</v>
      </c>
      <c r="D165" s="33">
        <v>104</v>
      </c>
      <c r="E165" s="33">
        <v>70.199996948242188</v>
      </c>
      <c r="F165" s="33">
        <v>8.8000001907348633</v>
      </c>
      <c r="G165" s="33">
        <v>0.40000000596046448</v>
      </c>
      <c r="H165" s="33">
        <v>3.0999999046325684</v>
      </c>
      <c r="I165" s="33">
        <v>16.399999618530273</v>
      </c>
      <c r="J165" s="33">
        <v>52</v>
      </c>
      <c r="K165" s="33">
        <v>0.37000000476837158</v>
      </c>
      <c r="L165" s="33">
        <v>0.10000000149011612</v>
      </c>
      <c r="M165" s="33">
        <v>1.5</v>
      </c>
      <c r="N165" s="33">
        <v>0.82999998331069946</v>
      </c>
      <c r="O165" s="33">
        <v>4</v>
      </c>
      <c r="P165" s="33">
        <v>16</v>
      </c>
      <c r="Q165" s="33">
        <v>3.5</v>
      </c>
      <c r="R165" s="34" t="s">
        <v>478</v>
      </c>
      <c r="S165" s="33">
        <v>16</v>
      </c>
      <c r="T165" s="35">
        <v>0</v>
      </c>
    </row>
    <row r="166" spans="1:20">
      <c r="A166" s="31">
        <v>164</v>
      </c>
      <c r="B166" s="33" t="s">
        <v>480</v>
      </c>
      <c r="C166" s="33">
        <v>92</v>
      </c>
      <c r="D166" s="33">
        <v>35</v>
      </c>
      <c r="E166" s="33">
        <v>89</v>
      </c>
      <c r="F166" s="33">
        <v>3.0999999046325684</v>
      </c>
      <c r="G166" s="33">
        <v>0.20000000298023224</v>
      </c>
      <c r="H166" s="33">
        <v>1.7999999523162842</v>
      </c>
      <c r="I166" s="33">
        <v>5.3000001907348633</v>
      </c>
      <c r="J166" s="33">
        <v>37</v>
      </c>
      <c r="K166" s="33">
        <v>5.000000074505806E-2</v>
      </c>
      <c r="L166" s="33">
        <v>7.0000000298023224E-2</v>
      </c>
      <c r="M166" s="33">
        <v>1</v>
      </c>
      <c r="N166" s="33">
        <v>0.31000000238418579</v>
      </c>
      <c r="O166" s="33">
        <v>5.9000000953674316</v>
      </c>
      <c r="P166" s="33">
        <v>48</v>
      </c>
      <c r="Q166" s="33">
        <v>3.2000000476837158</v>
      </c>
      <c r="R166" s="34" t="s">
        <v>478</v>
      </c>
      <c r="S166" s="33">
        <v>15</v>
      </c>
      <c r="T166" s="35">
        <v>0</v>
      </c>
    </row>
    <row r="167" spans="1:20">
      <c r="A167" s="31">
        <v>165</v>
      </c>
      <c r="B167" s="33" t="s">
        <v>481</v>
      </c>
      <c r="C167" s="33">
        <v>96</v>
      </c>
      <c r="D167" s="33">
        <v>30</v>
      </c>
      <c r="E167" s="33">
        <v>90</v>
      </c>
      <c r="F167" s="33">
        <v>2.5</v>
      </c>
      <c r="G167" s="33">
        <v>0.20000000298023224</v>
      </c>
      <c r="H167" s="33">
        <v>2.0999999046325684</v>
      </c>
      <c r="I167" s="33">
        <v>4.5999999046325684</v>
      </c>
      <c r="J167" s="33">
        <v>33</v>
      </c>
      <c r="K167" s="33">
        <v>5.000000074505806E-2</v>
      </c>
      <c r="L167" s="33">
        <v>7.0000000298023224E-2</v>
      </c>
      <c r="M167" s="33">
        <v>0.89999997615814209</v>
      </c>
      <c r="N167" s="33">
        <v>2.2400000095367432</v>
      </c>
      <c r="O167" s="33">
        <v>3.4000000953674316</v>
      </c>
      <c r="P167" s="33">
        <v>29</v>
      </c>
      <c r="Q167" s="33">
        <v>1.5</v>
      </c>
      <c r="R167" s="34" t="s">
        <v>478</v>
      </c>
      <c r="S167" s="33">
        <v>18</v>
      </c>
      <c r="T167" s="35">
        <v>0</v>
      </c>
    </row>
    <row r="168" spans="1:20">
      <c r="A168" s="31">
        <v>166</v>
      </c>
      <c r="B168" s="33" t="s">
        <v>482</v>
      </c>
      <c r="C168" s="33">
        <v>97</v>
      </c>
      <c r="D168" s="33">
        <v>30</v>
      </c>
      <c r="E168" s="33">
        <v>89.699996948242188</v>
      </c>
      <c r="F168" s="33">
        <v>2.2000000476837158</v>
      </c>
      <c r="G168" s="33">
        <v>0.20000000298023224</v>
      </c>
      <c r="H168" s="33">
        <v>2.5999999046325684</v>
      </c>
      <c r="I168" s="33">
        <v>4.8000001907348633</v>
      </c>
      <c r="J168" s="33">
        <v>97</v>
      </c>
      <c r="K168" s="33">
        <v>5.9999998658895493E-2</v>
      </c>
      <c r="L168" s="33">
        <v>3.9999999105930328E-2</v>
      </c>
      <c r="M168" s="33">
        <v>0.89999997615814209</v>
      </c>
      <c r="N168" s="33">
        <v>2.380000114440918</v>
      </c>
      <c r="O168" s="33">
        <v>9.5</v>
      </c>
      <c r="P168" s="33">
        <v>26</v>
      </c>
      <c r="Q168" s="33">
        <v>0.80000001192092896</v>
      </c>
      <c r="R168" s="34" t="s">
        <v>478</v>
      </c>
      <c r="S168" s="33">
        <v>39</v>
      </c>
      <c r="T168" s="35">
        <v>0</v>
      </c>
    </row>
    <row r="169" spans="1:20">
      <c r="A169" s="31">
        <v>167</v>
      </c>
      <c r="B169" s="33" t="s">
        <v>483</v>
      </c>
      <c r="C169" s="33">
        <v>83</v>
      </c>
      <c r="D169" s="33">
        <v>128</v>
      </c>
      <c r="E169" s="33">
        <v>66.099998474121094</v>
      </c>
      <c r="F169" s="33">
        <v>12.399999618530273</v>
      </c>
      <c r="G169" s="33">
        <v>0.69999998807907104</v>
      </c>
      <c r="H169" s="33">
        <v>1.2999999523162842</v>
      </c>
      <c r="I169" s="33">
        <v>18.100000381469727</v>
      </c>
      <c r="J169" s="33">
        <v>0</v>
      </c>
      <c r="K169" s="33">
        <v>0.30000001192092896</v>
      </c>
      <c r="L169" s="33">
        <v>0.17000000178813934</v>
      </c>
      <c r="M169" s="33">
        <v>2.2999999523162842</v>
      </c>
      <c r="N169" s="33">
        <v>2.7999999523162842</v>
      </c>
      <c r="O169" s="33">
        <v>3.9000000953674316</v>
      </c>
      <c r="P169" s="33">
        <v>41</v>
      </c>
      <c r="Q169" s="33">
        <v>5</v>
      </c>
      <c r="R169" s="34" t="s">
        <v>478</v>
      </c>
      <c r="S169" s="33">
        <v>4</v>
      </c>
      <c r="T169" s="35">
        <v>0</v>
      </c>
    </row>
    <row r="170" spans="1:20">
      <c r="A170" s="31">
        <v>168</v>
      </c>
      <c r="B170" s="33" t="s">
        <v>484</v>
      </c>
      <c r="C170" s="33">
        <v>88</v>
      </c>
      <c r="D170" s="33">
        <v>27</v>
      </c>
      <c r="E170" s="33">
        <v>91.900001525878906</v>
      </c>
      <c r="F170" s="33">
        <v>2.5</v>
      </c>
      <c r="G170" s="33">
        <v>0.30000001192092896</v>
      </c>
      <c r="H170" s="33">
        <v>1.3999999761581421</v>
      </c>
      <c r="I170" s="33">
        <v>3.5</v>
      </c>
      <c r="J170" s="33">
        <v>80</v>
      </c>
      <c r="K170" s="33">
        <v>9.0000003576278687E-2</v>
      </c>
      <c r="L170" s="33">
        <v>3.9999999105930328E-2</v>
      </c>
      <c r="M170" s="33">
        <v>0.69999998807907104</v>
      </c>
      <c r="N170" s="33">
        <v>0.30000001192092896</v>
      </c>
      <c r="O170" s="33">
        <v>8.8000001907348633</v>
      </c>
      <c r="P170" s="33">
        <v>51</v>
      </c>
      <c r="Q170" s="33">
        <v>0.89999997615814209</v>
      </c>
      <c r="R170" s="34" t="s">
        <v>478</v>
      </c>
      <c r="S170" s="33">
        <v>16</v>
      </c>
      <c r="T170" s="35">
        <v>0</v>
      </c>
    </row>
    <row r="171" spans="1:20">
      <c r="A171" s="31">
        <v>169</v>
      </c>
      <c r="B171" s="33" t="s">
        <v>485</v>
      </c>
      <c r="C171" s="33">
        <v>100</v>
      </c>
      <c r="D171" s="33">
        <v>44</v>
      </c>
      <c r="E171" s="33">
        <v>88.800003051757813</v>
      </c>
      <c r="F171" s="33">
        <v>4.5</v>
      </c>
      <c r="G171" s="33">
        <v>1.6000000238418579</v>
      </c>
      <c r="H171" s="33">
        <v>1.5</v>
      </c>
      <c r="I171" s="33">
        <v>3</v>
      </c>
      <c r="J171" s="33">
        <v>5</v>
      </c>
      <c r="K171" s="33">
        <v>3.9999999105930328E-2</v>
      </c>
      <c r="L171" s="33">
        <v>7.0000000298023224E-2</v>
      </c>
      <c r="M171" s="33">
        <v>0.60000002384185791</v>
      </c>
      <c r="N171" s="33">
        <v>0.80000001192092896</v>
      </c>
      <c r="O171" s="33">
        <v>7.1999998092651367</v>
      </c>
      <c r="P171" s="33">
        <v>21</v>
      </c>
      <c r="Q171" s="33">
        <v>0.89999997615814209</v>
      </c>
      <c r="R171" s="34" t="s">
        <v>478</v>
      </c>
      <c r="S171" s="33">
        <v>8</v>
      </c>
      <c r="T171" s="35">
        <v>0</v>
      </c>
    </row>
    <row r="172" spans="1:20">
      <c r="A172" s="31">
        <v>170</v>
      </c>
      <c r="B172" s="33" t="s">
        <v>486</v>
      </c>
      <c r="C172" s="33">
        <v>97</v>
      </c>
      <c r="D172" s="33">
        <v>29</v>
      </c>
      <c r="E172" s="33">
        <v>90.300003051757813</v>
      </c>
      <c r="F172" s="33">
        <v>2.9000000953674316</v>
      </c>
      <c r="G172" s="33">
        <v>0.30000001192092896</v>
      </c>
      <c r="H172" s="33">
        <v>2.2999999523162842</v>
      </c>
      <c r="I172" s="33">
        <v>3.5999999046325684</v>
      </c>
      <c r="J172" s="33">
        <v>42</v>
      </c>
      <c r="K172" s="33">
        <v>7.0000000298023224E-2</v>
      </c>
      <c r="L172" s="33">
        <v>9.0000003576278687E-2</v>
      </c>
      <c r="M172" s="33">
        <v>1.3999999761581421</v>
      </c>
      <c r="N172" s="33">
        <v>4.3899998664855957</v>
      </c>
      <c r="O172" s="33">
        <v>2.2000000476837158</v>
      </c>
      <c r="P172" s="33">
        <v>27</v>
      </c>
      <c r="Q172" s="33">
        <v>0.5</v>
      </c>
      <c r="R172" s="34" t="s">
        <v>478</v>
      </c>
      <c r="S172" s="33">
        <v>19</v>
      </c>
      <c r="T172" s="35">
        <v>0</v>
      </c>
    </row>
    <row r="173" spans="1:20">
      <c r="A173" s="31">
        <v>171</v>
      </c>
      <c r="B173" s="33" t="s">
        <v>487</v>
      </c>
      <c r="C173" s="33">
        <v>98</v>
      </c>
      <c r="D173" s="33">
        <v>29</v>
      </c>
      <c r="E173" s="33">
        <v>90.800003051757813</v>
      </c>
      <c r="F173" s="33">
        <v>2.7000000476837158</v>
      </c>
      <c r="G173" s="33">
        <v>0.20000000298023224</v>
      </c>
      <c r="H173" s="33">
        <v>1.7999999523162842</v>
      </c>
      <c r="I173" s="33">
        <v>4</v>
      </c>
      <c r="J173" s="33">
        <v>20</v>
      </c>
      <c r="K173" s="33">
        <v>7.0000000298023224E-2</v>
      </c>
      <c r="L173" s="33">
        <v>7.0000000298023224E-2</v>
      </c>
      <c r="M173" s="33">
        <v>0.80000001192092896</v>
      </c>
      <c r="N173" s="33">
        <v>0.64999997615814209</v>
      </c>
      <c r="O173" s="33">
        <v>4.5999999046325684</v>
      </c>
      <c r="P173" s="33">
        <v>42</v>
      </c>
      <c r="Q173" s="33">
        <v>1</v>
      </c>
      <c r="R173" s="34" t="s">
        <v>478</v>
      </c>
      <c r="S173" s="33">
        <v>18</v>
      </c>
      <c r="T173" s="35">
        <v>0</v>
      </c>
    </row>
    <row r="174" spans="1:20">
      <c r="A174" s="31">
        <v>172</v>
      </c>
      <c r="B174" s="33" t="s">
        <v>488</v>
      </c>
      <c r="C174" s="33">
        <v>100</v>
      </c>
      <c r="D174" s="33">
        <v>18</v>
      </c>
      <c r="E174" s="33">
        <v>94.599998474121094</v>
      </c>
      <c r="F174" s="33">
        <v>2.0999999046325684</v>
      </c>
      <c r="G174" s="33">
        <v>0.10000000149011612</v>
      </c>
      <c r="H174" s="33">
        <v>0.80000001192092896</v>
      </c>
      <c r="I174" s="33">
        <v>2.0999999046325684</v>
      </c>
      <c r="J174" s="33">
        <v>3</v>
      </c>
      <c r="K174" s="33">
        <v>5.000000074505806E-2</v>
      </c>
      <c r="L174" s="33">
        <v>5.9999998658895493E-2</v>
      </c>
      <c r="M174" s="33">
        <v>0.5</v>
      </c>
      <c r="N174" s="33">
        <v>0.18999999761581421</v>
      </c>
      <c r="O174" s="33">
        <v>4.4000000953674316</v>
      </c>
      <c r="P174" s="33">
        <v>9</v>
      </c>
      <c r="Q174" s="33">
        <v>0.60000002384185791</v>
      </c>
      <c r="R174" s="34" t="s">
        <v>478</v>
      </c>
      <c r="S174" s="33">
        <v>6</v>
      </c>
      <c r="T174" s="35">
        <v>0</v>
      </c>
    </row>
    <row r="175" spans="1:20">
      <c r="A175" s="31">
        <v>173</v>
      </c>
      <c r="B175" s="33" t="s">
        <v>489</v>
      </c>
      <c r="C175" s="33">
        <v>82</v>
      </c>
      <c r="D175" s="33">
        <v>34</v>
      </c>
      <c r="E175" s="33">
        <v>90.300003051757813</v>
      </c>
      <c r="F175" s="33">
        <v>2</v>
      </c>
      <c r="G175" s="33">
        <v>0.40000000596046448</v>
      </c>
      <c r="H175" s="33">
        <v>1.2999999523162842</v>
      </c>
      <c r="I175" s="33">
        <v>5.5</v>
      </c>
      <c r="J175" s="33">
        <v>13</v>
      </c>
      <c r="K175" s="33">
        <v>3.9999999105930328E-2</v>
      </c>
      <c r="L175" s="33">
        <v>1.9999999552965164E-2</v>
      </c>
      <c r="M175" s="33">
        <v>0.30000001192092896</v>
      </c>
      <c r="N175" s="33">
        <v>0.89999997615814209</v>
      </c>
      <c r="O175" s="33">
        <v>0.89999997615814209</v>
      </c>
      <c r="P175" s="33">
        <v>37</v>
      </c>
      <c r="Q175" s="33">
        <v>1.2999999523162842</v>
      </c>
      <c r="R175" s="34" t="s">
        <v>478</v>
      </c>
      <c r="S175" s="33">
        <v>13</v>
      </c>
      <c r="T175" s="35">
        <v>0</v>
      </c>
    </row>
    <row r="176" spans="1:20">
      <c r="A176" s="31">
        <v>174</v>
      </c>
      <c r="B176" s="33" t="s">
        <v>490</v>
      </c>
      <c r="C176" s="33">
        <v>98</v>
      </c>
      <c r="D176" s="33">
        <v>32</v>
      </c>
      <c r="E176" s="33">
        <v>90</v>
      </c>
      <c r="F176" s="33">
        <v>3.7000000476837158</v>
      </c>
      <c r="G176" s="33">
        <v>0.5</v>
      </c>
      <c r="H176" s="33">
        <v>1.8999999761581421</v>
      </c>
      <c r="I176" s="33">
        <v>3.0999999046325684</v>
      </c>
      <c r="J176" s="33">
        <v>87</v>
      </c>
      <c r="K176" s="33">
        <v>3.9999999105930328E-2</v>
      </c>
      <c r="L176" s="33">
        <v>5.9999998658895493E-2</v>
      </c>
      <c r="M176" s="33">
        <v>1</v>
      </c>
      <c r="N176" s="33">
        <v>0.76999998092651367</v>
      </c>
      <c r="O176" s="33">
        <v>4.0999999046325684</v>
      </c>
      <c r="P176" s="33">
        <v>147</v>
      </c>
      <c r="Q176" s="33">
        <v>1.2999999523162842</v>
      </c>
      <c r="R176" s="34" t="s">
        <v>478</v>
      </c>
      <c r="S176" s="33">
        <v>11</v>
      </c>
      <c r="T176" s="35">
        <v>0</v>
      </c>
    </row>
    <row r="177" spans="1:20">
      <c r="A177" s="31">
        <v>175</v>
      </c>
      <c r="B177" s="33" t="s">
        <v>491</v>
      </c>
      <c r="C177" s="33">
        <v>93</v>
      </c>
      <c r="D177" s="33">
        <v>17</v>
      </c>
      <c r="E177" s="33">
        <v>94.400001525878906</v>
      </c>
      <c r="F177" s="33">
        <v>2.5999999046325684</v>
      </c>
      <c r="G177" s="33">
        <v>0.20000000298023224</v>
      </c>
      <c r="H177" s="33">
        <v>1.2999999523162842</v>
      </c>
      <c r="I177" s="33">
        <v>1.1000000238418579</v>
      </c>
      <c r="J177" s="33">
        <v>87</v>
      </c>
      <c r="K177" s="33">
        <v>9.9999997764825821E-3</v>
      </c>
      <c r="L177" s="33">
        <v>0.54000002145767212</v>
      </c>
      <c r="M177" s="33">
        <v>0.80000001192092896</v>
      </c>
      <c r="N177" s="33">
        <v>0</v>
      </c>
      <c r="O177" s="33">
        <v>1.7999999523162842</v>
      </c>
      <c r="P177" s="33">
        <v>30</v>
      </c>
      <c r="Q177" s="33">
        <v>0.80000001192092896</v>
      </c>
      <c r="R177" s="34" t="s">
        <v>478</v>
      </c>
      <c r="S177" s="33">
        <v>12</v>
      </c>
      <c r="T177" s="35">
        <v>0</v>
      </c>
    </row>
    <row r="178" spans="1:20">
      <c r="A178" s="31">
        <v>176</v>
      </c>
      <c r="B178" s="33" t="s">
        <v>492</v>
      </c>
      <c r="C178" s="33">
        <v>53</v>
      </c>
      <c r="D178" s="33">
        <v>123</v>
      </c>
      <c r="E178" s="33">
        <v>69.599998474121094</v>
      </c>
      <c r="F178" s="33">
        <v>13.100000381469727</v>
      </c>
      <c r="G178" s="33">
        <v>5</v>
      </c>
      <c r="H178" s="33">
        <v>4</v>
      </c>
      <c r="I178" s="33">
        <v>6.5</v>
      </c>
      <c r="J178" s="33">
        <v>22</v>
      </c>
      <c r="K178" s="33">
        <v>0.15000000596046448</v>
      </c>
      <c r="L178" s="33">
        <v>7.0000000298023224E-2</v>
      </c>
      <c r="M178" s="33">
        <v>1.3999999761581421</v>
      </c>
      <c r="N178" s="33">
        <v>2.440000057220459</v>
      </c>
      <c r="O178" s="33">
        <v>3.9000000953674316</v>
      </c>
      <c r="P178" s="33">
        <v>135</v>
      </c>
      <c r="Q178" s="33">
        <v>3.5</v>
      </c>
      <c r="R178" s="34" t="s">
        <v>478</v>
      </c>
      <c r="S178" s="33">
        <v>27</v>
      </c>
      <c r="T178" s="35">
        <v>0</v>
      </c>
    </row>
    <row r="179" spans="1:20">
      <c r="A179" s="31">
        <v>177</v>
      </c>
      <c r="B179" s="33" t="s">
        <v>493</v>
      </c>
      <c r="C179" s="33">
        <v>96</v>
      </c>
      <c r="D179" s="33">
        <v>28</v>
      </c>
      <c r="E179" s="33">
        <v>91.300003051757813</v>
      </c>
      <c r="F179" s="33">
        <v>2</v>
      </c>
      <c r="G179" s="33">
        <v>0.40000000596046448</v>
      </c>
      <c r="H179" s="33">
        <v>1.5</v>
      </c>
      <c r="I179" s="33">
        <v>4.1999998092651367</v>
      </c>
      <c r="J179" s="33">
        <v>35</v>
      </c>
      <c r="K179" s="33">
        <v>3.9999999105930328E-2</v>
      </c>
      <c r="L179" s="33">
        <v>7.0000000298023224E-2</v>
      </c>
      <c r="M179" s="33">
        <v>0.40000000596046448</v>
      </c>
      <c r="N179" s="33">
        <v>1.2400000095367432</v>
      </c>
      <c r="O179" s="33">
        <v>8.6000003814697266</v>
      </c>
      <c r="P179" s="33">
        <v>42</v>
      </c>
      <c r="Q179" s="33">
        <v>1.5</v>
      </c>
      <c r="R179" s="34" t="s">
        <v>478</v>
      </c>
      <c r="S179" s="33">
        <v>6</v>
      </c>
      <c r="T179" s="35">
        <v>0</v>
      </c>
    </row>
    <row r="180" spans="1:20">
      <c r="A180" s="31">
        <v>178</v>
      </c>
      <c r="B180" s="33" t="s">
        <v>494</v>
      </c>
      <c r="C180" s="33">
        <v>42</v>
      </c>
      <c r="D180" s="33">
        <v>105</v>
      </c>
      <c r="E180" s="33">
        <v>70.199996948242188</v>
      </c>
      <c r="F180" s="33">
        <v>7.4000000953674316</v>
      </c>
      <c r="G180" s="33">
        <v>0.30000001192092896</v>
      </c>
      <c r="H180" s="33">
        <v>3</v>
      </c>
      <c r="I180" s="33">
        <v>18.200000762939453</v>
      </c>
      <c r="J180" s="33">
        <v>37</v>
      </c>
      <c r="K180" s="33">
        <v>0.43000000715255737</v>
      </c>
      <c r="L180" s="33">
        <v>9.0000003576278687E-2</v>
      </c>
      <c r="M180" s="33">
        <v>2.2999999523162842</v>
      </c>
      <c r="N180" s="33">
        <v>1.2100000381469727</v>
      </c>
      <c r="O180" s="33">
        <v>1.2000000476837158</v>
      </c>
      <c r="P180" s="33">
        <v>21</v>
      </c>
      <c r="Q180" s="33">
        <v>1.7000000476837158</v>
      </c>
      <c r="R180" s="34" t="s">
        <v>478</v>
      </c>
      <c r="S180" s="33">
        <v>14</v>
      </c>
      <c r="T180" s="35">
        <v>0</v>
      </c>
    </row>
    <row r="181" spans="1:20">
      <c r="A181" s="31">
        <v>179</v>
      </c>
      <c r="B181" s="33" t="s">
        <v>495</v>
      </c>
      <c r="C181" s="33">
        <v>98</v>
      </c>
      <c r="D181" s="33">
        <v>29</v>
      </c>
      <c r="E181" s="33">
        <v>92.699996948242188</v>
      </c>
      <c r="F181" s="33">
        <v>3.0999999046325684</v>
      </c>
      <c r="G181" s="33">
        <v>0.60000002384185791</v>
      </c>
      <c r="H181" s="33">
        <v>0</v>
      </c>
      <c r="I181" s="33">
        <v>2.7999999523162842</v>
      </c>
      <c r="J181" s="33">
        <v>0</v>
      </c>
      <c r="K181" s="33">
        <v>0</v>
      </c>
      <c r="L181" s="33">
        <v>0</v>
      </c>
      <c r="M181" s="33">
        <v>0</v>
      </c>
      <c r="N181" s="33">
        <v>0</v>
      </c>
      <c r="O181" s="33">
        <v>26.299999237060547</v>
      </c>
      <c r="P181" s="33">
        <v>59</v>
      </c>
      <c r="Q181" s="33">
        <v>1.7999999523162842</v>
      </c>
      <c r="R181" s="34" t="s">
        <v>478</v>
      </c>
      <c r="S181" s="33">
        <v>0</v>
      </c>
      <c r="T181" s="35">
        <v>0</v>
      </c>
    </row>
    <row r="182" spans="1:20">
      <c r="A182" s="31">
        <v>180</v>
      </c>
      <c r="B182" s="33" t="s">
        <v>496</v>
      </c>
      <c r="C182" s="33">
        <v>99</v>
      </c>
      <c r="D182" s="33">
        <v>22</v>
      </c>
      <c r="E182" s="33">
        <v>92.199996948242188</v>
      </c>
      <c r="F182" s="33">
        <v>2.4000000953674316</v>
      </c>
      <c r="G182" s="33">
        <v>0.30000001192092896</v>
      </c>
      <c r="H182" s="33">
        <v>1.6000000238418579</v>
      </c>
      <c r="I182" s="33">
        <v>2.2999999523162842</v>
      </c>
      <c r="J182" s="33">
        <v>27</v>
      </c>
      <c r="K182" s="33">
        <v>7.0000000298023224E-2</v>
      </c>
      <c r="L182" s="33">
        <v>7.9999998211860657E-2</v>
      </c>
      <c r="M182" s="33">
        <v>1.3999999761581421</v>
      </c>
      <c r="N182" s="33">
        <v>2.3900001049041748</v>
      </c>
      <c r="O182" s="33">
        <v>3.2999999523162842</v>
      </c>
      <c r="P182" s="33">
        <v>69</v>
      </c>
      <c r="Q182" s="33">
        <v>1.8999999761581421</v>
      </c>
      <c r="R182" s="34" t="s">
        <v>478</v>
      </c>
      <c r="S182" s="33">
        <v>11</v>
      </c>
      <c r="T182" s="35">
        <v>0</v>
      </c>
    </row>
    <row r="183" spans="1:20">
      <c r="A183" s="31">
        <v>181</v>
      </c>
      <c r="B183" s="33" t="s">
        <v>497</v>
      </c>
      <c r="C183" s="33">
        <v>96</v>
      </c>
      <c r="D183" s="33">
        <v>25</v>
      </c>
      <c r="E183" s="33">
        <v>91.099998474121094</v>
      </c>
      <c r="F183" s="33">
        <v>0.80000001192092896</v>
      </c>
      <c r="G183" s="33">
        <v>0.10000000149011612</v>
      </c>
      <c r="H183" s="33">
        <v>2.0999999046325684</v>
      </c>
      <c r="I183" s="33">
        <v>5.3000001907348633</v>
      </c>
      <c r="J183" s="33">
        <v>40</v>
      </c>
      <c r="K183" s="33">
        <v>0.33000001311302185</v>
      </c>
      <c r="L183" s="33">
        <v>5.9999998658895493E-2</v>
      </c>
      <c r="M183" s="33">
        <v>0.80000001192092896</v>
      </c>
      <c r="N183" s="33">
        <v>7.0000000298023224E-2</v>
      </c>
      <c r="O183" s="33">
        <v>4</v>
      </c>
      <c r="P183" s="33">
        <v>88</v>
      </c>
      <c r="Q183" s="33">
        <v>1</v>
      </c>
      <c r="R183" s="34" t="s">
        <v>478</v>
      </c>
      <c r="S183" s="33">
        <v>9</v>
      </c>
      <c r="T183" s="35">
        <v>0</v>
      </c>
    </row>
    <row r="184" spans="1:20">
      <c r="A184" s="31">
        <v>182</v>
      </c>
      <c r="B184" s="33" t="s">
        <v>498</v>
      </c>
      <c r="C184" s="33">
        <v>82</v>
      </c>
      <c r="D184" s="33">
        <v>162</v>
      </c>
      <c r="E184" s="33">
        <v>56.700000762939453</v>
      </c>
      <c r="F184" s="33">
        <v>3.2000000476837158</v>
      </c>
      <c r="G184" s="33">
        <v>0.10000000149011612</v>
      </c>
      <c r="H184" s="33">
        <v>1.7000000476837158</v>
      </c>
      <c r="I184" s="33">
        <v>37.099998474121094</v>
      </c>
      <c r="J184" s="33">
        <v>0</v>
      </c>
      <c r="K184" s="33">
        <v>1.9999999552965164E-2</v>
      </c>
      <c r="L184" s="33">
        <v>3.9999999105930328E-2</v>
      </c>
      <c r="M184" s="33">
        <v>0.69999998807907104</v>
      </c>
      <c r="N184" s="33">
        <v>0</v>
      </c>
      <c r="O184" s="33">
        <v>6.6999998092651367</v>
      </c>
      <c r="P184" s="33">
        <v>11</v>
      </c>
      <c r="Q184" s="33">
        <v>1</v>
      </c>
      <c r="R184" s="34" t="s">
        <v>499</v>
      </c>
      <c r="S184" s="33">
        <v>18</v>
      </c>
      <c r="T184" s="35">
        <v>0</v>
      </c>
    </row>
    <row r="185" spans="1:20">
      <c r="A185" s="31">
        <v>183</v>
      </c>
      <c r="B185" s="33" t="s">
        <v>500</v>
      </c>
      <c r="C185" s="33">
        <v>100</v>
      </c>
      <c r="D185" s="33">
        <v>342</v>
      </c>
      <c r="E185" s="33">
        <v>10.300000190734863</v>
      </c>
      <c r="F185" s="33">
        <v>6.6999998092651367</v>
      </c>
      <c r="G185" s="33">
        <v>0.5</v>
      </c>
      <c r="H185" s="33">
        <v>1.7000000476837158</v>
      </c>
      <c r="I185" s="33">
        <v>77.800003051757813</v>
      </c>
      <c r="J185" s="33">
        <v>0</v>
      </c>
      <c r="K185" s="33">
        <v>5.000000074505806E-2</v>
      </c>
      <c r="L185" s="33">
        <v>9.0000003576278687E-2</v>
      </c>
      <c r="M185" s="33">
        <v>0.89999997615814209</v>
      </c>
      <c r="N185" s="33">
        <v>0</v>
      </c>
      <c r="O185" s="33">
        <v>37.299999237060547</v>
      </c>
      <c r="P185" s="33">
        <v>32</v>
      </c>
      <c r="Q185" s="33">
        <v>5.9000000953674316</v>
      </c>
      <c r="R185" s="34" t="s">
        <v>499</v>
      </c>
      <c r="S185" s="33">
        <v>0</v>
      </c>
      <c r="T185" s="35">
        <v>0</v>
      </c>
    </row>
    <row r="186" spans="1:20">
      <c r="A186" s="31">
        <v>184</v>
      </c>
      <c r="B186" s="33" t="s">
        <v>501</v>
      </c>
      <c r="C186" s="33">
        <v>100</v>
      </c>
      <c r="D186" s="33">
        <v>343</v>
      </c>
      <c r="E186" s="33">
        <v>9.8999996185302734</v>
      </c>
      <c r="F186" s="33">
        <v>8.1000003814697266</v>
      </c>
      <c r="G186" s="33">
        <v>0.10000000149011612</v>
      </c>
      <c r="H186" s="33">
        <v>1.7000000476837158</v>
      </c>
      <c r="I186" s="33">
        <v>77.400001525878906</v>
      </c>
      <c r="J186" s="33">
        <v>0</v>
      </c>
      <c r="K186" s="33">
        <v>0</v>
      </c>
      <c r="L186" s="33">
        <v>1.9999999552965164E-2</v>
      </c>
      <c r="M186" s="33">
        <v>1.1000000238418579</v>
      </c>
      <c r="N186" s="33">
        <v>0</v>
      </c>
      <c r="O186" s="33">
        <v>69.800003051757813</v>
      </c>
      <c r="P186" s="33">
        <v>29</v>
      </c>
      <c r="Q186" s="33">
        <v>5</v>
      </c>
      <c r="R186" s="34" t="s">
        <v>499</v>
      </c>
      <c r="S186" s="33">
        <v>7</v>
      </c>
      <c r="T186" s="35">
        <v>0</v>
      </c>
    </row>
    <row r="187" spans="1:20">
      <c r="A187" s="31">
        <v>185</v>
      </c>
      <c r="B187" s="33" t="s">
        <v>502</v>
      </c>
      <c r="C187" s="33">
        <v>78</v>
      </c>
      <c r="D187" s="33">
        <v>59</v>
      </c>
      <c r="E187" s="33">
        <v>83.599998474121094</v>
      </c>
      <c r="F187" s="33">
        <v>1.2000000476837158</v>
      </c>
      <c r="G187" s="33">
        <v>0.20000000298023224</v>
      </c>
      <c r="H187" s="33">
        <v>1.1000000238418579</v>
      </c>
      <c r="I187" s="33">
        <v>13.100000381469727</v>
      </c>
      <c r="J187" s="33">
        <v>3</v>
      </c>
      <c r="K187" s="33">
        <v>1.9999999552965164E-2</v>
      </c>
      <c r="L187" s="33">
        <v>1.9999999552965164E-2</v>
      </c>
      <c r="M187" s="33">
        <v>0.69999998807907104</v>
      </c>
      <c r="N187" s="33">
        <v>0.64999997615814209</v>
      </c>
      <c r="O187" s="33">
        <v>15.699999809265137</v>
      </c>
      <c r="P187" s="33">
        <v>4</v>
      </c>
      <c r="Q187" s="33">
        <v>0.60000002384185791</v>
      </c>
      <c r="R187" s="34" t="s">
        <v>499</v>
      </c>
      <c r="S187" s="33">
        <v>7</v>
      </c>
      <c r="T187" s="35">
        <v>0</v>
      </c>
    </row>
    <row r="188" spans="1:20">
      <c r="A188" s="31">
        <v>186</v>
      </c>
      <c r="B188" s="33" t="s">
        <v>503</v>
      </c>
      <c r="C188" s="33">
        <v>89</v>
      </c>
      <c r="D188" s="33">
        <v>94</v>
      </c>
      <c r="E188" s="33">
        <v>73.599998474121094</v>
      </c>
      <c r="F188" s="33">
        <v>4.5999999046325684</v>
      </c>
      <c r="G188" s="33">
        <v>0.20000000298023224</v>
      </c>
      <c r="H188" s="33">
        <v>1.3999999761581421</v>
      </c>
      <c r="I188" s="33">
        <v>18.5</v>
      </c>
      <c r="J188" s="33">
        <v>0</v>
      </c>
      <c r="K188" s="33">
        <v>0.14000000059604645</v>
      </c>
      <c r="L188" s="33">
        <v>7.0000000298023224E-2</v>
      </c>
      <c r="M188" s="33">
        <v>1.6000000238418579</v>
      </c>
      <c r="N188" s="33">
        <v>2.1600000858306885</v>
      </c>
      <c r="O188" s="33">
        <v>39.099998474121094</v>
      </c>
      <c r="P188" s="33">
        <v>14</v>
      </c>
      <c r="Q188" s="33">
        <v>2.2000000476837158</v>
      </c>
      <c r="R188" s="34" t="s">
        <v>499</v>
      </c>
      <c r="S188" s="33">
        <v>4</v>
      </c>
      <c r="T188" s="35">
        <v>0</v>
      </c>
    </row>
    <row r="189" spans="1:20">
      <c r="A189" s="31">
        <v>187</v>
      </c>
      <c r="B189" s="33" t="s">
        <v>504</v>
      </c>
      <c r="C189" s="33">
        <v>90</v>
      </c>
      <c r="D189" s="33">
        <v>99</v>
      </c>
      <c r="E189" s="33">
        <v>73.400001525878906</v>
      </c>
      <c r="F189" s="33">
        <v>1.1000000238418579</v>
      </c>
      <c r="G189" s="33">
        <v>0.20000000298023224</v>
      </c>
      <c r="H189" s="33">
        <v>1.6000000238418579</v>
      </c>
      <c r="I189" s="33">
        <v>23.100000381469727</v>
      </c>
      <c r="J189" s="33">
        <v>125</v>
      </c>
      <c r="K189" s="33">
        <v>3.9999999105930328E-2</v>
      </c>
      <c r="L189" s="33">
        <v>3.9999999105930328E-2</v>
      </c>
      <c r="M189" s="33">
        <v>0.60000002384185791</v>
      </c>
      <c r="N189" s="33">
        <v>0.2800000011920929</v>
      </c>
      <c r="O189" s="33">
        <v>28.5</v>
      </c>
      <c r="P189" s="33">
        <v>23</v>
      </c>
      <c r="Q189" s="33">
        <v>0.5</v>
      </c>
      <c r="R189" s="34" t="s">
        <v>499</v>
      </c>
      <c r="S189" s="33">
        <v>26</v>
      </c>
      <c r="T189" s="35">
        <v>0</v>
      </c>
    </row>
    <row r="190" spans="1:20">
      <c r="A190" s="31">
        <v>188</v>
      </c>
      <c r="B190" s="33" t="s">
        <v>505</v>
      </c>
      <c r="C190" s="33">
        <v>86</v>
      </c>
      <c r="D190" s="33">
        <v>104</v>
      </c>
      <c r="E190" s="33">
        <v>72.599998474121094</v>
      </c>
      <c r="F190" s="33">
        <v>1.3999999761581421</v>
      </c>
      <c r="G190" s="33">
        <v>0.20000000298023224</v>
      </c>
      <c r="H190" s="33">
        <v>1</v>
      </c>
      <c r="I190" s="33">
        <v>24.200000762939453</v>
      </c>
      <c r="J190" s="33">
        <v>37</v>
      </c>
      <c r="K190" s="33">
        <v>7.0000000298023224E-2</v>
      </c>
      <c r="L190" s="33">
        <v>3.9999999105930328E-2</v>
      </c>
      <c r="M190" s="33">
        <v>0.60000002384185791</v>
      </c>
      <c r="N190" s="33">
        <v>0.43000000715255737</v>
      </c>
      <c r="O190" s="33">
        <v>58.200000762939453</v>
      </c>
      <c r="P190" s="33">
        <v>24</v>
      </c>
      <c r="Q190" s="33">
        <v>0.80000001192092896</v>
      </c>
      <c r="R190" s="34" t="s">
        <v>499</v>
      </c>
      <c r="S190" s="33">
        <v>24</v>
      </c>
      <c r="T190" s="35">
        <v>0</v>
      </c>
    </row>
    <row r="191" spans="1:20">
      <c r="A191" s="31">
        <v>189</v>
      </c>
      <c r="B191" s="33" t="s">
        <v>506</v>
      </c>
      <c r="C191" s="33">
        <v>100</v>
      </c>
      <c r="D191" s="33">
        <v>336</v>
      </c>
      <c r="E191" s="33">
        <v>14.5</v>
      </c>
      <c r="F191" s="33">
        <v>2.7000000476837158</v>
      </c>
      <c r="G191" s="33">
        <v>0.20000000298023224</v>
      </c>
      <c r="H191" s="33">
        <v>0.10000000149011612</v>
      </c>
      <c r="I191" s="33">
        <v>80.800003051757813</v>
      </c>
      <c r="J191" s="33">
        <v>3</v>
      </c>
      <c r="K191" s="33">
        <v>2.9999999329447746E-2</v>
      </c>
      <c r="L191" s="33">
        <v>5.000000074505806E-2</v>
      </c>
      <c r="M191" s="33">
        <v>0.20000000298023224</v>
      </c>
      <c r="N191" s="33">
        <v>26.399999618530273</v>
      </c>
      <c r="O191" s="33">
        <v>26.399999618530273</v>
      </c>
      <c r="P191" s="33">
        <v>33</v>
      </c>
      <c r="Q191" s="33">
        <v>10</v>
      </c>
      <c r="R191" s="34" t="s">
        <v>499</v>
      </c>
      <c r="S191" s="33">
        <v>0</v>
      </c>
      <c r="T191" s="35">
        <v>0</v>
      </c>
    </row>
    <row r="192" spans="1:20">
      <c r="A192" s="31">
        <v>190</v>
      </c>
      <c r="B192" s="33" t="s">
        <v>507</v>
      </c>
      <c r="C192" s="33">
        <v>100</v>
      </c>
      <c r="D192" s="33">
        <v>340</v>
      </c>
      <c r="E192" s="33">
        <v>12.100000381469727</v>
      </c>
      <c r="F192" s="33">
        <v>4.6999998092651367</v>
      </c>
      <c r="G192" s="33">
        <v>0.80000001192092896</v>
      </c>
      <c r="H192" s="33">
        <v>2</v>
      </c>
      <c r="I192" s="33">
        <v>78.5</v>
      </c>
      <c r="J192" s="33">
        <v>25</v>
      </c>
      <c r="K192" s="33">
        <v>0.15000000596046448</v>
      </c>
      <c r="L192" s="33">
        <v>0.10999999940395355</v>
      </c>
      <c r="M192" s="33">
        <v>1.1000000238418579</v>
      </c>
      <c r="N192" s="33">
        <v>0.37999999523162842</v>
      </c>
      <c r="O192" s="33">
        <v>26.399999618530273</v>
      </c>
      <c r="P192" s="33">
        <v>112</v>
      </c>
      <c r="Q192" s="33">
        <v>3.7000000476837158</v>
      </c>
      <c r="R192" s="34" t="s">
        <v>499</v>
      </c>
      <c r="S192" s="33">
        <v>9</v>
      </c>
      <c r="T192" s="35">
        <v>0</v>
      </c>
    </row>
    <row r="193" spans="1:20">
      <c r="A193" s="31">
        <v>191</v>
      </c>
      <c r="B193" s="33" t="s">
        <v>508</v>
      </c>
      <c r="C193" s="33">
        <v>96</v>
      </c>
      <c r="D193" s="33">
        <v>37</v>
      </c>
      <c r="E193" s="33">
        <v>89.199996948242188</v>
      </c>
      <c r="F193" s="33">
        <v>1</v>
      </c>
      <c r="G193" s="33">
        <v>0.20000000298023224</v>
      </c>
      <c r="H193" s="33">
        <v>1.1000000238418579</v>
      </c>
      <c r="I193" s="33">
        <v>7.6999998092651367</v>
      </c>
      <c r="J193" s="33">
        <v>688</v>
      </c>
      <c r="K193" s="33">
        <v>3.9999999105930328E-2</v>
      </c>
      <c r="L193" s="33">
        <v>2.9999999329447746E-2</v>
      </c>
      <c r="M193" s="33">
        <v>0.60000002384185791</v>
      </c>
      <c r="N193" s="33">
        <v>0.40999999642372131</v>
      </c>
      <c r="O193" s="33">
        <v>71.400001525878906</v>
      </c>
      <c r="P193" s="33">
        <v>32</v>
      </c>
      <c r="Q193" s="33">
        <v>1</v>
      </c>
      <c r="R193" s="34" t="s">
        <v>499</v>
      </c>
      <c r="S193" s="33">
        <v>13</v>
      </c>
      <c r="T193" s="35">
        <v>0</v>
      </c>
    </row>
    <row r="194" spans="1:20">
      <c r="A194" s="31">
        <v>192</v>
      </c>
      <c r="B194" s="33" t="s">
        <v>509</v>
      </c>
      <c r="C194" s="33">
        <v>97</v>
      </c>
      <c r="D194" s="33">
        <v>43</v>
      </c>
      <c r="E194" s="33">
        <v>87.400001525878906</v>
      </c>
      <c r="F194" s="33">
        <v>1.3999999761581421</v>
      </c>
      <c r="G194" s="33">
        <v>0.20000000298023224</v>
      </c>
      <c r="H194" s="33">
        <v>1.2999999523162842</v>
      </c>
      <c r="I194" s="33">
        <v>8.8999996185302734</v>
      </c>
      <c r="J194" s="33">
        <v>668</v>
      </c>
      <c r="K194" s="33">
        <v>3.9999999105930328E-2</v>
      </c>
      <c r="L194" s="33">
        <v>3.9999999105930328E-2</v>
      </c>
      <c r="M194" s="33">
        <v>0.20000000298023224</v>
      </c>
      <c r="N194" s="33">
        <v>0</v>
      </c>
      <c r="O194" s="33">
        <v>25.100000381469727</v>
      </c>
      <c r="P194" s="33">
        <v>32</v>
      </c>
      <c r="Q194" s="33">
        <v>0.5</v>
      </c>
      <c r="R194" s="34" t="s">
        <v>499</v>
      </c>
      <c r="S194" s="33">
        <v>16</v>
      </c>
      <c r="T194" s="35">
        <v>0</v>
      </c>
    </row>
    <row r="195" spans="1:20">
      <c r="A195" s="31">
        <v>193</v>
      </c>
      <c r="B195" s="33" t="s">
        <v>510</v>
      </c>
      <c r="C195" s="33">
        <v>100</v>
      </c>
      <c r="D195" s="33">
        <v>320</v>
      </c>
      <c r="E195" s="33">
        <v>10.899999618530273</v>
      </c>
      <c r="F195" s="33">
        <v>4.1999998092651367</v>
      </c>
      <c r="G195" s="33">
        <v>1.8999999761581421</v>
      </c>
      <c r="H195" s="33">
        <v>6.4000000953674316</v>
      </c>
      <c r="I195" s="33">
        <v>71.5</v>
      </c>
      <c r="J195" s="33">
        <v>2875</v>
      </c>
      <c r="K195" s="33">
        <v>0.11999999731779099</v>
      </c>
      <c r="L195" s="33">
        <v>0.15000000596046448</v>
      </c>
      <c r="M195" s="33">
        <v>2.5999999046325684</v>
      </c>
      <c r="N195" s="33">
        <v>0</v>
      </c>
      <c r="O195" s="33">
        <v>300.70001220703125</v>
      </c>
      <c r="P195" s="33">
        <v>458</v>
      </c>
      <c r="Q195" s="33">
        <v>8.5</v>
      </c>
      <c r="R195" s="34" t="s">
        <v>499</v>
      </c>
      <c r="S195" s="33">
        <v>32</v>
      </c>
      <c r="T195" s="35">
        <v>0</v>
      </c>
    </row>
    <row r="196" spans="1:20">
      <c r="A196" s="31">
        <v>194</v>
      </c>
      <c r="B196" s="33" t="s">
        <v>511</v>
      </c>
      <c r="C196" s="33">
        <v>77</v>
      </c>
      <c r="D196" s="33">
        <v>25</v>
      </c>
      <c r="E196" s="33">
        <v>91.099998474121094</v>
      </c>
      <c r="F196" s="33">
        <v>1.7000000476837158</v>
      </c>
      <c r="G196" s="33">
        <v>0.20000000298023224</v>
      </c>
      <c r="H196" s="33">
        <v>2</v>
      </c>
      <c r="I196" s="33">
        <v>4.1999998092651367</v>
      </c>
      <c r="J196" s="33">
        <v>0</v>
      </c>
      <c r="K196" s="33">
        <v>5.000000074505806E-2</v>
      </c>
      <c r="L196" s="33">
        <v>3.9999999105930328E-2</v>
      </c>
      <c r="M196" s="33">
        <v>0.80000001192092896</v>
      </c>
      <c r="N196" s="33">
        <v>0.41999998688697815</v>
      </c>
      <c r="O196" s="33">
        <v>39.799999237060547</v>
      </c>
      <c r="P196" s="33">
        <v>2</v>
      </c>
      <c r="Q196" s="33">
        <v>0.5</v>
      </c>
      <c r="R196" s="34" t="s">
        <v>499</v>
      </c>
      <c r="S196" s="33">
        <v>12</v>
      </c>
      <c r="T196" s="35">
        <v>0</v>
      </c>
    </row>
    <row r="197" spans="1:20">
      <c r="A197" s="31">
        <v>195</v>
      </c>
      <c r="B197" s="33" t="s">
        <v>512</v>
      </c>
      <c r="C197" s="33">
        <v>95</v>
      </c>
      <c r="D197" s="33">
        <v>41</v>
      </c>
      <c r="E197" s="33">
        <v>87</v>
      </c>
      <c r="F197" s="33">
        <v>1.2999999523162842</v>
      </c>
      <c r="G197" s="33">
        <v>0.60000002384185791</v>
      </c>
      <c r="H197" s="33">
        <v>2.7000000476837158</v>
      </c>
      <c r="I197" s="33">
        <v>7.5999999046325684</v>
      </c>
      <c r="J197" s="33">
        <v>28</v>
      </c>
      <c r="K197" s="33">
        <v>1.9999999552965164E-2</v>
      </c>
      <c r="L197" s="33">
        <v>2.9999999329447746E-2</v>
      </c>
      <c r="M197" s="33">
        <v>0.80000001192092896</v>
      </c>
      <c r="N197" s="33">
        <v>0</v>
      </c>
      <c r="O197" s="33">
        <v>14.899999618530273</v>
      </c>
      <c r="P197" s="33">
        <v>27</v>
      </c>
      <c r="Q197" s="33">
        <v>1.3999999761581421</v>
      </c>
      <c r="R197" s="34" t="s">
        <v>499</v>
      </c>
      <c r="S197" s="33">
        <v>4</v>
      </c>
      <c r="T197" s="35">
        <v>0</v>
      </c>
    </row>
    <row r="198" spans="1:20">
      <c r="A198" s="31">
        <v>196</v>
      </c>
      <c r="B198" s="33" t="s">
        <v>513</v>
      </c>
      <c r="C198" s="33">
        <v>95</v>
      </c>
      <c r="D198" s="33">
        <v>273</v>
      </c>
      <c r="E198" s="33">
        <v>14.899999618530273</v>
      </c>
      <c r="F198" s="33">
        <v>9.1000003814697266</v>
      </c>
      <c r="G198" s="33">
        <v>5.6999998092651367</v>
      </c>
      <c r="H198" s="33">
        <v>17.700000762939453</v>
      </c>
      <c r="I198" s="33">
        <v>46.299999237060547</v>
      </c>
      <c r="J198" s="33">
        <v>0</v>
      </c>
      <c r="K198" s="33">
        <v>0</v>
      </c>
      <c r="L198" s="33">
        <v>0.10000000149011612</v>
      </c>
      <c r="M198" s="33">
        <v>0</v>
      </c>
      <c r="N198" s="33">
        <v>9.9999997764825821E-3</v>
      </c>
      <c r="O198" s="33">
        <v>9.8999996185302734</v>
      </c>
      <c r="P198" s="33">
        <v>62</v>
      </c>
      <c r="Q198" s="33">
        <v>0</v>
      </c>
      <c r="R198" s="34" t="s">
        <v>499</v>
      </c>
      <c r="S198" s="33">
        <v>0</v>
      </c>
      <c r="T198" s="35">
        <v>0</v>
      </c>
    </row>
    <row r="199" spans="1:20">
      <c r="A199" s="31">
        <v>197</v>
      </c>
      <c r="B199" s="33" t="s">
        <v>514</v>
      </c>
      <c r="C199" s="33">
        <v>82</v>
      </c>
      <c r="D199" s="33">
        <v>19</v>
      </c>
      <c r="E199" s="33">
        <v>94.5</v>
      </c>
      <c r="F199" s="33">
        <v>0.69999998807907104</v>
      </c>
      <c r="G199" s="33">
        <v>0.60000002384185791</v>
      </c>
      <c r="H199" s="33">
        <v>0.89999997615814209</v>
      </c>
      <c r="I199" s="33">
        <v>2.7999999523162842</v>
      </c>
      <c r="J199" s="33">
        <v>0</v>
      </c>
      <c r="K199" s="33">
        <v>0</v>
      </c>
      <c r="L199" s="33">
        <v>9.9999997764825821E-3</v>
      </c>
      <c r="M199" s="33">
        <v>0.30000001192092896</v>
      </c>
      <c r="N199" s="33">
        <v>0</v>
      </c>
      <c r="O199" s="33">
        <v>1.8999999761581421</v>
      </c>
      <c r="P199" s="33">
        <v>9</v>
      </c>
      <c r="Q199" s="33">
        <v>0.80000001192092896</v>
      </c>
      <c r="R199" s="34" t="s">
        <v>499</v>
      </c>
      <c r="S199" s="33">
        <v>2</v>
      </c>
      <c r="T199" s="35">
        <v>0</v>
      </c>
    </row>
    <row r="200" spans="1:20">
      <c r="A200" s="31">
        <v>198</v>
      </c>
      <c r="B200" s="33" t="s">
        <v>515</v>
      </c>
      <c r="C200" s="33">
        <v>83</v>
      </c>
      <c r="D200" s="33">
        <v>33</v>
      </c>
      <c r="E200" s="33">
        <v>89.599998474121094</v>
      </c>
      <c r="F200" s="33">
        <v>1.8999999761581421</v>
      </c>
      <c r="G200" s="33">
        <v>0.20000000298023224</v>
      </c>
      <c r="H200" s="33">
        <v>1.3999999761581421</v>
      </c>
      <c r="I200" s="33">
        <v>6</v>
      </c>
      <c r="J200" s="33">
        <v>0</v>
      </c>
      <c r="K200" s="33">
        <v>5.9999998658895493E-2</v>
      </c>
      <c r="L200" s="33">
        <v>1.9999999552965164E-2</v>
      </c>
      <c r="M200" s="33">
        <v>0.60000002384185791</v>
      </c>
      <c r="N200" s="33">
        <v>0.20000000298023224</v>
      </c>
      <c r="O200" s="33">
        <v>65.599998474121094</v>
      </c>
      <c r="P200" s="33">
        <v>65</v>
      </c>
      <c r="Q200" s="33">
        <v>0.80000001192092896</v>
      </c>
      <c r="R200" s="34" t="s">
        <v>499</v>
      </c>
      <c r="S200" s="33">
        <v>34</v>
      </c>
      <c r="T200" s="35">
        <v>0</v>
      </c>
    </row>
    <row r="201" spans="1:20">
      <c r="A201" s="31">
        <v>199</v>
      </c>
      <c r="B201" s="33" t="s">
        <v>516</v>
      </c>
      <c r="C201" s="33">
        <v>100</v>
      </c>
      <c r="D201" s="33">
        <v>56</v>
      </c>
      <c r="E201" s="33">
        <v>80.800003051757813</v>
      </c>
      <c r="F201" s="33">
        <v>2.4000000953674316</v>
      </c>
      <c r="G201" s="33">
        <v>0</v>
      </c>
      <c r="H201" s="33">
        <v>4.3000001907348633</v>
      </c>
      <c r="I201" s="33">
        <v>11.5</v>
      </c>
      <c r="J201" s="33">
        <v>0</v>
      </c>
      <c r="K201" s="33">
        <v>9.9999997764825821E-3</v>
      </c>
      <c r="L201" s="33">
        <v>9.9999997764825821E-3</v>
      </c>
      <c r="M201" s="33">
        <v>1.3999999761581421</v>
      </c>
      <c r="N201" s="33">
        <v>0</v>
      </c>
      <c r="O201" s="33">
        <v>11.5</v>
      </c>
      <c r="P201" s="33">
        <v>23</v>
      </c>
      <c r="Q201" s="33">
        <v>7.1999998092651367</v>
      </c>
      <c r="R201" s="34" t="s">
        <v>499</v>
      </c>
      <c r="S201" s="33">
        <v>0</v>
      </c>
      <c r="T201" s="35">
        <v>0</v>
      </c>
    </row>
    <row r="202" spans="1:20">
      <c r="A202" s="31">
        <v>200</v>
      </c>
      <c r="B202" s="33" t="s">
        <v>517</v>
      </c>
      <c r="C202" s="33">
        <v>100</v>
      </c>
      <c r="D202" s="33">
        <v>43</v>
      </c>
      <c r="E202" s="33">
        <v>78</v>
      </c>
      <c r="F202" s="33">
        <v>2.5999999046325684</v>
      </c>
      <c r="G202" s="33">
        <v>0.40000000596046448</v>
      </c>
      <c r="H202" s="33">
        <v>11.300000190734863</v>
      </c>
      <c r="I202" s="33">
        <v>7.3000001907348633</v>
      </c>
      <c r="J202" s="33">
        <v>0</v>
      </c>
      <c r="K202" s="33">
        <v>3.9999999105930328E-2</v>
      </c>
      <c r="L202" s="33">
        <v>7.0000000298023224E-2</v>
      </c>
      <c r="M202" s="33">
        <v>0.10000000149011612</v>
      </c>
      <c r="N202" s="33">
        <v>1.8999999761581421</v>
      </c>
      <c r="O202" s="33">
        <v>1.8999999761581421</v>
      </c>
      <c r="P202" s="33">
        <v>42</v>
      </c>
      <c r="Q202" s="33">
        <v>3.5999999046325684</v>
      </c>
      <c r="R202" s="34" t="s">
        <v>499</v>
      </c>
      <c r="S202" s="33">
        <v>1</v>
      </c>
      <c r="T202" s="35">
        <v>0</v>
      </c>
    </row>
    <row r="203" spans="1:20">
      <c r="A203" s="31">
        <v>201</v>
      </c>
      <c r="B203" s="33" t="s">
        <v>518</v>
      </c>
      <c r="C203" s="33">
        <v>84</v>
      </c>
      <c r="D203" s="33">
        <v>79</v>
      </c>
      <c r="E203" s="33">
        <v>78.599998474121094</v>
      </c>
      <c r="F203" s="33">
        <v>2.2000000476837158</v>
      </c>
      <c r="G203" s="33">
        <v>0.20000000298023224</v>
      </c>
      <c r="H203" s="33">
        <v>1</v>
      </c>
      <c r="I203" s="33">
        <v>17.100000381469727</v>
      </c>
      <c r="J203" s="33">
        <v>27</v>
      </c>
      <c r="K203" s="33">
        <v>5.9999998658895493E-2</v>
      </c>
      <c r="L203" s="33">
        <v>5.000000074505806E-2</v>
      </c>
      <c r="M203" s="33">
        <v>0.69999998807907104</v>
      </c>
      <c r="N203" s="33">
        <v>0.44999998807907104</v>
      </c>
      <c r="O203" s="33">
        <v>33.099998474121094</v>
      </c>
      <c r="P203" s="33">
        <v>36</v>
      </c>
      <c r="Q203" s="33">
        <v>1</v>
      </c>
      <c r="R203" s="34" t="s">
        <v>499</v>
      </c>
      <c r="S203" s="33">
        <v>6</v>
      </c>
      <c r="T203" s="35">
        <v>0</v>
      </c>
    </row>
    <row r="204" spans="1:20">
      <c r="A204" s="31">
        <v>202</v>
      </c>
      <c r="B204" s="33" t="s">
        <v>519</v>
      </c>
      <c r="C204" s="33">
        <v>63</v>
      </c>
      <c r="D204" s="33">
        <v>19</v>
      </c>
      <c r="E204" s="33">
        <v>92.800003051757813</v>
      </c>
      <c r="F204" s="33">
        <v>2.5999999046325684</v>
      </c>
      <c r="G204" s="33">
        <v>0.20000000298023224</v>
      </c>
      <c r="H204" s="33">
        <v>1.7999999523162842</v>
      </c>
      <c r="I204" s="33">
        <v>1.7999999523162842</v>
      </c>
      <c r="J204" s="33">
        <v>0</v>
      </c>
      <c r="K204" s="33">
        <v>7.9999998211860657E-2</v>
      </c>
      <c r="L204" s="33">
        <v>7.9999998211860657E-2</v>
      </c>
      <c r="M204" s="33">
        <v>0.60000002384185791</v>
      </c>
      <c r="N204" s="33">
        <v>5.000000074505806E-2</v>
      </c>
      <c r="O204" s="33">
        <v>0.40000000596046448</v>
      </c>
      <c r="P204" s="33">
        <v>9</v>
      </c>
      <c r="Q204" s="33">
        <v>0.5</v>
      </c>
      <c r="R204" s="34" t="s">
        <v>499</v>
      </c>
      <c r="S204" s="33">
        <v>5</v>
      </c>
      <c r="T204" s="35">
        <v>0</v>
      </c>
    </row>
    <row r="205" spans="1:20">
      <c r="A205" s="31">
        <v>203</v>
      </c>
      <c r="B205" s="33" t="s">
        <v>520</v>
      </c>
      <c r="C205" s="33">
        <v>64</v>
      </c>
      <c r="D205" s="33">
        <v>196</v>
      </c>
      <c r="E205" s="33">
        <v>10</v>
      </c>
      <c r="F205" s="33">
        <v>26</v>
      </c>
      <c r="G205" s="33">
        <v>4</v>
      </c>
      <c r="H205" s="33">
        <v>43.200000762939453</v>
      </c>
      <c r="I205" s="33">
        <v>13.899999618530273</v>
      </c>
      <c r="J205" s="33">
        <v>2</v>
      </c>
      <c r="K205" s="33">
        <v>0</v>
      </c>
      <c r="L205" s="33">
        <v>0.31999999284744263</v>
      </c>
      <c r="M205" s="33">
        <v>0.20000000298023224</v>
      </c>
      <c r="N205" s="33">
        <v>0</v>
      </c>
      <c r="O205" s="33">
        <v>0</v>
      </c>
      <c r="P205" s="33">
        <v>31</v>
      </c>
      <c r="Q205" s="33">
        <v>4.1999998092651367</v>
      </c>
      <c r="R205" s="34" t="s">
        <v>499</v>
      </c>
      <c r="S205" s="33">
        <v>0</v>
      </c>
      <c r="T205" s="35">
        <v>0</v>
      </c>
    </row>
    <row r="206" spans="1:20">
      <c r="A206" s="31">
        <v>204</v>
      </c>
      <c r="B206" s="33" t="s">
        <v>521</v>
      </c>
      <c r="C206" s="33">
        <v>45</v>
      </c>
      <c r="D206" s="33">
        <v>11</v>
      </c>
      <c r="E206" s="33">
        <v>90.099998474121094</v>
      </c>
      <c r="F206" s="33">
        <v>2.5999999046325684</v>
      </c>
      <c r="G206" s="33">
        <v>0</v>
      </c>
      <c r="H206" s="33">
        <v>6.5999999046325684</v>
      </c>
      <c r="I206" s="33">
        <v>0.10000000149011612</v>
      </c>
      <c r="J206" s="33">
        <v>0</v>
      </c>
      <c r="K206" s="33">
        <v>5.000000074505806E-2</v>
      </c>
      <c r="L206" s="33">
        <v>9.0000003576278687E-2</v>
      </c>
      <c r="M206" s="33">
        <v>0.5</v>
      </c>
      <c r="N206" s="33">
        <v>0</v>
      </c>
      <c r="O206" s="33">
        <v>0</v>
      </c>
      <c r="P206" s="33">
        <v>17</v>
      </c>
      <c r="Q206" s="33">
        <v>2.5</v>
      </c>
      <c r="R206" s="34" t="s">
        <v>499</v>
      </c>
      <c r="S206" s="33">
        <v>7</v>
      </c>
      <c r="T206" s="35">
        <v>0</v>
      </c>
    </row>
    <row r="207" spans="1:20">
      <c r="A207" s="31">
        <v>205</v>
      </c>
      <c r="B207" s="33" t="s">
        <v>522</v>
      </c>
      <c r="C207" s="33">
        <v>66</v>
      </c>
      <c r="D207" s="33">
        <v>20</v>
      </c>
      <c r="E207" s="33">
        <v>91.400001525878906</v>
      </c>
      <c r="F207" s="33">
        <v>2.4000000953674316</v>
      </c>
      <c r="G207" s="33">
        <v>0.10000000149011612</v>
      </c>
      <c r="H207" s="33">
        <v>2.7999999523162842</v>
      </c>
      <c r="I207" s="33">
        <v>2.2999999523162842</v>
      </c>
      <c r="J207" s="33">
        <v>5</v>
      </c>
      <c r="K207" s="33">
        <v>5.000000074505806E-2</v>
      </c>
      <c r="L207" s="33">
        <v>3.9999999105930328E-2</v>
      </c>
      <c r="M207" s="33">
        <v>0.40000000596046448</v>
      </c>
      <c r="N207" s="33">
        <v>0</v>
      </c>
      <c r="O207" s="33">
        <v>6</v>
      </c>
      <c r="P207" s="33">
        <v>8</v>
      </c>
      <c r="Q207" s="33">
        <v>2.4000000953674316</v>
      </c>
      <c r="R207" s="34" t="s">
        <v>499</v>
      </c>
      <c r="S207" s="33">
        <v>5</v>
      </c>
      <c r="T207" s="35">
        <v>0</v>
      </c>
    </row>
    <row r="208" spans="1:20">
      <c r="A208" s="31">
        <v>206</v>
      </c>
      <c r="B208" s="33" t="s">
        <v>523</v>
      </c>
      <c r="C208" s="33">
        <v>76</v>
      </c>
      <c r="D208" s="33">
        <v>213</v>
      </c>
      <c r="E208" s="33">
        <v>14.399999618530273</v>
      </c>
      <c r="F208" s="33">
        <v>17.600000381469727</v>
      </c>
      <c r="G208" s="33">
        <v>2.4000000953674316</v>
      </c>
      <c r="H208" s="33">
        <v>27.200000762939453</v>
      </c>
      <c r="I208" s="33">
        <v>30.299999237060547</v>
      </c>
      <c r="J208" s="33">
        <v>0</v>
      </c>
      <c r="K208" s="33">
        <v>0</v>
      </c>
      <c r="L208" s="33">
        <v>0.40999999642372131</v>
      </c>
      <c r="M208" s="33">
        <v>1.8999999761581421</v>
      </c>
      <c r="N208" s="33">
        <v>0</v>
      </c>
      <c r="O208" s="33">
        <v>6.1999998092651367</v>
      </c>
      <c r="P208" s="33">
        <v>30</v>
      </c>
      <c r="Q208" s="33">
        <v>18.899999618530273</v>
      </c>
      <c r="R208" s="34" t="s">
        <v>499</v>
      </c>
      <c r="S208" s="33">
        <v>0</v>
      </c>
      <c r="T208" s="35">
        <v>0</v>
      </c>
    </row>
    <row r="209" spans="1:20">
      <c r="A209" s="31">
        <v>207</v>
      </c>
      <c r="B209" s="33" t="s">
        <v>524</v>
      </c>
      <c r="C209" s="33">
        <v>67</v>
      </c>
      <c r="D209" s="33">
        <v>21</v>
      </c>
      <c r="E209" s="33">
        <v>93.099998474121094</v>
      </c>
      <c r="F209" s="33">
        <v>2.2000000476837158</v>
      </c>
      <c r="G209" s="33">
        <v>0.20000000298023224</v>
      </c>
      <c r="H209" s="33">
        <v>1.2999999523162842</v>
      </c>
      <c r="I209" s="33">
        <v>2.5</v>
      </c>
      <c r="J209" s="33">
        <v>0</v>
      </c>
      <c r="K209" s="33">
        <v>3.9999999105930328E-2</v>
      </c>
      <c r="L209" s="33">
        <v>5.000000074505806E-2</v>
      </c>
      <c r="M209" s="33">
        <v>0.30000001192092896</v>
      </c>
      <c r="N209" s="33">
        <v>0.15000000596046448</v>
      </c>
      <c r="O209" s="33">
        <v>5.1999998092651367</v>
      </c>
      <c r="P209" s="33">
        <v>16</v>
      </c>
      <c r="Q209" s="33">
        <v>0.89999997615814209</v>
      </c>
      <c r="R209" s="34" t="s">
        <v>499</v>
      </c>
      <c r="S209" s="33">
        <v>9</v>
      </c>
      <c r="T209" s="35">
        <v>0</v>
      </c>
    </row>
    <row r="210" spans="1:20">
      <c r="A210" s="31">
        <v>208</v>
      </c>
      <c r="B210" s="33" t="s">
        <v>525</v>
      </c>
      <c r="C210" s="33">
        <v>100</v>
      </c>
      <c r="D210" s="33">
        <v>286</v>
      </c>
      <c r="E210" s="33">
        <v>10</v>
      </c>
      <c r="F210" s="33">
        <v>6.1999998092651367</v>
      </c>
      <c r="G210" s="33">
        <v>0.80000001192092896</v>
      </c>
      <c r="H210" s="33">
        <v>9.3999996185302734</v>
      </c>
      <c r="I210" s="33">
        <v>63.5</v>
      </c>
      <c r="J210" s="33">
        <v>0</v>
      </c>
      <c r="K210" s="33">
        <v>0.23999999463558197</v>
      </c>
      <c r="L210" s="33">
        <v>0</v>
      </c>
      <c r="M210" s="33">
        <v>4.8000001907348633</v>
      </c>
      <c r="N210" s="33">
        <v>187</v>
      </c>
      <c r="O210" s="33">
        <v>492.5</v>
      </c>
      <c r="P210" s="33">
        <v>908</v>
      </c>
      <c r="Q210" s="33">
        <v>13.800000190734863</v>
      </c>
      <c r="R210" s="34" t="s">
        <v>526</v>
      </c>
      <c r="S210" s="33">
        <v>187</v>
      </c>
      <c r="T210" s="35">
        <v>0</v>
      </c>
    </row>
    <row r="211" spans="1:20">
      <c r="A211" s="31">
        <v>209</v>
      </c>
      <c r="B211" s="33" t="s">
        <v>527</v>
      </c>
      <c r="C211" s="33">
        <v>92</v>
      </c>
      <c r="D211" s="33">
        <v>21</v>
      </c>
      <c r="E211" s="33">
        <v>93.599998474121094</v>
      </c>
      <c r="F211" s="33">
        <v>1.7000000476837158</v>
      </c>
      <c r="G211" s="33">
        <v>0.20000000298023224</v>
      </c>
      <c r="H211" s="33">
        <v>0.60000002384185791</v>
      </c>
      <c r="I211" s="33">
        <v>3.0999999046325684</v>
      </c>
      <c r="J211" s="33">
        <v>42</v>
      </c>
      <c r="K211" s="33">
        <v>5.9999998658895493E-2</v>
      </c>
      <c r="L211" s="33">
        <v>7.0000000298023224E-2</v>
      </c>
      <c r="M211" s="33">
        <v>0.80000001192092896</v>
      </c>
      <c r="N211" s="33">
        <v>0.92000001668930054</v>
      </c>
      <c r="O211" s="33">
        <v>89.300003051757813</v>
      </c>
      <c r="P211" s="33">
        <v>69</v>
      </c>
      <c r="Q211" s="33">
        <v>0.5</v>
      </c>
      <c r="R211" s="34" t="s">
        <v>526</v>
      </c>
      <c r="S211" s="33">
        <v>47</v>
      </c>
      <c r="T211" s="35">
        <v>0</v>
      </c>
    </row>
    <row r="212" spans="1:20">
      <c r="A212" s="31">
        <v>210</v>
      </c>
      <c r="B212" s="33" t="s">
        <v>528</v>
      </c>
      <c r="C212" s="33">
        <v>84</v>
      </c>
      <c r="D212" s="33">
        <v>25</v>
      </c>
      <c r="E212" s="33">
        <v>91.300003051757813</v>
      </c>
      <c r="F212" s="33">
        <v>2.7999999523162842</v>
      </c>
      <c r="G212" s="33">
        <v>0.5</v>
      </c>
      <c r="H212" s="33">
        <v>1.7000000476837158</v>
      </c>
      <c r="I212" s="33">
        <v>2.2999999523162842</v>
      </c>
      <c r="J212" s="33">
        <v>160</v>
      </c>
      <c r="K212" s="33">
        <v>5.000000074505806E-2</v>
      </c>
      <c r="L212" s="33">
        <v>7.9999998211860657E-2</v>
      </c>
      <c r="M212" s="33">
        <v>1.2000000476837158</v>
      </c>
      <c r="N212" s="33">
        <v>0.51999998092651367</v>
      </c>
      <c r="O212" s="33">
        <v>26</v>
      </c>
      <c r="P212" s="33">
        <v>96</v>
      </c>
      <c r="Q212" s="33">
        <v>2.7999999523162842</v>
      </c>
      <c r="R212" s="34" t="s">
        <v>526</v>
      </c>
      <c r="S212" s="33">
        <v>44</v>
      </c>
      <c r="T212" s="35">
        <v>0</v>
      </c>
    </row>
    <row r="213" spans="1:20">
      <c r="A213" s="31">
        <v>211</v>
      </c>
      <c r="B213" s="33" t="s">
        <v>529</v>
      </c>
      <c r="C213" s="33">
        <v>89</v>
      </c>
      <c r="D213" s="33">
        <v>24</v>
      </c>
      <c r="E213" s="33">
        <v>91.199996948242188</v>
      </c>
      <c r="F213" s="33">
        <v>2.5999999046325684</v>
      </c>
      <c r="G213" s="33">
        <v>0.30000001192092896</v>
      </c>
      <c r="H213" s="33">
        <v>1.7000000476837158</v>
      </c>
      <c r="I213" s="33">
        <v>2.7999999523162842</v>
      </c>
      <c r="J213" s="33">
        <v>487</v>
      </c>
      <c r="K213" s="33">
        <v>3.9999999105930328E-2</v>
      </c>
      <c r="L213" s="33">
        <v>0.10999999940395355</v>
      </c>
      <c r="M213" s="33">
        <v>0.60000002384185791</v>
      </c>
      <c r="N213" s="33">
        <v>1.7400000095367432</v>
      </c>
      <c r="O213" s="33">
        <v>85.199996948242188</v>
      </c>
      <c r="P213" s="33">
        <v>66</v>
      </c>
      <c r="Q213" s="33">
        <v>2.9000000953674316</v>
      </c>
      <c r="R213" s="34" t="s">
        <v>526</v>
      </c>
      <c r="S213" s="33">
        <v>32</v>
      </c>
      <c r="T213" s="35">
        <v>0</v>
      </c>
    </row>
    <row r="214" spans="1:20">
      <c r="A214" s="31">
        <v>212</v>
      </c>
      <c r="B214" s="33" t="s">
        <v>530</v>
      </c>
      <c r="C214" s="33">
        <v>100</v>
      </c>
      <c r="D214" s="33">
        <v>283</v>
      </c>
      <c r="E214" s="33">
        <v>9.1999998092651367</v>
      </c>
      <c r="F214" s="33">
        <v>6.4000000953674316</v>
      </c>
      <c r="G214" s="33">
        <v>0.60000002384185791</v>
      </c>
      <c r="H214" s="33">
        <v>12.699999809265137</v>
      </c>
      <c r="I214" s="33">
        <v>63</v>
      </c>
      <c r="J214" s="33">
        <v>598</v>
      </c>
      <c r="K214" s="33">
        <v>0.20000000298023224</v>
      </c>
      <c r="L214" s="33">
        <v>0.18000000715255737</v>
      </c>
      <c r="M214" s="33">
        <v>3.9000000953674316</v>
      </c>
      <c r="N214" s="33">
        <v>7.7300000190734863</v>
      </c>
      <c r="O214" s="33">
        <v>242</v>
      </c>
      <c r="P214" s="33">
        <v>411</v>
      </c>
      <c r="Q214" s="33">
        <v>25.899999618530273</v>
      </c>
      <c r="R214" s="34" t="s">
        <v>526</v>
      </c>
      <c r="S214" s="33">
        <v>82</v>
      </c>
      <c r="T214" s="35">
        <v>0</v>
      </c>
    </row>
    <row r="215" spans="1:20">
      <c r="A215" s="31">
        <v>213</v>
      </c>
      <c r="B215" s="33" t="s">
        <v>531</v>
      </c>
      <c r="C215" s="33">
        <v>82</v>
      </c>
      <c r="D215" s="33">
        <v>24</v>
      </c>
      <c r="E215" s="33">
        <v>92.400001525878906</v>
      </c>
      <c r="F215" s="33">
        <v>2.0999999046325684</v>
      </c>
      <c r="G215" s="33">
        <v>0.20000000298023224</v>
      </c>
      <c r="H215" s="33">
        <v>1.2000000476837158</v>
      </c>
      <c r="I215" s="33">
        <v>3.4000000953674316</v>
      </c>
      <c r="J215" s="33">
        <v>5</v>
      </c>
      <c r="K215" s="33">
        <v>2.9999999329447746E-2</v>
      </c>
      <c r="L215" s="33">
        <v>7.9999998211860657E-2</v>
      </c>
      <c r="M215" s="33">
        <v>0.60000002384185791</v>
      </c>
      <c r="N215" s="33">
        <v>0.43000000715255737</v>
      </c>
      <c r="O215" s="33">
        <v>31.600000381469727</v>
      </c>
      <c r="P215" s="33">
        <v>23</v>
      </c>
      <c r="Q215" s="33">
        <v>1.1000000238418579</v>
      </c>
      <c r="R215" s="34" t="s">
        <v>526</v>
      </c>
      <c r="S215" s="33">
        <v>61</v>
      </c>
      <c r="T215" s="35">
        <v>0</v>
      </c>
    </row>
    <row r="216" spans="1:20">
      <c r="A216" s="31">
        <v>214</v>
      </c>
      <c r="B216" s="33" t="s">
        <v>532</v>
      </c>
      <c r="C216" s="33">
        <v>100</v>
      </c>
      <c r="D216" s="33">
        <v>286</v>
      </c>
      <c r="E216" s="33">
        <v>9.8000001907348633</v>
      </c>
      <c r="F216" s="33">
        <v>6.5</v>
      </c>
      <c r="G216" s="33">
        <v>0.60000002384185791</v>
      </c>
      <c r="H216" s="33">
        <v>13.199999809265137</v>
      </c>
      <c r="I216" s="33">
        <v>63.599998474121094</v>
      </c>
      <c r="J216" s="33">
        <v>0</v>
      </c>
      <c r="K216" s="33">
        <v>0.20999999344348907</v>
      </c>
      <c r="L216" s="33">
        <v>0</v>
      </c>
      <c r="M216" s="33">
        <v>7.4000000953674316</v>
      </c>
      <c r="N216" s="33">
        <v>0</v>
      </c>
      <c r="O216" s="33">
        <v>264.29998779296875</v>
      </c>
      <c r="P216" s="33">
        <v>185</v>
      </c>
      <c r="Q216" s="33">
        <v>6.4000000953674316</v>
      </c>
      <c r="R216" s="34" t="s">
        <v>526</v>
      </c>
      <c r="S216" s="33">
        <v>82</v>
      </c>
      <c r="T216" s="35">
        <v>0</v>
      </c>
    </row>
    <row r="217" spans="1:20">
      <c r="A217" s="31">
        <v>215</v>
      </c>
      <c r="B217" s="33" t="s">
        <v>533</v>
      </c>
      <c r="C217" s="33">
        <v>93</v>
      </c>
      <c r="D217" s="33">
        <v>20</v>
      </c>
      <c r="E217" s="33">
        <v>94.199996948242188</v>
      </c>
      <c r="F217" s="33">
        <v>1.8999999761581421</v>
      </c>
      <c r="G217" s="33">
        <v>0.60000002384185791</v>
      </c>
      <c r="H217" s="33">
        <v>1</v>
      </c>
      <c r="I217" s="33">
        <v>1.7999999523162842</v>
      </c>
      <c r="J217" s="33">
        <v>185</v>
      </c>
      <c r="K217" s="33">
        <v>1.9999999552965164E-2</v>
      </c>
      <c r="L217" s="33">
        <v>0.10000000149011612</v>
      </c>
      <c r="M217" s="33">
        <v>0.5</v>
      </c>
      <c r="N217" s="33">
        <v>0.47999998927116394</v>
      </c>
      <c r="O217" s="33">
        <v>56.200000762939453</v>
      </c>
      <c r="P217" s="33">
        <v>92</v>
      </c>
      <c r="Q217" s="33">
        <v>1.2999999523162842</v>
      </c>
      <c r="R217" s="34" t="s">
        <v>526</v>
      </c>
      <c r="S217" s="33">
        <v>54</v>
      </c>
      <c r="T217" s="35">
        <v>0</v>
      </c>
    </row>
    <row r="218" spans="1:20">
      <c r="A218" s="31">
        <v>216</v>
      </c>
      <c r="B218" s="33" t="s">
        <v>534</v>
      </c>
      <c r="C218" s="33">
        <v>100</v>
      </c>
      <c r="D218" s="33">
        <v>20</v>
      </c>
      <c r="E218" s="33">
        <v>94.5</v>
      </c>
      <c r="F218" s="33">
        <v>1.3999999761581421</v>
      </c>
      <c r="G218" s="33">
        <v>0.10000000149011612</v>
      </c>
      <c r="H218" s="33">
        <v>0.5</v>
      </c>
      <c r="I218" s="33">
        <v>3.2999999523162842</v>
      </c>
      <c r="J218" s="33">
        <v>55</v>
      </c>
      <c r="K218" s="33">
        <v>0</v>
      </c>
      <c r="L218" s="33">
        <v>9.9999997764825821E-3</v>
      </c>
      <c r="M218" s="33">
        <v>0.10000000149011612</v>
      </c>
      <c r="N218" s="33">
        <v>0.89999997615814209</v>
      </c>
      <c r="O218" s="33">
        <v>7.9000000953674316</v>
      </c>
      <c r="P218" s="33">
        <v>42</v>
      </c>
      <c r="Q218" s="33">
        <v>2.4000000953674316</v>
      </c>
      <c r="R218" s="34" t="s">
        <v>526</v>
      </c>
      <c r="S218" s="33">
        <v>0</v>
      </c>
      <c r="T218" s="35">
        <v>0</v>
      </c>
    </row>
    <row r="219" spans="1:20">
      <c r="A219" s="31">
        <v>217</v>
      </c>
      <c r="B219" s="33" t="s">
        <v>535</v>
      </c>
      <c r="C219" s="33">
        <v>100</v>
      </c>
      <c r="D219" s="33">
        <v>303</v>
      </c>
      <c r="E219" s="33">
        <v>9.6999998092651367</v>
      </c>
      <c r="F219" s="33">
        <v>6.3000001907348633</v>
      </c>
      <c r="G219" s="33">
        <v>0.40000000596046448</v>
      </c>
      <c r="H219" s="33">
        <v>11.399999618530273</v>
      </c>
      <c r="I219" s="33">
        <v>68.599998474121094</v>
      </c>
      <c r="J219" s="33">
        <v>35</v>
      </c>
      <c r="K219" s="33">
        <v>7.0000000298023224E-2</v>
      </c>
      <c r="L219" s="33">
        <v>5.9999998658895493E-2</v>
      </c>
      <c r="M219" s="33">
        <v>3</v>
      </c>
      <c r="N219" s="33">
        <v>0</v>
      </c>
      <c r="O219" s="33">
        <v>44.900001525878906</v>
      </c>
      <c r="P219" s="33">
        <v>49</v>
      </c>
      <c r="Q219" s="33">
        <v>22.100000381469727</v>
      </c>
      <c r="R219" s="34" t="s">
        <v>526</v>
      </c>
      <c r="S219" s="33">
        <v>89</v>
      </c>
      <c r="T219" s="35">
        <v>0</v>
      </c>
    </row>
    <row r="220" spans="1:20">
      <c r="A220" s="31">
        <v>218</v>
      </c>
      <c r="B220" s="33" t="s">
        <v>536</v>
      </c>
      <c r="C220" s="33">
        <v>90</v>
      </c>
      <c r="D220" s="33">
        <v>39</v>
      </c>
      <c r="E220" s="33">
        <v>89.199996948242188</v>
      </c>
      <c r="F220" s="33">
        <v>1.1000000238418579</v>
      </c>
      <c r="G220" s="33">
        <v>0.20000000298023224</v>
      </c>
      <c r="H220" s="33">
        <v>0.89999997615814209</v>
      </c>
      <c r="I220" s="33">
        <v>8.1000003814697266</v>
      </c>
      <c r="J220" s="33">
        <v>3</v>
      </c>
      <c r="K220" s="33">
        <v>2.9999999329447746E-2</v>
      </c>
      <c r="L220" s="33">
        <v>2.9999999329447746E-2</v>
      </c>
      <c r="M220" s="33">
        <v>0.30000001192092896</v>
      </c>
      <c r="N220" s="33">
        <v>0.14000000059604645</v>
      </c>
      <c r="O220" s="33">
        <v>4.4000000953674316</v>
      </c>
      <c r="P220" s="33">
        <v>24</v>
      </c>
      <c r="Q220" s="33">
        <v>0.60000002384185791</v>
      </c>
      <c r="R220" s="34" t="s">
        <v>526</v>
      </c>
      <c r="S220" s="33">
        <v>8</v>
      </c>
      <c r="T220" s="35">
        <v>0</v>
      </c>
    </row>
    <row r="221" spans="1:20">
      <c r="A221" s="31">
        <v>219</v>
      </c>
      <c r="B221" s="33" t="s">
        <v>537</v>
      </c>
      <c r="C221" s="33">
        <v>100</v>
      </c>
      <c r="D221" s="33">
        <v>330</v>
      </c>
      <c r="E221" s="33">
        <v>9.1000003814697266</v>
      </c>
      <c r="F221" s="33">
        <v>5.5</v>
      </c>
      <c r="G221" s="33">
        <v>0.40000000596046448</v>
      </c>
      <c r="H221" s="33">
        <v>5.6999998092651367</v>
      </c>
      <c r="I221" s="33">
        <v>76.199996948242188</v>
      </c>
      <c r="J221" s="33">
        <v>5</v>
      </c>
      <c r="K221" s="33">
        <v>0.15999999642372131</v>
      </c>
      <c r="L221" s="33">
        <v>0.15999999642372131</v>
      </c>
      <c r="M221" s="33">
        <v>1</v>
      </c>
      <c r="N221" s="33">
        <v>0</v>
      </c>
      <c r="O221" s="33">
        <v>31.700000762939453</v>
      </c>
      <c r="P221" s="33">
        <v>186</v>
      </c>
      <c r="Q221" s="33">
        <v>0.89999997615814209</v>
      </c>
      <c r="R221" s="34" t="s">
        <v>526</v>
      </c>
      <c r="S221" s="33">
        <v>22</v>
      </c>
      <c r="T221" s="35">
        <v>0</v>
      </c>
    </row>
    <row r="222" spans="1:20">
      <c r="A222" s="31">
        <v>220</v>
      </c>
      <c r="B222" s="33" t="s">
        <v>538</v>
      </c>
      <c r="C222" s="33">
        <v>100</v>
      </c>
      <c r="D222" s="33">
        <v>324</v>
      </c>
      <c r="E222" s="33">
        <v>9.1000003814697266</v>
      </c>
      <c r="F222" s="33">
        <v>6.9000000953674316</v>
      </c>
      <c r="G222" s="33">
        <v>0.40000000596046448</v>
      </c>
      <c r="H222" s="33">
        <v>7.5</v>
      </c>
      <c r="I222" s="33">
        <v>73.099998474121094</v>
      </c>
      <c r="J222" s="33">
        <v>3</v>
      </c>
      <c r="K222" s="33">
        <v>0.20000000298023224</v>
      </c>
      <c r="L222" s="33">
        <v>0.14000000059604645</v>
      </c>
      <c r="M222" s="33">
        <v>1</v>
      </c>
      <c r="N222" s="33">
        <v>0</v>
      </c>
      <c r="O222" s="33">
        <v>77.400001525878906</v>
      </c>
      <c r="P222" s="33">
        <v>351</v>
      </c>
      <c r="Q222" s="33">
        <v>6.1999998092651367</v>
      </c>
      <c r="R222" s="34" t="s">
        <v>526</v>
      </c>
      <c r="S222" s="33">
        <v>5</v>
      </c>
      <c r="T222" s="35">
        <v>0</v>
      </c>
    </row>
    <row r="223" spans="1:20">
      <c r="A223" s="31">
        <v>221</v>
      </c>
      <c r="B223" s="33" t="s">
        <v>539</v>
      </c>
      <c r="C223" s="33">
        <v>83</v>
      </c>
      <c r="D223" s="33">
        <v>15</v>
      </c>
      <c r="E223" s="33">
        <v>95.099998474121094</v>
      </c>
      <c r="F223" s="33">
        <v>1.3999999761581421</v>
      </c>
      <c r="G223" s="33">
        <v>0.10000000149011612</v>
      </c>
      <c r="H223" s="33">
        <v>0.89999997615814209</v>
      </c>
      <c r="I223" s="33">
        <v>2.0999999046325684</v>
      </c>
      <c r="J223" s="33">
        <v>13</v>
      </c>
      <c r="K223" s="33">
        <v>2.9999999329447746E-2</v>
      </c>
      <c r="L223" s="33">
        <v>3.9999999105930328E-2</v>
      </c>
      <c r="M223" s="33">
        <v>0.40000000596046448</v>
      </c>
      <c r="N223" s="33">
        <v>0.36000001430511475</v>
      </c>
      <c r="O223" s="33">
        <v>48.400001525878906</v>
      </c>
      <c r="P223" s="33">
        <v>35</v>
      </c>
      <c r="Q223" s="33">
        <v>0.60000002384185791</v>
      </c>
      <c r="R223" s="34" t="s">
        <v>526</v>
      </c>
      <c r="S223" s="33">
        <v>28</v>
      </c>
      <c r="T223" s="35">
        <v>0</v>
      </c>
    </row>
    <row r="224" spans="1:20">
      <c r="A224" s="31">
        <v>222</v>
      </c>
      <c r="B224" s="33" t="s">
        <v>540</v>
      </c>
      <c r="C224" s="33">
        <v>100</v>
      </c>
      <c r="D224" s="33">
        <v>29</v>
      </c>
      <c r="E224" s="33">
        <v>75</v>
      </c>
      <c r="F224" s="33">
        <v>2.2000000476837158</v>
      </c>
      <c r="G224" s="33">
        <v>0.30000001192092896</v>
      </c>
      <c r="H224" s="33">
        <v>2.0999999046325684</v>
      </c>
      <c r="I224" s="33">
        <v>4.4000000953674316</v>
      </c>
      <c r="J224" s="33">
        <v>83</v>
      </c>
      <c r="K224" s="33">
        <v>2.9999999329447746E-2</v>
      </c>
      <c r="L224" s="33">
        <v>5.9999998658895493E-2</v>
      </c>
      <c r="M224" s="33">
        <v>0.5</v>
      </c>
      <c r="N224" s="33">
        <v>0</v>
      </c>
      <c r="O224" s="33">
        <v>4252.60009765625</v>
      </c>
      <c r="P224" s="33">
        <v>155</v>
      </c>
      <c r="Q224" s="33">
        <v>3.9000000953674316</v>
      </c>
      <c r="R224" s="34" t="s">
        <v>541</v>
      </c>
      <c r="S224" s="33">
        <v>2</v>
      </c>
      <c r="T224" s="35">
        <v>0</v>
      </c>
    </row>
    <row r="225" spans="1:20">
      <c r="A225" s="31">
        <v>223</v>
      </c>
      <c r="B225" s="33" t="s">
        <v>542</v>
      </c>
      <c r="C225" s="33">
        <v>100</v>
      </c>
      <c r="D225" s="33">
        <v>23</v>
      </c>
      <c r="E225" s="33">
        <v>92.300003051757813</v>
      </c>
      <c r="F225" s="33">
        <v>2.7000000476837158</v>
      </c>
      <c r="G225" s="33">
        <v>0.20000000298023224</v>
      </c>
      <c r="H225" s="33">
        <v>1.6000000238418579</v>
      </c>
      <c r="I225" s="33">
        <v>2.7000000476837158</v>
      </c>
      <c r="J225" s="33">
        <v>0</v>
      </c>
      <c r="K225" s="33">
        <v>7.9999998211860657E-2</v>
      </c>
      <c r="L225" s="33">
        <v>0.34000000357627869</v>
      </c>
      <c r="M225" s="33">
        <v>8</v>
      </c>
      <c r="N225" s="33">
        <v>0.40000000596046448</v>
      </c>
      <c r="O225" s="33">
        <v>73</v>
      </c>
      <c r="P225" s="33">
        <v>17</v>
      </c>
      <c r="Q225" s="33">
        <v>1.2999999523162842</v>
      </c>
      <c r="R225" s="34" t="s">
        <v>543</v>
      </c>
      <c r="S225" s="33">
        <v>0</v>
      </c>
      <c r="T225" s="35">
        <v>0</v>
      </c>
    </row>
    <row r="226" spans="1:20">
      <c r="A226" s="31">
        <v>224</v>
      </c>
      <c r="B226" s="33" t="s">
        <v>544</v>
      </c>
      <c r="C226" s="33">
        <v>100</v>
      </c>
      <c r="D226" s="33">
        <v>200</v>
      </c>
      <c r="E226" s="33">
        <v>15.5</v>
      </c>
      <c r="F226" s="33">
        <v>24.399999618530273</v>
      </c>
      <c r="G226" s="33">
        <v>2.7999999523162842</v>
      </c>
      <c r="H226" s="33">
        <v>31.600000381469727</v>
      </c>
      <c r="I226" s="33">
        <v>19.299999237060547</v>
      </c>
      <c r="J226" s="33">
        <v>13</v>
      </c>
      <c r="K226" s="33">
        <v>0.25999999046325684</v>
      </c>
      <c r="L226" s="33">
        <v>6.9000000953674316</v>
      </c>
      <c r="M226" s="33">
        <v>19.5</v>
      </c>
      <c r="N226" s="33">
        <v>0</v>
      </c>
      <c r="O226" s="33">
        <v>1.7000000476837158</v>
      </c>
      <c r="P226" s="33">
        <v>1</v>
      </c>
      <c r="Q226" s="33">
        <v>7.5</v>
      </c>
      <c r="R226" s="34" t="s">
        <v>543</v>
      </c>
      <c r="S226" s="33">
        <v>2</v>
      </c>
      <c r="T226" s="35">
        <v>0</v>
      </c>
    </row>
    <row r="227" spans="1:20">
      <c r="A227" s="31">
        <v>225</v>
      </c>
      <c r="B227" s="33" t="s">
        <v>545</v>
      </c>
      <c r="C227" s="33">
        <v>100</v>
      </c>
      <c r="D227" s="33">
        <v>3</v>
      </c>
      <c r="E227" s="33">
        <v>96.400001525878906</v>
      </c>
      <c r="F227" s="33">
        <v>1.5</v>
      </c>
      <c r="G227" s="33">
        <v>0</v>
      </c>
      <c r="H227" s="33">
        <v>1.7999999523162842</v>
      </c>
      <c r="I227" s="33">
        <v>0</v>
      </c>
      <c r="J227" s="33">
        <v>37</v>
      </c>
      <c r="K227" s="33">
        <v>1.9999999552965164E-2</v>
      </c>
      <c r="L227" s="33">
        <v>0.2800000011920929</v>
      </c>
      <c r="M227" s="33">
        <v>0.5</v>
      </c>
      <c r="N227" s="33">
        <v>2.2400000095367432</v>
      </c>
      <c r="O227" s="33">
        <v>10.699999809265137</v>
      </c>
      <c r="P227" s="33">
        <v>14</v>
      </c>
      <c r="Q227" s="33">
        <v>21.100000381469727</v>
      </c>
      <c r="R227" s="34" t="s">
        <v>543</v>
      </c>
      <c r="S227" s="33">
        <v>0</v>
      </c>
      <c r="T227" s="35">
        <v>0</v>
      </c>
    </row>
    <row r="228" spans="1:20">
      <c r="A228" s="31">
        <v>226</v>
      </c>
      <c r="B228" s="33" t="s">
        <v>546</v>
      </c>
      <c r="C228" s="33">
        <v>86</v>
      </c>
      <c r="D228" s="33">
        <v>212</v>
      </c>
      <c r="E228" s="33">
        <v>13.399999618530273</v>
      </c>
      <c r="F228" s="33">
        <v>17.799999237060547</v>
      </c>
      <c r="G228" s="33">
        <v>1.2999999523162842</v>
      </c>
      <c r="H228" s="33">
        <v>32.299999237060547</v>
      </c>
      <c r="I228" s="33">
        <v>32.299999237060547</v>
      </c>
      <c r="J228" s="33">
        <v>5</v>
      </c>
      <c r="K228" s="33">
        <v>0.17000000178813934</v>
      </c>
      <c r="L228" s="33">
        <v>1.3999999761581421</v>
      </c>
      <c r="M228" s="33">
        <v>24.399999618530273</v>
      </c>
      <c r="N228" s="33">
        <v>3.4700000286102295</v>
      </c>
      <c r="O228" s="33">
        <v>20.399999618530273</v>
      </c>
      <c r="P228" s="33">
        <v>55</v>
      </c>
      <c r="Q228" s="33">
        <v>10.5</v>
      </c>
      <c r="R228" s="34" t="s">
        <v>543</v>
      </c>
      <c r="S228" s="33">
        <v>5</v>
      </c>
      <c r="T228" s="35">
        <v>0</v>
      </c>
    </row>
    <row r="229" spans="1:20">
      <c r="A229" s="31">
        <v>227</v>
      </c>
      <c r="B229" s="33" t="s">
        <v>547</v>
      </c>
      <c r="C229" s="33">
        <v>100</v>
      </c>
      <c r="D229" s="33">
        <v>246</v>
      </c>
      <c r="E229" s="33">
        <v>10.5</v>
      </c>
      <c r="F229" s="33">
        <v>22.799999237060547</v>
      </c>
      <c r="G229" s="33">
        <v>0.80000001192092896</v>
      </c>
      <c r="H229" s="33">
        <v>21.899999618530273</v>
      </c>
      <c r="I229" s="33">
        <v>36.799999237060547</v>
      </c>
      <c r="J229" s="33">
        <v>0</v>
      </c>
      <c r="K229" s="33">
        <v>0.23000000417232513</v>
      </c>
      <c r="L229" s="33">
        <v>0</v>
      </c>
      <c r="M229" s="33">
        <v>0</v>
      </c>
      <c r="N229" s="33">
        <v>21.700000762939453</v>
      </c>
      <c r="O229" s="33">
        <v>103.30000305175781</v>
      </c>
      <c r="P229" s="33">
        <v>875</v>
      </c>
      <c r="Q229" s="33">
        <v>99.300003051757813</v>
      </c>
      <c r="R229" s="34" t="s">
        <v>543</v>
      </c>
      <c r="S229" s="33">
        <v>0</v>
      </c>
      <c r="T229" s="35">
        <v>0</v>
      </c>
    </row>
    <row r="230" spans="1:20">
      <c r="A230" s="31">
        <v>228</v>
      </c>
      <c r="B230" s="33" t="s">
        <v>548</v>
      </c>
      <c r="C230" s="33">
        <v>98</v>
      </c>
      <c r="D230" s="33">
        <v>77</v>
      </c>
      <c r="E230" s="33">
        <v>70.5</v>
      </c>
      <c r="F230" s="33">
        <v>1.7999999523162842</v>
      </c>
      <c r="G230" s="33">
        <v>0.10000000149011612</v>
      </c>
      <c r="H230" s="33">
        <v>6.0999999046325684</v>
      </c>
      <c r="I230" s="33">
        <v>17.299999237060547</v>
      </c>
      <c r="J230" s="33">
        <v>40</v>
      </c>
      <c r="K230" s="33">
        <v>9.9999997764825821E-3</v>
      </c>
      <c r="L230" s="33">
        <v>0.10000000149011612</v>
      </c>
      <c r="M230" s="33">
        <v>0.80000001192092896</v>
      </c>
      <c r="N230" s="33">
        <v>0.85000002384185791</v>
      </c>
      <c r="O230" s="33">
        <v>327.39999389648438</v>
      </c>
      <c r="P230" s="33">
        <v>348</v>
      </c>
      <c r="Q230" s="33">
        <v>4.6999998092651367</v>
      </c>
      <c r="R230" s="34" t="s">
        <v>543</v>
      </c>
      <c r="S230" s="33">
        <v>0</v>
      </c>
      <c r="T230" s="35">
        <v>0</v>
      </c>
    </row>
    <row r="231" spans="1:20">
      <c r="A231" s="31">
        <v>229</v>
      </c>
      <c r="B231" s="33" t="s">
        <v>549</v>
      </c>
      <c r="C231" s="33">
        <v>100</v>
      </c>
      <c r="D231" s="33">
        <v>17</v>
      </c>
      <c r="E231" s="33">
        <v>94.400001525878906</v>
      </c>
      <c r="F231" s="33">
        <v>1.2000000476837158</v>
      </c>
      <c r="G231" s="33">
        <v>0.10000000149011612</v>
      </c>
      <c r="H231" s="33">
        <v>0.5</v>
      </c>
      <c r="I231" s="33">
        <v>1.6000000238418579</v>
      </c>
      <c r="J231" s="33">
        <v>0</v>
      </c>
      <c r="K231" s="33">
        <v>1.9999999552965164E-2</v>
      </c>
      <c r="L231" s="33">
        <v>0.15000000596046448</v>
      </c>
      <c r="M231" s="33">
        <v>1.2999999523162842</v>
      </c>
      <c r="N231" s="33">
        <v>1.8500000238418579</v>
      </c>
      <c r="O231" s="33">
        <v>8.6000003814697266</v>
      </c>
      <c r="P231" s="33">
        <v>46</v>
      </c>
      <c r="Q231" s="33">
        <v>0.89999997615814209</v>
      </c>
      <c r="R231" s="34" t="s">
        <v>543</v>
      </c>
      <c r="S231" s="33">
        <v>0</v>
      </c>
      <c r="T231" s="35">
        <v>0</v>
      </c>
    </row>
    <row r="232" spans="1:20">
      <c r="A232" s="31">
        <v>230</v>
      </c>
      <c r="B232" s="33" t="s">
        <v>550</v>
      </c>
      <c r="C232" s="33">
        <v>100</v>
      </c>
      <c r="D232" s="33">
        <v>314</v>
      </c>
      <c r="E232" s="33">
        <v>15.600000381469727</v>
      </c>
      <c r="F232" s="33">
        <v>5.4000000953674316</v>
      </c>
      <c r="G232" s="33">
        <v>0.10000000149011612</v>
      </c>
      <c r="H232" s="33">
        <v>0</v>
      </c>
      <c r="I232" s="33">
        <v>72.900001525878906</v>
      </c>
      <c r="J232" s="33">
        <v>0</v>
      </c>
      <c r="K232" s="33">
        <v>5.9999998658895493E-2</v>
      </c>
      <c r="L232" s="33">
        <v>0.20000000298023224</v>
      </c>
      <c r="M232" s="33">
        <v>3.2999999523162842</v>
      </c>
      <c r="N232" s="33">
        <v>14.840000152587891</v>
      </c>
      <c r="O232" s="33">
        <v>380.79998779296875</v>
      </c>
      <c r="P232" s="33">
        <v>167</v>
      </c>
      <c r="Q232" s="33">
        <v>2</v>
      </c>
      <c r="R232" s="34" t="s">
        <v>543</v>
      </c>
      <c r="S232" s="33">
        <v>0</v>
      </c>
      <c r="T232" s="35">
        <v>0</v>
      </c>
    </row>
    <row r="233" spans="1:20">
      <c r="A233" s="31">
        <v>231</v>
      </c>
      <c r="B233" s="33" t="s">
        <v>551</v>
      </c>
      <c r="C233" s="33">
        <v>100</v>
      </c>
      <c r="D233" s="33">
        <v>13</v>
      </c>
      <c r="E233" s="33">
        <v>92.300003051757813</v>
      </c>
      <c r="F233" s="33">
        <v>2</v>
      </c>
      <c r="G233" s="33">
        <v>0.20000000298023224</v>
      </c>
      <c r="H233" s="33">
        <v>4.1999998092651367</v>
      </c>
      <c r="I233" s="33">
        <v>0.69999998807907104</v>
      </c>
      <c r="J233" s="33">
        <v>0</v>
      </c>
      <c r="K233" s="33">
        <v>9.9999997764825821E-3</v>
      </c>
      <c r="L233" s="33">
        <v>3.9999999105930328E-2</v>
      </c>
      <c r="M233" s="33">
        <v>0.20000000298023224</v>
      </c>
      <c r="N233" s="33">
        <v>0.46000000834465027</v>
      </c>
      <c r="O233" s="33">
        <v>175.19999694824219</v>
      </c>
      <c r="P233" s="33">
        <v>19</v>
      </c>
      <c r="Q233" s="33">
        <v>2.7999999523162842</v>
      </c>
      <c r="R233" s="34" t="s">
        <v>543</v>
      </c>
      <c r="S233" s="33">
        <v>4</v>
      </c>
      <c r="T233" s="35">
        <v>0</v>
      </c>
    </row>
    <row r="234" spans="1:20">
      <c r="A234" s="31">
        <v>232</v>
      </c>
      <c r="B234" s="33" t="s">
        <v>552</v>
      </c>
      <c r="C234" s="33">
        <v>89</v>
      </c>
      <c r="D234" s="33">
        <v>166</v>
      </c>
      <c r="E234" s="33">
        <v>39.299999237060547</v>
      </c>
      <c r="F234" s="33">
        <v>16.399999618530273</v>
      </c>
      <c r="G234" s="33">
        <v>1.5</v>
      </c>
      <c r="H234" s="33">
        <v>18.299999237060547</v>
      </c>
      <c r="I234" s="33">
        <v>21.799999237060547</v>
      </c>
      <c r="J234" s="33">
        <v>12</v>
      </c>
      <c r="K234" s="33">
        <v>0.15000000596046448</v>
      </c>
      <c r="L234" s="33">
        <v>1</v>
      </c>
      <c r="M234" s="33">
        <v>5.8000001907348633</v>
      </c>
      <c r="N234" s="33">
        <v>1.2599999904632568</v>
      </c>
      <c r="O234" s="33">
        <v>0</v>
      </c>
      <c r="P234" s="33">
        <v>11</v>
      </c>
      <c r="Q234" s="33">
        <v>22.5</v>
      </c>
      <c r="R234" s="34" t="s">
        <v>543</v>
      </c>
      <c r="S234" s="33">
        <v>0</v>
      </c>
      <c r="T234" s="35">
        <v>0</v>
      </c>
    </row>
    <row r="235" spans="1:20">
      <c r="A235" s="31">
        <v>233</v>
      </c>
      <c r="B235" s="33" t="s">
        <v>553</v>
      </c>
      <c r="C235" s="33">
        <v>100</v>
      </c>
      <c r="D235" s="33">
        <v>26</v>
      </c>
      <c r="E235" s="33">
        <v>90.199996948242188</v>
      </c>
      <c r="F235" s="33">
        <v>2.4000000953674316</v>
      </c>
      <c r="G235" s="33">
        <v>0.40000000596046448</v>
      </c>
      <c r="H235" s="33">
        <v>2.7000000476837158</v>
      </c>
      <c r="I235" s="33">
        <v>3.2999999523162842</v>
      </c>
      <c r="J235" s="33">
        <v>5</v>
      </c>
      <c r="K235" s="33">
        <v>0.15000000596046448</v>
      </c>
      <c r="L235" s="33">
        <v>0.18999999761581421</v>
      </c>
      <c r="M235" s="33">
        <v>4.0999999046325684</v>
      </c>
      <c r="N235" s="33">
        <v>1.1399999856948853</v>
      </c>
      <c r="O235" s="33">
        <v>4.3000001907348633</v>
      </c>
      <c r="P235" s="33">
        <v>0</v>
      </c>
      <c r="Q235" s="33">
        <v>1.3999999761581421</v>
      </c>
      <c r="R235" s="34" t="s">
        <v>543</v>
      </c>
      <c r="S235" s="33">
        <v>2</v>
      </c>
      <c r="T235" s="35">
        <v>0</v>
      </c>
    </row>
    <row r="236" spans="1:20">
      <c r="A236" s="31">
        <v>234</v>
      </c>
      <c r="B236" s="33" t="s">
        <v>554</v>
      </c>
      <c r="C236" s="33">
        <v>100</v>
      </c>
      <c r="D236" s="33">
        <v>21</v>
      </c>
      <c r="E236" s="33">
        <v>91.599998474121094</v>
      </c>
      <c r="F236" s="33">
        <v>1</v>
      </c>
      <c r="G236" s="33">
        <v>0</v>
      </c>
      <c r="H236" s="33">
        <v>2.5</v>
      </c>
      <c r="I236" s="33">
        <v>4.1999998092651367</v>
      </c>
      <c r="J236" s="33">
        <v>0</v>
      </c>
      <c r="K236" s="33">
        <v>9.9999997764825821E-3</v>
      </c>
      <c r="L236" s="33">
        <v>9.9999997764825821E-3</v>
      </c>
      <c r="M236" s="33">
        <v>0.60000002384185791</v>
      </c>
      <c r="N236" s="33">
        <v>0.98000001907348633</v>
      </c>
      <c r="O236" s="33">
        <v>238.19999694824219</v>
      </c>
      <c r="P236" s="33">
        <v>14</v>
      </c>
      <c r="Q236" s="33">
        <v>1.1000000238418579</v>
      </c>
      <c r="R236" s="34" t="s">
        <v>543</v>
      </c>
      <c r="S236" s="33">
        <v>0</v>
      </c>
      <c r="T236" s="35">
        <v>0</v>
      </c>
    </row>
    <row r="237" spans="1:20">
      <c r="A237" s="31">
        <v>235</v>
      </c>
      <c r="B237" s="33" t="s">
        <v>555</v>
      </c>
      <c r="C237" s="33">
        <v>100</v>
      </c>
      <c r="D237" s="33">
        <v>242</v>
      </c>
      <c r="E237" s="33">
        <v>9.1999998092651367</v>
      </c>
      <c r="F237" s="33">
        <v>38.700000762939453</v>
      </c>
      <c r="G237" s="33">
        <v>3.2999999523162842</v>
      </c>
      <c r="H237" s="33">
        <v>17.200000762939453</v>
      </c>
      <c r="I237" s="33">
        <v>14.399999618530273</v>
      </c>
      <c r="J237" s="33">
        <v>0</v>
      </c>
      <c r="K237" s="33">
        <v>7.0000000298023224E-2</v>
      </c>
      <c r="L237" s="33">
        <v>7.9999998211860657E-2</v>
      </c>
      <c r="M237" s="33">
        <v>44.299999237060547</v>
      </c>
      <c r="N237" s="33">
        <v>8.5699996948242188</v>
      </c>
      <c r="O237" s="33">
        <v>5.1999998092651367</v>
      </c>
      <c r="P237" s="33">
        <v>169</v>
      </c>
      <c r="Q237" s="33">
        <v>19.399999618530273</v>
      </c>
      <c r="R237" s="34" t="s">
        <v>543</v>
      </c>
      <c r="S237" s="33">
        <v>0</v>
      </c>
      <c r="T237" s="35">
        <v>0</v>
      </c>
    </row>
    <row r="238" spans="1:20">
      <c r="A238" s="31">
        <v>236</v>
      </c>
      <c r="B238" s="33" t="s">
        <v>556</v>
      </c>
      <c r="C238" s="33">
        <v>100</v>
      </c>
      <c r="D238" s="33">
        <v>252</v>
      </c>
      <c r="E238" s="33">
        <v>13.699999809265137</v>
      </c>
      <c r="F238" s="33">
        <v>21</v>
      </c>
      <c r="G238" s="33">
        <v>4.5999999046325684</v>
      </c>
      <c r="H238" s="33">
        <v>21</v>
      </c>
      <c r="I238" s="33">
        <v>31.700000762939453</v>
      </c>
      <c r="J238" s="33">
        <v>273</v>
      </c>
      <c r="K238" s="33">
        <v>0.10000000149011612</v>
      </c>
      <c r="L238" s="33">
        <v>1.1000000238418579</v>
      </c>
      <c r="M238" s="33">
        <v>30.700000762939453</v>
      </c>
      <c r="N238" s="33">
        <v>6.179999828338623</v>
      </c>
      <c r="O238" s="33">
        <v>23.299999237060547</v>
      </c>
      <c r="P238" s="33">
        <v>127</v>
      </c>
      <c r="Q238" s="33">
        <v>0</v>
      </c>
      <c r="R238" s="34" t="s">
        <v>543</v>
      </c>
      <c r="S238" s="33">
        <v>5</v>
      </c>
      <c r="T238" s="35">
        <v>0</v>
      </c>
    </row>
    <row r="239" spans="1:20">
      <c r="A239" s="31">
        <v>237</v>
      </c>
      <c r="B239" s="33" t="s">
        <v>557</v>
      </c>
      <c r="C239" s="33">
        <v>99</v>
      </c>
      <c r="D239" s="33">
        <v>20</v>
      </c>
      <c r="E239" s="33">
        <v>92.400001525878906</v>
      </c>
      <c r="F239" s="33">
        <v>2.7000000476837158</v>
      </c>
      <c r="G239" s="33">
        <v>0.10000000149011612</v>
      </c>
      <c r="H239" s="33">
        <v>2.0999999046325684</v>
      </c>
      <c r="I239" s="33">
        <v>2</v>
      </c>
      <c r="J239" s="33">
        <v>2</v>
      </c>
      <c r="K239" s="33">
        <v>7.9999998211860657E-2</v>
      </c>
      <c r="L239" s="33">
        <v>0.34999999403953552</v>
      </c>
      <c r="M239" s="33">
        <v>4</v>
      </c>
      <c r="N239" s="33">
        <v>0.56000000238418579</v>
      </c>
      <c r="O239" s="33">
        <v>8.3000001907348633</v>
      </c>
      <c r="P239" s="33">
        <v>6</v>
      </c>
      <c r="Q239" s="33">
        <v>1.2000000476837158</v>
      </c>
      <c r="R239" s="34" t="s">
        <v>543</v>
      </c>
      <c r="S239" s="33">
        <v>2</v>
      </c>
      <c r="T239" s="35">
        <v>0</v>
      </c>
    </row>
    <row r="240" spans="1:20">
      <c r="A240" s="31">
        <v>238</v>
      </c>
      <c r="B240" s="33" t="s">
        <v>558</v>
      </c>
      <c r="C240" s="33">
        <v>100</v>
      </c>
      <c r="D240" s="33">
        <v>205</v>
      </c>
      <c r="E240" s="33">
        <v>15.5</v>
      </c>
      <c r="F240" s="33">
        <v>12.100000381469727</v>
      </c>
      <c r="G240" s="33">
        <v>1.5</v>
      </c>
      <c r="H240" s="33">
        <v>29.899999618530273</v>
      </c>
      <c r="I240" s="33">
        <v>35.700000762939453</v>
      </c>
      <c r="J240" s="33">
        <v>17</v>
      </c>
      <c r="K240" s="33">
        <v>0.17000000178813934</v>
      </c>
      <c r="L240" s="33">
        <v>0.43999999761581421</v>
      </c>
      <c r="M240" s="33">
        <v>2.5</v>
      </c>
      <c r="N240" s="33">
        <v>11.340000152587891</v>
      </c>
      <c r="O240" s="33">
        <v>48.5</v>
      </c>
      <c r="P240" s="33">
        <v>247</v>
      </c>
      <c r="Q240" s="33">
        <v>97.400001525878906</v>
      </c>
      <c r="R240" s="34" t="s">
        <v>543</v>
      </c>
      <c r="S240" s="33">
        <v>0</v>
      </c>
      <c r="T240" s="35">
        <v>0</v>
      </c>
    </row>
    <row r="241" spans="1:20">
      <c r="A241" s="31">
        <v>239</v>
      </c>
      <c r="B241" s="33" t="s">
        <v>559</v>
      </c>
      <c r="C241" s="33">
        <v>100</v>
      </c>
      <c r="D241" s="33">
        <v>21</v>
      </c>
      <c r="E241" s="33">
        <v>91.800003051757813</v>
      </c>
      <c r="F241" s="33">
        <v>1.5</v>
      </c>
      <c r="G241" s="33">
        <v>0.20000000298023224</v>
      </c>
      <c r="H241" s="33">
        <v>2.5999999046325684</v>
      </c>
      <c r="I241" s="33">
        <v>3.4000000953674316</v>
      </c>
      <c r="J241" s="33">
        <v>3</v>
      </c>
      <c r="K241" s="33">
        <v>9.9999997764825821E-3</v>
      </c>
      <c r="L241" s="33">
        <v>5.000000074505806E-2</v>
      </c>
      <c r="M241" s="33">
        <v>0.20000000298023224</v>
      </c>
      <c r="N241" s="33">
        <v>7.5100002288818359</v>
      </c>
      <c r="O241" s="33">
        <v>8.5</v>
      </c>
      <c r="P241" s="33">
        <v>34</v>
      </c>
      <c r="Q241" s="33">
        <v>5.5</v>
      </c>
      <c r="R241" s="34" t="s">
        <v>543</v>
      </c>
      <c r="S241" s="33">
        <v>1</v>
      </c>
      <c r="T241" s="35">
        <v>0</v>
      </c>
    </row>
    <row r="242" spans="1:20">
      <c r="A242" s="31">
        <v>240</v>
      </c>
      <c r="B242" s="33" t="s">
        <v>560</v>
      </c>
      <c r="C242" s="33">
        <v>93</v>
      </c>
      <c r="D242" s="33">
        <v>20</v>
      </c>
      <c r="E242" s="33">
        <v>92.5</v>
      </c>
      <c r="F242" s="33">
        <v>1.8999999761581421</v>
      </c>
      <c r="G242" s="33">
        <v>0.30000001192092896</v>
      </c>
      <c r="H242" s="33">
        <v>2.2999999523162842</v>
      </c>
      <c r="I242" s="33">
        <v>2.2999999523162842</v>
      </c>
      <c r="J242" s="33">
        <v>2</v>
      </c>
      <c r="K242" s="33">
        <v>5.9999998658895493E-2</v>
      </c>
      <c r="L242" s="33">
        <v>0.15999999642372131</v>
      </c>
      <c r="M242" s="33">
        <v>3.0999999046325684</v>
      </c>
      <c r="N242" s="33">
        <v>0.79000002145767212</v>
      </c>
      <c r="O242" s="33">
        <v>3.7999999523162842</v>
      </c>
      <c r="P242" s="33">
        <v>5</v>
      </c>
      <c r="Q242" s="33">
        <v>1</v>
      </c>
      <c r="R242" s="34" t="s">
        <v>543</v>
      </c>
      <c r="S242" s="33">
        <v>4</v>
      </c>
      <c r="T242" s="35">
        <v>0</v>
      </c>
    </row>
    <row r="243" spans="1:20">
      <c r="A243" s="31">
        <v>241</v>
      </c>
      <c r="B243" s="33" t="s">
        <v>561</v>
      </c>
      <c r="C243" s="33">
        <v>100</v>
      </c>
      <c r="D243" s="33">
        <v>207</v>
      </c>
      <c r="E243" s="33">
        <v>14.100000381469727</v>
      </c>
      <c r="F243" s="33">
        <v>22.399999618530273</v>
      </c>
      <c r="G243" s="33">
        <v>0.20000000298023224</v>
      </c>
      <c r="H243" s="33">
        <v>24.899999618530273</v>
      </c>
      <c r="I243" s="33">
        <v>29</v>
      </c>
      <c r="J243" s="33">
        <v>0</v>
      </c>
      <c r="K243" s="33">
        <v>0</v>
      </c>
      <c r="L243" s="33">
        <v>3.1099998950958252</v>
      </c>
      <c r="M243" s="33">
        <v>0</v>
      </c>
      <c r="N243" s="33">
        <v>43.400001525878906</v>
      </c>
      <c r="O243" s="33">
        <v>43.400001525878906</v>
      </c>
      <c r="P243" s="33">
        <v>17</v>
      </c>
      <c r="Q243" s="33">
        <v>113.19999694824219</v>
      </c>
      <c r="R243" s="34" t="s">
        <v>543</v>
      </c>
      <c r="S243" s="33">
        <v>0</v>
      </c>
      <c r="T243" s="35">
        <v>0</v>
      </c>
    </row>
    <row r="244" spans="1:20">
      <c r="A244" s="31">
        <v>242</v>
      </c>
      <c r="B244" s="33" t="s">
        <v>562</v>
      </c>
      <c r="C244" s="33">
        <v>100</v>
      </c>
      <c r="D244" s="33">
        <v>214</v>
      </c>
      <c r="E244" s="33">
        <v>12.300000190734863</v>
      </c>
      <c r="F244" s="33">
        <v>18.399999618530273</v>
      </c>
      <c r="G244" s="33">
        <v>0.69999998807907104</v>
      </c>
      <c r="H244" s="33">
        <v>24.600000381469727</v>
      </c>
      <c r="I244" s="33">
        <v>33.5</v>
      </c>
      <c r="J244" s="33">
        <v>0</v>
      </c>
      <c r="K244" s="33">
        <v>0</v>
      </c>
      <c r="L244" s="33">
        <v>1.1599999666213989</v>
      </c>
      <c r="M244" s="33">
        <v>0</v>
      </c>
      <c r="N244" s="33">
        <v>0</v>
      </c>
      <c r="O244" s="33">
        <v>4.3000001907348633</v>
      </c>
      <c r="P244" s="33">
        <v>14</v>
      </c>
      <c r="Q244" s="33">
        <v>235.10000610351563</v>
      </c>
      <c r="R244" s="34" t="s">
        <v>543</v>
      </c>
      <c r="S244" s="33">
        <v>0</v>
      </c>
      <c r="T244" s="35">
        <v>0</v>
      </c>
    </row>
    <row r="245" spans="1:20">
      <c r="A245" s="31">
        <v>243</v>
      </c>
      <c r="B245" s="33" t="s">
        <v>563</v>
      </c>
      <c r="C245" s="33">
        <v>100</v>
      </c>
      <c r="D245" s="33">
        <v>311</v>
      </c>
      <c r="E245" s="33">
        <v>21.100000381469727</v>
      </c>
      <c r="F245" s="33">
        <v>1.1000000238418579</v>
      </c>
      <c r="G245" s="33">
        <v>0.20000000298023224</v>
      </c>
      <c r="H245" s="33">
        <v>0.10000000149011612</v>
      </c>
      <c r="I245" s="33">
        <v>76.199996948242188</v>
      </c>
      <c r="J245" s="33">
        <v>0</v>
      </c>
      <c r="K245" s="33">
        <v>0</v>
      </c>
      <c r="L245" s="33">
        <v>0</v>
      </c>
      <c r="M245" s="33">
        <v>0</v>
      </c>
      <c r="N245" s="33">
        <v>0</v>
      </c>
      <c r="O245" s="33">
        <v>3.2999999523162842</v>
      </c>
      <c r="P245" s="33">
        <v>100</v>
      </c>
      <c r="Q245" s="33">
        <v>7</v>
      </c>
      <c r="R245" s="34" t="s">
        <v>543</v>
      </c>
      <c r="S245" s="33">
        <v>0</v>
      </c>
      <c r="T245" s="35">
        <v>0</v>
      </c>
    </row>
    <row r="246" spans="1:20">
      <c r="A246" s="31">
        <v>244</v>
      </c>
      <c r="B246" s="33" t="s">
        <v>564</v>
      </c>
      <c r="C246" s="33">
        <v>97</v>
      </c>
      <c r="D246" s="33">
        <v>22</v>
      </c>
      <c r="E246" s="33">
        <v>92.400001525878906</v>
      </c>
      <c r="F246" s="33">
        <v>4.1999998092651367</v>
      </c>
      <c r="G246" s="33">
        <v>0.10000000149011612</v>
      </c>
      <c r="H246" s="33">
        <v>1.5</v>
      </c>
      <c r="I246" s="33">
        <v>1.2000000476837158</v>
      </c>
      <c r="J246" s="33">
        <v>0</v>
      </c>
      <c r="K246" s="33">
        <v>0</v>
      </c>
      <c r="L246" s="33">
        <v>0.27000001072883606</v>
      </c>
      <c r="M246" s="33">
        <v>3.2000000476837158</v>
      </c>
      <c r="N246" s="33">
        <v>0</v>
      </c>
      <c r="O246" s="33">
        <v>2</v>
      </c>
      <c r="P246" s="33">
        <v>2</v>
      </c>
      <c r="Q246" s="33">
        <v>0.89999997615814209</v>
      </c>
      <c r="R246" s="34" t="s">
        <v>543</v>
      </c>
      <c r="S246" s="33">
        <v>0</v>
      </c>
      <c r="T246" s="35">
        <v>0</v>
      </c>
    </row>
    <row r="247" spans="1:20">
      <c r="A247" s="31">
        <v>245</v>
      </c>
      <c r="B247" s="33" t="s">
        <v>565</v>
      </c>
      <c r="C247" s="33">
        <v>100</v>
      </c>
      <c r="D247" s="33">
        <v>112</v>
      </c>
      <c r="E247" s="33">
        <v>16.100000381469727</v>
      </c>
      <c r="F247" s="33">
        <v>20.299999237060547</v>
      </c>
      <c r="G247" s="33">
        <v>3.2000000476837158</v>
      </c>
      <c r="H247" s="33">
        <v>47.799999237060547</v>
      </c>
      <c r="I247" s="33">
        <v>0.40000000596046448</v>
      </c>
      <c r="J247" s="33">
        <v>0</v>
      </c>
      <c r="K247" s="33">
        <v>9.9999997764825821E-3</v>
      </c>
      <c r="L247" s="33">
        <v>1.4800000190734863</v>
      </c>
      <c r="M247" s="33">
        <v>0</v>
      </c>
      <c r="N247" s="33">
        <v>3.0899999141693115</v>
      </c>
      <c r="O247" s="33">
        <v>4.3000001907348633</v>
      </c>
      <c r="P247" s="33">
        <v>14</v>
      </c>
      <c r="Q247" s="33">
        <v>86</v>
      </c>
      <c r="R247" s="34" t="s">
        <v>543</v>
      </c>
      <c r="S247" s="33">
        <v>0</v>
      </c>
      <c r="T247" s="35">
        <v>0</v>
      </c>
    </row>
    <row r="248" spans="1:20">
      <c r="A248" s="31">
        <v>246</v>
      </c>
      <c r="B248" s="33" t="s">
        <v>566</v>
      </c>
      <c r="C248" s="33">
        <v>100</v>
      </c>
      <c r="D248" s="33">
        <v>148</v>
      </c>
      <c r="E248" s="33">
        <v>23.700000762939453</v>
      </c>
      <c r="F248" s="33">
        <v>19</v>
      </c>
      <c r="G248" s="33">
        <v>0.40000000596046448</v>
      </c>
      <c r="H248" s="33">
        <v>9.1000003814697266</v>
      </c>
      <c r="I248" s="33">
        <v>17.200000762939453</v>
      </c>
      <c r="J248" s="33">
        <v>0</v>
      </c>
      <c r="K248" s="33">
        <v>0.34999999403953552</v>
      </c>
      <c r="L248" s="33">
        <v>0.40000000596046448</v>
      </c>
      <c r="M248" s="33">
        <v>4</v>
      </c>
      <c r="N248" s="33">
        <v>0</v>
      </c>
      <c r="O248" s="33">
        <v>4955.5</v>
      </c>
      <c r="P248" s="33">
        <v>185</v>
      </c>
      <c r="Q248" s="33">
        <v>283.70001220703125</v>
      </c>
      <c r="R248" s="34" t="s">
        <v>543</v>
      </c>
      <c r="S248" s="33">
        <v>0</v>
      </c>
      <c r="T248" s="35">
        <v>0</v>
      </c>
    </row>
    <row r="249" spans="1:20">
      <c r="A249" s="31">
        <v>247</v>
      </c>
      <c r="B249" s="33" t="s">
        <v>567</v>
      </c>
      <c r="C249" s="33">
        <v>95</v>
      </c>
      <c r="D249" s="33">
        <v>211</v>
      </c>
      <c r="E249" s="33">
        <v>12.300000190734863</v>
      </c>
      <c r="F249" s="33">
        <v>20</v>
      </c>
      <c r="G249" s="33">
        <v>1.2000000476837158</v>
      </c>
      <c r="H249" s="33">
        <v>31.600000381469727</v>
      </c>
      <c r="I249" s="33">
        <v>30.100000381469727</v>
      </c>
      <c r="J249" s="33">
        <v>3</v>
      </c>
      <c r="K249" s="33">
        <v>0.18999999761581421</v>
      </c>
      <c r="L249" s="33">
        <v>1.2599999904632568</v>
      </c>
      <c r="M249" s="33">
        <v>20.5</v>
      </c>
      <c r="N249" s="33">
        <v>0.6600000262260437</v>
      </c>
      <c r="O249" s="33">
        <v>11.199999809265137</v>
      </c>
      <c r="P249" s="33">
        <v>83</v>
      </c>
      <c r="Q249" s="33">
        <v>10.5</v>
      </c>
      <c r="R249" s="34" t="s">
        <v>543</v>
      </c>
      <c r="S249" s="33">
        <v>5</v>
      </c>
      <c r="T249" s="35">
        <v>0</v>
      </c>
    </row>
    <row r="250" spans="1:20">
      <c r="A250" s="31">
        <v>248</v>
      </c>
      <c r="B250" s="33" t="s">
        <v>568</v>
      </c>
      <c r="C250" s="33">
        <v>100</v>
      </c>
      <c r="D250" s="33">
        <v>19</v>
      </c>
      <c r="E250" s="33">
        <v>91.699996948242188</v>
      </c>
      <c r="F250" s="33">
        <v>2.2000000476837158</v>
      </c>
      <c r="G250" s="33">
        <v>0.30000001192092896</v>
      </c>
      <c r="H250" s="33">
        <v>3.2999999523162842</v>
      </c>
      <c r="I250" s="33">
        <v>1.8999999761581421</v>
      </c>
      <c r="J250" s="33">
        <v>0</v>
      </c>
      <c r="K250" s="33">
        <v>0</v>
      </c>
      <c r="L250" s="33">
        <v>7.9999998211860657E-2</v>
      </c>
      <c r="M250" s="33">
        <v>2</v>
      </c>
      <c r="N250" s="33">
        <v>0</v>
      </c>
      <c r="O250" s="33">
        <v>1.3999999761581421</v>
      </c>
      <c r="P250" s="33">
        <v>2</v>
      </c>
      <c r="Q250" s="33">
        <v>0.30000001192092896</v>
      </c>
      <c r="R250" s="34" t="s">
        <v>543</v>
      </c>
      <c r="S250" s="33">
        <v>1</v>
      </c>
      <c r="T250" s="35">
        <v>0</v>
      </c>
    </row>
    <row r="251" spans="1:20">
      <c r="A251" s="31">
        <v>249</v>
      </c>
      <c r="B251" s="33" t="s">
        <v>569</v>
      </c>
      <c r="C251" s="33">
        <v>100</v>
      </c>
      <c r="D251" s="33">
        <v>207</v>
      </c>
      <c r="E251" s="33">
        <v>15.100000381469727</v>
      </c>
      <c r="F251" s="33">
        <v>33.400001525878906</v>
      </c>
      <c r="G251" s="33">
        <v>1.5</v>
      </c>
      <c r="H251" s="33">
        <v>22.600000381469727</v>
      </c>
      <c r="I251" s="33">
        <v>15</v>
      </c>
      <c r="J251" s="33">
        <v>0</v>
      </c>
      <c r="K251" s="33">
        <v>0</v>
      </c>
      <c r="L251" s="33">
        <v>1.8999999761581421</v>
      </c>
      <c r="M251" s="33">
        <v>0</v>
      </c>
      <c r="N251" s="33">
        <v>0</v>
      </c>
      <c r="O251" s="33">
        <v>21</v>
      </c>
      <c r="P251" s="33">
        <v>15</v>
      </c>
      <c r="Q251" s="33">
        <v>137.5</v>
      </c>
      <c r="R251" s="34" t="s">
        <v>543</v>
      </c>
      <c r="S251" s="33">
        <v>0</v>
      </c>
      <c r="T251" s="35">
        <v>0</v>
      </c>
    </row>
    <row r="252" spans="1:20">
      <c r="A252" s="31">
        <v>250</v>
      </c>
      <c r="B252" s="33" t="s">
        <v>570</v>
      </c>
      <c r="C252" s="33">
        <v>100</v>
      </c>
      <c r="D252" s="33">
        <v>295</v>
      </c>
      <c r="E252" s="33">
        <v>14.300000190734863</v>
      </c>
      <c r="F252" s="33">
        <v>26.899999618530273</v>
      </c>
      <c r="G252" s="33">
        <v>7.0999999046325684</v>
      </c>
      <c r="H252" s="33">
        <v>12.899999618530273</v>
      </c>
      <c r="I252" s="33">
        <v>30.799999237060547</v>
      </c>
      <c r="J252" s="33">
        <v>209</v>
      </c>
      <c r="K252" s="33">
        <v>0.10000000149011612</v>
      </c>
      <c r="L252" s="33">
        <v>2.25</v>
      </c>
      <c r="M252" s="33">
        <v>8.8000001907348633</v>
      </c>
      <c r="N252" s="33">
        <v>3.5799999237060547</v>
      </c>
      <c r="O252" s="33">
        <v>33.599998474121094</v>
      </c>
      <c r="P252" s="33">
        <v>87</v>
      </c>
      <c r="Q252" s="33">
        <v>30.700000762939453</v>
      </c>
      <c r="R252" s="34" t="s">
        <v>543</v>
      </c>
      <c r="S252" s="33">
        <v>3</v>
      </c>
      <c r="T252" s="35">
        <v>0</v>
      </c>
    </row>
    <row r="253" spans="1:20">
      <c r="A253" s="31">
        <v>251</v>
      </c>
      <c r="B253" s="33" t="s">
        <v>571</v>
      </c>
      <c r="C253" s="33">
        <v>96</v>
      </c>
      <c r="D253" s="33">
        <v>200</v>
      </c>
      <c r="E253" s="33">
        <v>14.600000381469727</v>
      </c>
      <c r="F253" s="33">
        <v>10</v>
      </c>
      <c r="G253" s="33">
        <v>1.3999999761581421</v>
      </c>
      <c r="H253" s="33">
        <v>30.399999618530273</v>
      </c>
      <c r="I253" s="33">
        <v>36.900001525878906</v>
      </c>
      <c r="J253" s="33">
        <v>8</v>
      </c>
      <c r="K253" s="33">
        <v>5.000000074505806E-2</v>
      </c>
      <c r="L253" s="33">
        <v>0.25</v>
      </c>
      <c r="M253" s="33">
        <v>5.3000001907348633</v>
      </c>
      <c r="N253" s="33">
        <v>1.2599999904632568</v>
      </c>
      <c r="O253" s="33">
        <v>82.099998474121094</v>
      </c>
      <c r="P253" s="33">
        <v>36</v>
      </c>
      <c r="Q253" s="33">
        <v>4.0999999046325684</v>
      </c>
      <c r="R253" s="34" t="s">
        <v>543</v>
      </c>
      <c r="S253" s="33">
        <v>0</v>
      </c>
      <c r="T253" s="35">
        <v>0</v>
      </c>
    </row>
    <row r="254" spans="1:20">
      <c r="A254" s="31">
        <v>252</v>
      </c>
      <c r="B254" s="33" t="s">
        <v>572</v>
      </c>
      <c r="C254" s="33">
        <v>77</v>
      </c>
      <c r="D254" s="33">
        <v>157</v>
      </c>
      <c r="E254" s="33">
        <v>51.099998474121094</v>
      </c>
      <c r="F254" s="33">
        <v>9.5</v>
      </c>
      <c r="G254" s="33">
        <v>3.7000000476837158</v>
      </c>
      <c r="H254" s="33">
        <v>10.399999618530273</v>
      </c>
      <c r="I254" s="33">
        <v>21.5</v>
      </c>
      <c r="J254" s="33">
        <v>7</v>
      </c>
      <c r="K254" s="33">
        <v>9.9999997764825821E-3</v>
      </c>
      <c r="L254" s="33">
        <v>0.68999999761581421</v>
      </c>
      <c r="M254" s="33">
        <v>7.5</v>
      </c>
      <c r="N254" s="33">
        <v>3.3399999141693115</v>
      </c>
      <c r="O254" s="33">
        <v>0</v>
      </c>
      <c r="P254" s="33">
        <v>11</v>
      </c>
      <c r="Q254" s="33">
        <v>25.100000381469727</v>
      </c>
      <c r="R254" s="34" t="s">
        <v>543</v>
      </c>
      <c r="S254" s="33">
        <v>0</v>
      </c>
      <c r="T254" s="35">
        <v>0</v>
      </c>
    </row>
    <row r="255" spans="1:20">
      <c r="A255" s="31">
        <v>253</v>
      </c>
      <c r="B255" s="33" t="s">
        <v>573</v>
      </c>
      <c r="C255" s="33">
        <v>100</v>
      </c>
      <c r="D255" s="33">
        <v>212</v>
      </c>
      <c r="E255" s="33">
        <v>12.100000381469727</v>
      </c>
      <c r="F255" s="33">
        <v>18.299999237060547</v>
      </c>
      <c r="G255" s="33">
        <v>0.69999998807907104</v>
      </c>
      <c r="H255" s="33">
        <v>23.299999237060547</v>
      </c>
      <c r="I255" s="33">
        <v>33</v>
      </c>
      <c r="J255" s="33">
        <v>228</v>
      </c>
      <c r="K255" s="33">
        <v>0.27000001072883606</v>
      </c>
      <c r="L255" s="33">
        <v>1.9999999552965164E-2</v>
      </c>
      <c r="M255" s="33">
        <v>7.3000001907348633</v>
      </c>
      <c r="N255" s="33">
        <v>1.8200000524520874</v>
      </c>
      <c r="O255" s="33">
        <v>4.4000000953674316</v>
      </c>
      <c r="P255" s="33">
        <v>24</v>
      </c>
      <c r="Q255" s="33">
        <v>189.80000305175781</v>
      </c>
      <c r="R255" s="34" t="s">
        <v>543</v>
      </c>
      <c r="S255" s="33">
        <v>0</v>
      </c>
      <c r="T255" s="35">
        <v>0</v>
      </c>
    </row>
    <row r="256" spans="1:20">
      <c r="A256" s="31">
        <v>254</v>
      </c>
      <c r="B256" s="33" t="s">
        <v>574</v>
      </c>
      <c r="C256" s="33">
        <v>100</v>
      </c>
      <c r="D256" s="33">
        <v>207</v>
      </c>
      <c r="E256" s="33">
        <v>12.699999809265137</v>
      </c>
      <c r="F256" s="33">
        <v>26.700000762939453</v>
      </c>
      <c r="G256" s="33">
        <v>1.1000000238418579</v>
      </c>
      <c r="H256" s="33">
        <v>21.600000381469727</v>
      </c>
      <c r="I256" s="33">
        <v>22.5</v>
      </c>
      <c r="J256" s="33">
        <v>228</v>
      </c>
      <c r="K256" s="33">
        <v>0.27000001072883606</v>
      </c>
      <c r="L256" s="33">
        <v>1.0199999809265137</v>
      </c>
      <c r="M256" s="33">
        <v>7.3000001907348633</v>
      </c>
      <c r="N256" s="33">
        <v>1.8200000524520874</v>
      </c>
      <c r="O256" s="33">
        <v>710.5</v>
      </c>
      <c r="P256" s="33">
        <v>264</v>
      </c>
      <c r="Q256" s="33">
        <v>54.900001525878906</v>
      </c>
      <c r="R256" s="34" t="s">
        <v>543</v>
      </c>
      <c r="S256" s="33">
        <v>2</v>
      </c>
      <c r="T256" s="35">
        <v>0</v>
      </c>
    </row>
    <row r="257" spans="1:20">
      <c r="A257" s="31">
        <v>255</v>
      </c>
      <c r="B257" s="33" t="s">
        <v>575</v>
      </c>
      <c r="C257" s="33">
        <v>68</v>
      </c>
      <c r="D257" s="33">
        <v>109</v>
      </c>
      <c r="E257" s="33">
        <v>68.900001525878906</v>
      </c>
      <c r="F257" s="33">
        <v>1.2000000476837158</v>
      </c>
      <c r="G257" s="33">
        <v>0.10000000149011612</v>
      </c>
      <c r="H257" s="33">
        <v>3.0999999046325684</v>
      </c>
      <c r="I257" s="33">
        <v>25.799999237060547</v>
      </c>
      <c r="J257" s="33">
        <v>0</v>
      </c>
      <c r="K257" s="33">
        <v>1.9999999552965164E-2</v>
      </c>
      <c r="L257" s="33">
        <v>1.9999999552965164E-2</v>
      </c>
      <c r="M257" s="33">
        <v>0.60000002384185791</v>
      </c>
      <c r="N257" s="33">
        <v>0</v>
      </c>
      <c r="O257" s="33">
        <v>1.2999999523162842</v>
      </c>
      <c r="P257" s="33">
        <v>6</v>
      </c>
      <c r="Q257" s="33">
        <v>0.30000001192092896</v>
      </c>
      <c r="R257" s="34" t="s">
        <v>576</v>
      </c>
      <c r="S257" s="33">
        <v>0</v>
      </c>
      <c r="T257" s="35">
        <v>0</v>
      </c>
    </row>
    <row r="258" spans="1:20">
      <c r="A258" s="31">
        <v>256</v>
      </c>
      <c r="B258" s="33" t="s">
        <v>577</v>
      </c>
      <c r="C258" s="33">
        <v>68</v>
      </c>
      <c r="D258" s="33">
        <v>41</v>
      </c>
      <c r="E258" s="33">
        <v>88.400001525878906</v>
      </c>
      <c r="F258" s="33">
        <v>0.5</v>
      </c>
      <c r="G258" s="33">
        <v>0.10000000149011612</v>
      </c>
      <c r="H258" s="33">
        <v>1.2999999523162842</v>
      </c>
      <c r="I258" s="33">
        <v>9.5</v>
      </c>
      <c r="J258" s="33">
        <v>33</v>
      </c>
      <c r="K258" s="33">
        <v>3.9999999105930328E-2</v>
      </c>
      <c r="L258" s="33">
        <v>1.9999999552965164E-2</v>
      </c>
      <c r="M258" s="33">
        <v>0.20000000298023224</v>
      </c>
      <c r="N258" s="33">
        <v>0</v>
      </c>
      <c r="O258" s="33">
        <v>0.80000001192092896</v>
      </c>
      <c r="P258" s="33">
        <v>12</v>
      </c>
      <c r="Q258" s="33">
        <v>0.60000002384185791</v>
      </c>
      <c r="R258" s="34" t="s">
        <v>576</v>
      </c>
      <c r="S258" s="33">
        <v>18</v>
      </c>
      <c r="T258" s="35">
        <v>0</v>
      </c>
    </row>
    <row r="259" spans="1:20">
      <c r="A259" s="31">
        <v>257</v>
      </c>
      <c r="B259" s="33" t="s">
        <v>578</v>
      </c>
      <c r="C259" s="33">
        <v>43</v>
      </c>
      <c r="D259" s="33">
        <v>103</v>
      </c>
      <c r="E259" s="33">
        <v>73.199996948242188</v>
      </c>
      <c r="F259" s="33">
        <v>0.20000000298023224</v>
      </c>
      <c r="G259" s="33">
        <v>0.30000001192092896</v>
      </c>
      <c r="H259" s="33">
        <v>0.80000001192092896</v>
      </c>
      <c r="I259" s="33">
        <v>24.899999618530273</v>
      </c>
      <c r="J259" s="33">
        <v>0</v>
      </c>
      <c r="K259" s="33">
        <v>5.9999998658895493E-2</v>
      </c>
      <c r="L259" s="33">
        <v>5.000000074505806E-2</v>
      </c>
      <c r="M259" s="33">
        <v>0.69999998807907104</v>
      </c>
      <c r="N259" s="33">
        <v>0.51999998092651367</v>
      </c>
      <c r="O259" s="33">
        <v>11.399999618530273</v>
      </c>
      <c r="P259" s="33">
        <v>9</v>
      </c>
      <c r="Q259" s="33">
        <v>0.5</v>
      </c>
      <c r="R259" s="34" t="s">
        <v>576</v>
      </c>
      <c r="S259" s="33">
        <v>9</v>
      </c>
      <c r="T259" s="35">
        <v>0</v>
      </c>
    </row>
    <row r="260" spans="1:20">
      <c r="A260" s="31">
        <v>258</v>
      </c>
      <c r="B260" s="33" t="s">
        <v>579</v>
      </c>
      <c r="C260" s="33">
        <v>97</v>
      </c>
      <c r="D260" s="33">
        <v>160</v>
      </c>
      <c r="E260" s="33">
        <v>57</v>
      </c>
      <c r="F260" s="33">
        <v>4.9000000953674316</v>
      </c>
      <c r="G260" s="33">
        <v>0.30000001192092896</v>
      </c>
      <c r="H260" s="33">
        <v>2.2999999523162842</v>
      </c>
      <c r="I260" s="33">
        <v>34.400001525878906</v>
      </c>
      <c r="J260" s="33">
        <v>0</v>
      </c>
      <c r="K260" s="33">
        <v>0.31000000238418579</v>
      </c>
      <c r="L260" s="33">
        <v>0.15999999642372131</v>
      </c>
      <c r="M260" s="33">
        <v>0.89999997615814209</v>
      </c>
      <c r="N260" s="33">
        <v>0.11999999731779099</v>
      </c>
      <c r="O260" s="33">
        <v>11.5</v>
      </c>
      <c r="P260" s="33">
        <v>18</v>
      </c>
      <c r="Q260" s="33">
        <v>1.6000000238418579</v>
      </c>
      <c r="R260" s="34" t="s">
        <v>576</v>
      </c>
      <c r="S260" s="33">
        <v>16</v>
      </c>
      <c r="T260" s="35">
        <v>0</v>
      </c>
    </row>
    <row r="261" spans="1:20">
      <c r="A261" s="31">
        <v>259</v>
      </c>
      <c r="B261" s="33" t="s">
        <v>580</v>
      </c>
      <c r="C261" s="33">
        <v>97</v>
      </c>
      <c r="D261" s="33">
        <v>30</v>
      </c>
      <c r="E261" s="33">
        <v>91.300003051757813</v>
      </c>
      <c r="F261" s="33">
        <v>1</v>
      </c>
      <c r="G261" s="33">
        <v>0.20000000298023224</v>
      </c>
      <c r="H261" s="33">
        <v>1.1000000238418579</v>
      </c>
      <c r="I261" s="33">
        <v>6</v>
      </c>
      <c r="J261" s="33">
        <v>5</v>
      </c>
      <c r="K261" s="33">
        <v>1.9999999552965164E-2</v>
      </c>
      <c r="L261" s="33">
        <v>2.9999999329447746E-2</v>
      </c>
      <c r="M261" s="33">
        <v>0.30000001192092896</v>
      </c>
      <c r="N261" s="33">
        <v>0.70999997854232788</v>
      </c>
      <c r="O261" s="33">
        <v>4.1999998092651367</v>
      </c>
      <c r="P261" s="33">
        <v>18</v>
      </c>
      <c r="Q261" s="33">
        <v>1.7999999523162842</v>
      </c>
      <c r="R261" s="34" t="s">
        <v>576</v>
      </c>
      <c r="S261" s="33">
        <v>47</v>
      </c>
      <c r="T261" s="35">
        <v>0</v>
      </c>
    </row>
    <row r="262" spans="1:20">
      <c r="A262" s="31">
        <v>260</v>
      </c>
      <c r="B262" s="33" t="s">
        <v>581</v>
      </c>
      <c r="C262" s="33">
        <v>100</v>
      </c>
      <c r="D262" s="33">
        <v>269</v>
      </c>
      <c r="E262" s="33">
        <v>32.5</v>
      </c>
      <c r="F262" s="33">
        <v>0.80000001192092896</v>
      </c>
      <c r="G262" s="33">
        <v>0.20000000298023224</v>
      </c>
      <c r="H262" s="33">
        <v>0.20000000298023224</v>
      </c>
      <c r="I262" s="33">
        <v>66.099998474121094</v>
      </c>
      <c r="J262" s="33">
        <v>0</v>
      </c>
      <c r="K262" s="33">
        <v>0.15000000596046448</v>
      </c>
      <c r="L262" s="33">
        <v>0.10000000149011612</v>
      </c>
      <c r="M262" s="33">
        <v>0.20000000298023224</v>
      </c>
      <c r="N262" s="33">
        <v>0.49000000953674316</v>
      </c>
      <c r="O262" s="33">
        <v>8.6999998092651367</v>
      </c>
      <c r="P262" s="33">
        <v>44</v>
      </c>
      <c r="Q262" s="33">
        <v>2.0999999046325684</v>
      </c>
      <c r="R262" s="34" t="s">
        <v>576</v>
      </c>
      <c r="S262" s="33">
        <v>1</v>
      </c>
      <c r="T262" s="35">
        <v>0</v>
      </c>
    </row>
    <row r="263" spans="1:20">
      <c r="A263" s="31">
        <v>261</v>
      </c>
      <c r="B263" s="33" t="s">
        <v>582</v>
      </c>
      <c r="C263" s="33">
        <v>74</v>
      </c>
      <c r="D263" s="33">
        <v>47</v>
      </c>
      <c r="E263" s="33">
        <v>87.400001525878906</v>
      </c>
      <c r="F263" s="33">
        <v>0.80000001192092896</v>
      </c>
      <c r="G263" s="33">
        <v>0.20000000298023224</v>
      </c>
      <c r="H263" s="33">
        <v>0.60000002384185791</v>
      </c>
      <c r="I263" s="33">
        <v>10.5</v>
      </c>
      <c r="J263" s="33">
        <v>27</v>
      </c>
      <c r="K263" s="33">
        <v>5.000000074505806E-2</v>
      </c>
      <c r="L263" s="33">
        <v>3.9999999105930328E-2</v>
      </c>
      <c r="M263" s="33">
        <v>0.30000001192092896</v>
      </c>
      <c r="N263" s="33">
        <v>0.56000000238418579</v>
      </c>
      <c r="O263" s="33">
        <v>1.2000000476837158</v>
      </c>
      <c r="P263" s="33">
        <v>20</v>
      </c>
      <c r="Q263" s="33">
        <v>0.40000000596046448</v>
      </c>
      <c r="R263" s="34" t="s">
        <v>576</v>
      </c>
      <c r="S263" s="33">
        <v>33</v>
      </c>
      <c r="T263" s="35">
        <v>0</v>
      </c>
    </row>
    <row r="264" spans="1:20">
      <c r="A264" s="31">
        <v>262</v>
      </c>
      <c r="B264" s="33" t="s">
        <v>583</v>
      </c>
      <c r="C264" s="33">
        <v>95</v>
      </c>
      <c r="D264" s="33">
        <v>56</v>
      </c>
      <c r="E264" s="33">
        <v>81.699996948242188</v>
      </c>
      <c r="F264" s="33">
        <v>0.80000001192092896</v>
      </c>
      <c r="G264" s="33">
        <v>0.40000000596046448</v>
      </c>
      <c r="H264" s="33">
        <v>4.4000000953674316</v>
      </c>
      <c r="I264" s="33">
        <v>12.399999618530273</v>
      </c>
      <c r="J264" s="33">
        <v>0</v>
      </c>
      <c r="K264" s="33">
        <v>9.9999997764825821E-3</v>
      </c>
      <c r="L264" s="33">
        <v>0</v>
      </c>
      <c r="M264" s="33">
        <v>0</v>
      </c>
      <c r="N264" s="33">
        <v>2.190000057220459</v>
      </c>
      <c r="O264" s="33">
        <v>0.60000002384185791</v>
      </c>
      <c r="P264" s="33">
        <v>11</v>
      </c>
      <c r="Q264" s="33">
        <v>0.20000000298023224</v>
      </c>
      <c r="R264" s="34" t="s">
        <v>576</v>
      </c>
      <c r="S264" s="33">
        <v>0</v>
      </c>
      <c r="T264" s="35">
        <v>0</v>
      </c>
    </row>
    <row r="265" spans="1:20">
      <c r="A265" s="31">
        <v>263</v>
      </c>
      <c r="B265" s="33" t="s">
        <v>584</v>
      </c>
      <c r="C265" s="33">
        <v>97</v>
      </c>
      <c r="D265" s="33">
        <v>41</v>
      </c>
      <c r="E265" s="33">
        <v>83.900001525878906</v>
      </c>
      <c r="F265" s="33">
        <v>1.1000000238418579</v>
      </c>
      <c r="G265" s="33">
        <v>0.40000000596046448</v>
      </c>
      <c r="H265" s="33">
        <v>5.9000000953674316</v>
      </c>
      <c r="I265" s="33">
        <v>8.3000001907348633</v>
      </c>
      <c r="J265" s="33">
        <v>53</v>
      </c>
      <c r="K265" s="33">
        <v>1.9999999552965164E-2</v>
      </c>
      <c r="L265" s="33">
        <v>5.000000074505806E-2</v>
      </c>
      <c r="M265" s="33">
        <v>0.30000001192092896</v>
      </c>
      <c r="N265" s="33">
        <v>0</v>
      </c>
      <c r="O265" s="33">
        <v>3.2999999523162842</v>
      </c>
      <c r="P265" s="33">
        <v>13</v>
      </c>
      <c r="Q265" s="33">
        <v>0.20000000298023224</v>
      </c>
      <c r="R265" s="34" t="s">
        <v>576</v>
      </c>
      <c r="S265" s="33">
        <v>68</v>
      </c>
      <c r="T265" s="35">
        <v>0</v>
      </c>
    </row>
    <row r="266" spans="1:20">
      <c r="A266" s="31">
        <v>264</v>
      </c>
      <c r="B266" s="33" t="s">
        <v>585</v>
      </c>
      <c r="C266" s="33">
        <v>77</v>
      </c>
      <c r="D266" s="33">
        <v>51</v>
      </c>
      <c r="E266" s="33">
        <v>86.900001525878906</v>
      </c>
      <c r="F266" s="33">
        <v>0.69999998807907104</v>
      </c>
      <c r="G266" s="33">
        <v>0.20000000298023224</v>
      </c>
      <c r="H266" s="33">
        <v>0.40000000596046448</v>
      </c>
      <c r="I266" s="33">
        <v>11.5</v>
      </c>
      <c r="J266" s="33">
        <v>148</v>
      </c>
      <c r="K266" s="33">
        <v>7.9999998211860657E-2</v>
      </c>
      <c r="L266" s="33">
        <v>3.9999999105930328E-2</v>
      </c>
      <c r="M266" s="33">
        <v>0.40000000596046448</v>
      </c>
      <c r="N266" s="33">
        <v>0.92000001668930054</v>
      </c>
      <c r="O266" s="33">
        <v>1.3999999761581421</v>
      </c>
      <c r="P266" s="33">
        <v>35</v>
      </c>
      <c r="Q266" s="33">
        <v>0.20000000298023224</v>
      </c>
      <c r="R266" s="34" t="s">
        <v>576</v>
      </c>
      <c r="S266" s="33">
        <v>28</v>
      </c>
      <c r="T266" s="35">
        <v>0</v>
      </c>
    </row>
    <row r="267" spans="1:20">
      <c r="A267" s="31">
        <v>265</v>
      </c>
      <c r="B267" s="33" t="s">
        <v>586</v>
      </c>
      <c r="C267" s="33">
        <v>80</v>
      </c>
      <c r="D267" s="33">
        <v>49</v>
      </c>
      <c r="E267" s="33">
        <v>83.099998474121094</v>
      </c>
      <c r="F267" s="33">
        <v>0.80000001192092896</v>
      </c>
      <c r="G267" s="33">
        <v>0.20000000298023224</v>
      </c>
      <c r="H267" s="33">
        <v>4</v>
      </c>
      <c r="I267" s="33">
        <v>11.100000381469727</v>
      </c>
      <c r="J267" s="33">
        <v>22</v>
      </c>
      <c r="K267" s="33">
        <v>9.9999997764825821E-3</v>
      </c>
      <c r="L267" s="33">
        <v>9.9999997764825821E-3</v>
      </c>
      <c r="M267" s="33">
        <v>0.69999998807907104</v>
      </c>
      <c r="N267" s="33">
        <v>0</v>
      </c>
      <c r="O267" s="33">
        <v>0</v>
      </c>
      <c r="P267" s="33">
        <v>49</v>
      </c>
      <c r="Q267" s="33">
        <v>0.20000000298023224</v>
      </c>
      <c r="R267" s="34" t="s">
        <v>576</v>
      </c>
      <c r="S267" s="33">
        <v>3</v>
      </c>
      <c r="T267" s="35">
        <v>0</v>
      </c>
    </row>
    <row r="268" spans="1:20">
      <c r="A268" s="31">
        <v>266</v>
      </c>
      <c r="B268" s="33" t="s">
        <v>587</v>
      </c>
      <c r="C268" s="33">
        <v>100</v>
      </c>
      <c r="D268" s="33">
        <v>64</v>
      </c>
      <c r="E268" s="33">
        <v>83.099998474121094</v>
      </c>
      <c r="F268" s="33">
        <v>0.40000000596046448</v>
      </c>
      <c r="G268" s="33">
        <v>0.10000000149011612</v>
      </c>
      <c r="H268" s="33">
        <v>0.60000002384185791</v>
      </c>
      <c r="I268" s="33">
        <v>15.399999618530273</v>
      </c>
      <c r="J268" s="33">
        <v>2</v>
      </c>
      <c r="K268" s="33">
        <v>9.9999997764825821E-3</v>
      </c>
      <c r="L268" s="33">
        <v>1.9999999552965164E-2</v>
      </c>
      <c r="M268" s="33">
        <v>0.20000000298023224</v>
      </c>
      <c r="N268" s="33">
        <v>0</v>
      </c>
      <c r="O268" s="33">
        <v>3</v>
      </c>
      <c r="P268" s="33">
        <v>14</v>
      </c>
      <c r="Q268" s="33">
        <v>0.40000000596046448</v>
      </c>
      <c r="R268" s="34" t="s">
        <v>576</v>
      </c>
      <c r="S268" s="33">
        <v>2</v>
      </c>
      <c r="T268" s="35">
        <v>0</v>
      </c>
    </row>
    <row r="269" spans="1:20">
      <c r="A269" s="31">
        <v>267</v>
      </c>
      <c r="B269" s="33" t="s">
        <v>588</v>
      </c>
      <c r="C269" s="33">
        <v>50</v>
      </c>
      <c r="D269" s="33">
        <v>70</v>
      </c>
      <c r="E269" s="33">
        <v>81.400001525878906</v>
      </c>
      <c r="F269" s="33">
        <v>1.2000000476837158</v>
      </c>
      <c r="G269" s="33">
        <v>0.10000000149011612</v>
      </c>
      <c r="H269" s="33">
        <v>0.40000000596046448</v>
      </c>
      <c r="I269" s="33">
        <v>16.200000762939453</v>
      </c>
      <c r="J269" s="33">
        <v>3</v>
      </c>
      <c r="K269" s="33">
        <v>9.9999997764825821E-3</v>
      </c>
      <c r="L269" s="33">
        <v>0.14000000059604645</v>
      </c>
      <c r="M269" s="33">
        <v>1.2999999523162842</v>
      </c>
      <c r="N269" s="33">
        <v>0</v>
      </c>
      <c r="O269" s="33">
        <v>3.9000000953674316</v>
      </c>
      <c r="P269" s="33">
        <v>6</v>
      </c>
      <c r="Q269" s="33">
        <v>0.20000000298023224</v>
      </c>
      <c r="R269" s="34" t="s">
        <v>576</v>
      </c>
      <c r="S269" s="33">
        <v>43</v>
      </c>
      <c r="T269" s="35">
        <v>0</v>
      </c>
    </row>
    <row r="270" spans="1:20">
      <c r="A270" s="31">
        <v>268</v>
      </c>
      <c r="B270" s="33" t="s">
        <v>589</v>
      </c>
      <c r="C270" s="33">
        <v>37</v>
      </c>
      <c r="D270" s="33">
        <v>273</v>
      </c>
      <c r="E270" s="33">
        <v>26.899999618530273</v>
      </c>
      <c r="F270" s="33">
        <v>5</v>
      </c>
      <c r="G270" s="33">
        <v>0.20000000298023224</v>
      </c>
      <c r="H270" s="33">
        <v>2</v>
      </c>
      <c r="I270" s="33">
        <v>62.799999237060547</v>
      </c>
      <c r="J270" s="33">
        <v>0</v>
      </c>
      <c r="K270" s="33">
        <v>0</v>
      </c>
      <c r="L270" s="33">
        <v>0.38999998569488525</v>
      </c>
      <c r="M270" s="33">
        <v>1.2999999523162842</v>
      </c>
      <c r="N270" s="33">
        <v>0</v>
      </c>
      <c r="O270" s="33">
        <v>3.2999999523162842</v>
      </c>
      <c r="P270" s="33">
        <v>38</v>
      </c>
      <c r="Q270" s="33">
        <v>0.69999998807907104</v>
      </c>
      <c r="R270" s="34" t="s">
        <v>576</v>
      </c>
      <c r="S270" s="33">
        <v>12</v>
      </c>
      <c r="T270" s="35">
        <v>0</v>
      </c>
    </row>
    <row r="271" spans="1:20">
      <c r="A271" s="31">
        <v>269</v>
      </c>
      <c r="B271" s="33" t="s">
        <v>590</v>
      </c>
      <c r="C271" s="33">
        <v>100</v>
      </c>
      <c r="D271" s="33">
        <v>313</v>
      </c>
      <c r="E271" s="33">
        <v>17.700000762939453</v>
      </c>
      <c r="F271" s="33">
        <v>4.5999999046325684</v>
      </c>
      <c r="G271" s="33">
        <v>1</v>
      </c>
      <c r="H271" s="33">
        <v>2</v>
      </c>
      <c r="I271" s="33">
        <v>71.5</v>
      </c>
      <c r="J271" s="33">
        <v>0</v>
      </c>
      <c r="K271" s="33">
        <v>3.9999999105930328E-2</v>
      </c>
      <c r="L271" s="33">
        <v>1.0299999713897705</v>
      </c>
      <c r="M271" s="33">
        <v>8.8999996185302734</v>
      </c>
      <c r="N271" s="33">
        <v>0</v>
      </c>
      <c r="O271" s="33">
        <v>7.3000001907348633</v>
      </c>
      <c r="P271" s="33">
        <v>39</v>
      </c>
      <c r="Q271" s="33">
        <v>3.9000000953674316</v>
      </c>
      <c r="R271" s="34" t="s">
        <v>576</v>
      </c>
      <c r="S271" s="33">
        <v>27</v>
      </c>
      <c r="T271" s="35">
        <v>0</v>
      </c>
    </row>
    <row r="272" spans="1:20">
      <c r="A272" s="31">
        <v>270</v>
      </c>
      <c r="B272" s="33" t="s">
        <v>591</v>
      </c>
      <c r="C272" s="33">
        <v>100</v>
      </c>
      <c r="D272" s="33">
        <v>321</v>
      </c>
      <c r="E272" s="33">
        <v>16.700000762939453</v>
      </c>
      <c r="F272" s="33">
        <v>1</v>
      </c>
      <c r="G272" s="33">
        <v>0.80000001192092896</v>
      </c>
      <c r="H272" s="33">
        <v>2.5999999046325684</v>
      </c>
      <c r="I272" s="33">
        <v>77.400001525878906</v>
      </c>
      <c r="J272" s="33">
        <v>25</v>
      </c>
      <c r="K272" s="33">
        <v>1.9999999552965164E-2</v>
      </c>
      <c r="L272" s="33">
        <v>2.9999999329447746E-2</v>
      </c>
      <c r="M272" s="33">
        <v>0.69999998807907104</v>
      </c>
      <c r="N272" s="33">
        <v>1.8500000238418579</v>
      </c>
      <c r="O272" s="33">
        <v>115.5</v>
      </c>
      <c r="P272" s="33">
        <v>52</v>
      </c>
      <c r="Q272" s="33">
        <v>11.600000381469727</v>
      </c>
      <c r="R272" s="34" t="s">
        <v>576</v>
      </c>
      <c r="S272" s="33">
        <v>3</v>
      </c>
      <c r="T272" s="35">
        <v>0</v>
      </c>
    </row>
    <row r="273" spans="1:20">
      <c r="A273" s="31">
        <v>271</v>
      </c>
      <c r="B273" s="33" t="s">
        <v>592</v>
      </c>
      <c r="C273" s="33">
        <v>86</v>
      </c>
      <c r="D273" s="33">
        <v>73</v>
      </c>
      <c r="E273" s="33">
        <v>79.900001525878906</v>
      </c>
      <c r="F273" s="33">
        <v>0.30000001192092896</v>
      </c>
      <c r="G273" s="33">
        <v>0.20000000298023224</v>
      </c>
      <c r="H273" s="33">
        <v>1.7999999523162842</v>
      </c>
      <c r="I273" s="33">
        <v>17.399999618530273</v>
      </c>
      <c r="J273" s="33">
        <v>118</v>
      </c>
      <c r="K273" s="33">
        <v>5.000000074505806E-2</v>
      </c>
      <c r="L273" s="33">
        <v>2.9999999329447746E-2</v>
      </c>
      <c r="M273" s="33">
        <v>0.20000000298023224</v>
      </c>
      <c r="N273" s="33">
        <v>0.25</v>
      </c>
      <c r="O273" s="33">
        <v>0.60000002384185791</v>
      </c>
      <c r="P273" s="33">
        <v>15</v>
      </c>
      <c r="Q273" s="33">
        <v>0.40000000596046448</v>
      </c>
      <c r="R273" s="34" t="s">
        <v>576</v>
      </c>
      <c r="S273" s="33">
        <v>20</v>
      </c>
      <c r="T273" s="35">
        <v>0</v>
      </c>
    </row>
    <row r="274" spans="1:20">
      <c r="A274" s="31">
        <v>272</v>
      </c>
      <c r="B274" s="33" t="s">
        <v>593</v>
      </c>
      <c r="C274" s="33">
        <v>100</v>
      </c>
      <c r="D274" s="33">
        <v>286</v>
      </c>
      <c r="E274" s="33">
        <v>25.799999237060547</v>
      </c>
      <c r="F274" s="33">
        <v>0.60000002384185791</v>
      </c>
      <c r="G274" s="33">
        <v>0.20000000298023224</v>
      </c>
      <c r="H274" s="33">
        <v>2.2000000476837158</v>
      </c>
      <c r="I274" s="33">
        <v>70.400001525878906</v>
      </c>
      <c r="J274" s="33">
        <v>10</v>
      </c>
      <c r="K274" s="33">
        <v>1.9999999552965164E-2</v>
      </c>
      <c r="L274" s="33">
        <v>5.000000074505806E-2</v>
      </c>
      <c r="M274" s="33">
        <v>0.30000001192092896</v>
      </c>
      <c r="N274" s="33">
        <v>1.1100000143051147</v>
      </c>
      <c r="O274" s="33">
        <v>200.5</v>
      </c>
      <c r="P274" s="33">
        <v>19</v>
      </c>
      <c r="Q274" s="33">
        <v>3.0999999046325684</v>
      </c>
      <c r="R274" s="34" t="s">
        <v>576</v>
      </c>
      <c r="S274" s="33">
        <v>0</v>
      </c>
      <c r="T274" s="35">
        <v>0</v>
      </c>
    </row>
    <row r="275" spans="1:20">
      <c r="A275" s="31">
        <v>273</v>
      </c>
      <c r="B275" s="33" t="s">
        <v>594</v>
      </c>
      <c r="C275" s="33">
        <v>100</v>
      </c>
      <c r="D275" s="33">
        <v>53</v>
      </c>
      <c r="E275" s="33">
        <v>85.400001525878906</v>
      </c>
      <c r="F275" s="33">
        <v>0.5</v>
      </c>
      <c r="G275" s="33">
        <v>0.20000000298023224</v>
      </c>
      <c r="H275" s="33">
        <v>1.2999999523162842</v>
      </c>
      <c r="I275" s="33">
        <v>12.300000190734863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8.8000001907348633</v>
      </c>
      <c r="P275" s="33">
        <v>43</v>
      </c>
      <c r="Q275" s="33">
        <v>2.2999999523162842</v>
      </c>
      <c r="R275" s="34" t="s">
        <v>576</v>
      </c>
      <c r="S275" s="33">
        <v>0</v>
      </c>
      <c r="T275" s="35">
        <v>0</v>
      </c>
    </row>
    <row r="276" spans="1:20">
      <c r="A276" s="31">
        <v>274</v>
      </c>
      <c r="B276" s="33" t="s">
        <v>595</v>
      </c>
      <c r="C276" s="33">
        <v>98</v>
      </c>
      <c r="D276" s="33">
        <v>228</v>
      </c>
      <c r="E276" s="33">
        <v>39</v>
      </c>
      <c r="F276" s="33">
        <v>1.7000000476837158</v>
      </c>
      <c r="G276" s="33">
        <v>0.30000001192092896</v>
      </c>
      <c r="H276" s="33">
        <v>2.5999999046325684</v>
      </c>
      <c r="I276" s="33">
        <v>54.700000762939453</v>
      </c>
      <c r="J276" s="33">
        <v>7</v>
      </c>
      <c r="K276" s="33">
        <v>0</v>
      </c>
      <c r="L276" s="33">
        <v>0</v>
      </c>
      <c r="M276" s="33">
        <v>2.0999999046325684</v>
      </c>
      <c r="N276" s="33">
        <v>1.8799999952316284</v>
      </c>
      <c r="O276" s="33">
        <v>6.3000001907348633</v>
      </c>
      <c r="P276" s="33">
        <v>108</v>
      </c>
      <c r="Q276" s="33">
        <v>1.2000000476837158</v>
      </c>
      <c r="R276" s="34" t="s">
        <v>576</v>
      </c>
      <c r="S276" s="33">
        <v>0</v>
      </c>
      <c r="T276" s="35">
        <v>0</v>
      </c>
    </row>
    <row r="277" spans="1:20">
      <c r="A277" s="31">
        <v>275</v>
      </c>
      <c r="B277" s="33" t="s">
        <v>596</v>
      </c>
      <c r="C277" s="33">
        <v>76</v>
      </c>
      <c r="D277" s="33">
        <v>95</v>
      </c>
      <c r="E277" s="33">
        <v>73</v>
      </c>
      <c r="F277" s="33">
        <v>0.5</v>
      </c>
      <c r="G277" s="33">
        <v>0.60000002384185791</v>
      </c>
      <c r="H277" s="33">
        <v>3.0999999046325684</v>
      </c>
      <c r="I277" s="33">
        <v>22</v>
      </c>
      <c r="J277" s="33">
        <v>17</v>
      </c>
      <c r="K277" s="33">
        <v>1.9999999552965164E-2</v>
      </c>
      <c r="L277" s="33">
        <v>1.9999999552965164E-2</v>
      </c>
      <c r="M277" s="33">
        <v>0.40000000596046448</v>
      </c>
      <c r="N277" s="33">
        <v>7.320000171661377</v>
      </c>
      <c r="O277" s="33">
        <v>5.4000000953674316</v>
      </c>
      <c r="P277" s="33">
        <v>52</v>
      </c>
      <c r="Q277" s="33">
        <v>0.89999997615814209</v>
      </c>
      <c r="R277" s="34" t="s">
        <v>576</v>
      </c>
      <c r="S277" s="33">
        <v>53</v>
      </c>
      <c r="T277" s="35">
        <v>0</v>
      </c>
    </row>
    <row r="278" spans="1:20">
      <c r="A278" s="31">
        <v>276</v>
      </c>
      <c r="B278" s="33" t="s">
        <v>597</v>
      </c>
      <c r="C278" s="33">
        <v>100</v>
      </c>
      <c r="D278" s="33">
        <v>152</v>
      </c>
      <c r="E278" s="33">
        <v>11.100000381469727</v>
      </c>
      <c r="F278" s="33">
        <v>4.3000001907348633</v>
      </c>
      <c r="G278" s="33">
        <v>2.2000000476837158</v>
      </c>
      <c r="H278" s="33">
        <v>49.700000762939453</v>
      </c>
      <c r="I278" s="33">
        <v>28.700000762939453</v>
      </c>
      <c r="J278" s="33">
        <v>10</v>
      </c>
      <c r="K278" s="33">
        <v>1.9999999552965164E-2</v>
      </c>
      <c r="L278" s="33">
        <v>0.18000000715255737</v>
      </c>
      <c r="M278" s="33">
        <v>0.69999998807907104</v>
      </c>
      <c r="N278" s="33">
        <v>0.4699999988079071</v>
      </c>
      <c r="O278" s="33">
        <v>9.8999996185302734</v>
      </c>
      <c r="P278" s="33">
        <v>144</v>
      </c>
      <c r="Q278" s="33">
        <v>0.40000000596046448</v>
      </c>
      <c r="R278" s="34" t="s">
        <v>576</v>
      </c>
      <c r="S278" s="33">
        <v>2</v>
      </c>
      <c r="T278" s="35">
        <v>0</v>
      </c>
    </row>
    <row r="279" spans="1:20">
      <c r="A279" s="31">
        <v>277</v>
      </c>
      <c r="B279" s="33" t="s">
        <v>598</v>
      </c>
      <c r="C279" s="33">
        <v>59</v>
      </c>
      <c r="D279" s="33">
        <v>31</v>
      </c>
      <c r="E279" s="33">
        <v>87.599998474121094</v>
      </c>
      <c r="F279" s="33">
        <v>1.6000000238418579</v>
      </c>
      <c r="G279" s="33">
        <v>0.20000000298023224</v>
      </c>
      <c r="H279" s="33">
        <v>4.3000001907348633</v>
      </c>
      <c r="I279" s="33">
        <v>5.5999999046325684</v>
      </c>
      <c r="J279" s="33">
        <v>0</v>
      </c>
      <c r="K279" s="33">
        <v>0.12999999523162842</v>
      </c>
      <c r="L279" s="33">
        <v>5.9999998658895493E-2</v>
      </c>
      <c r="M279" s="33">
        <v>0</v>
      </c>
      <c r="N279" s="33">
        <v>0</v>
      </c>
      <c r="O279" s="33">
        <v>6.5</v>
      </c>
      <c r="P279" s="33">
        <v>0</v>
      </c>
      <c r="Q279" s="33">
        <v>0.40000000596046448</v>
      </c>
      <c r="R279" s="34" t="s">
        <v>576</v>
      </c>
      <c r="S279" s="33">
        <v>35</v>
      </c>
      <c r="T279" s="35">
        <v>0</v>
      </c>
    </row>
    <row r="280" spans="1:20">
      <c r="A280" s="31">
        <v>278</v>
      </c>
      <c r="B280" s="33" t="s">
        <v>599</v>
      </c>
      <c r="C280" s="33">
        <v>100</v>
      </c>
      <c r="D280" s="33">
        <v>176</v>
      </c>
      <c r="E280" s="33">
        <v>55</v>
      </c>
      <c r="F280" s="33">
        <v>0.20000000298023224</v>
      </c>
      <c r="G280" s="33">
        <v>0</v>
      </c>
      <c r="H280" s="33">
        <v>0.60000002384185791</v>
      </c>
      <c r="I280" s="33">
        <v>43.700000762939453</v>
      </c>
      <c r="J280" s="33">
        <v>3</v>
      </c>
      <c r="K280" s="33">
        <v>0.18000000715255737</v>
      </c>
      <c r="L280" s="33">
        <v>7.0000000298023224E-2</v>
      </c>
      <c r="M280" s="33">
        <v>0.10000000149011612</v>
      </c>
      <c r="N280" s="33">
        <v>0.41999998688697815</v>
      </c>
      <c r="O280" s="33">
        <v>34.299999237060547</v>
      </c>
      <c r="P280" s="33">
        <v>49</v>
      </c>
      <c r="Q280" s="33">
        <v>1.7999999523162842</v>
      </c>
      <c r="R280" s="34" t="s">
        <v>576</v>
      </c>
      <c r="S280" s="33">
        <v>4</v>
      </c>
      <c r="T280" s="35">
        <v>0</v>
      </c>
    </row>
    <row r="281" spans="1:20">
      <c r="A281" s="31">
        <v>279</v>
      </c>
      <c r="B281" s="33" t="s">
        <v>600</v>
      </c>
      <c r="C281" s="33">
        <v>100</v>
      </c>
      <c r="D281" s="33">
        <v>300</v>
      </c>
      <c r="E281" s="33">
        <v>22.600000381469727</v>
      </c>
      <c r="F281" s="33">
        <v>0.60000002384185791</v>
      </c>
      <c r="G281" s="33">
        <v>0.60000002384185791</v>
      </c>
      <c r="H281" s="33">
        <v>1.6000000238418579</v>
      </c>
      <c r="I281" s="33">
        <v>73</v>
      </c>
      <c r="J281" s="33">
        <v>10</v>
      </c>
      <c r="K281" s="33">
        <v>1.9999999552965164E-2</v>
      </c>
      <c r="L281" s="33">
        <v>7.9999998211860657E-2</v>
      </c>
      <c r="M281" s="33">
        <v>0.30000001192092896</v>
      </c>
      <c r="N281" s="33">
        <v>4.5399999618530273</v>
      </c>
      <c r="O281" s="33">
        <v>192.10000610351563</v>
      </c>
      <c r="P281" s="33">
        <v>42</v>
      </c>
      <c r="Q281" s="33">
        <v>6.3000001907348633</v>
      </c>
      <c r="R281" s="34" t="s">
        <v>576</v>
      </c>
      <c r="S281" s="33">
        <v>10</v>
      </c>
      <c r="T281" s="35">
        <v>0</v>
      </c>
    </row>
    <row r="282" spans="1:20">
      <c r="A282" s="31">
        <v>280</v>
      </c>
      <c r="B282" s="33" t="s">
        <v>601</v>
      </c>
      <c r="C282" s="33">
        <v>89</v>
      </c>
      <c r="D282" s="33">
        <v>55</v>
      </c>
      <c r="E282" s="33">
        <v>84.699996948242188</v>
      </c>
      <c r="F282" s="33">
        <v>1</v>
      </c>
      <c r="G282" s="33">
        <v>0.20000000298023224</v>
      </c>
      <c r="H282" s="33">
        <v>1.3999999761581421</v>
      </c>
      <c r="I282" s="33">
        <v>12.300000190734863</v>
      </c>
      <c r="J282" s="33">
        <v>62</v>
      </c>
      <c r="K282" s="33">
        <v>3.9999999105930328E-2</v>
      </c>
      <c r="L282" s="33">
        <v>2.9999999329447746E-2</v>
      </c>
      <c r="M282" s="33">
        <v>0.30000001192092896</v>
      </c>
      <c r="N282" s="33">
        <v>1.5800000429153442</v>
      </c>
      <c r="O282" s="33">
        <v>3</v>
      </c>
      <c r="P282" s="33">
        <v>56</v>
      </c>
      <c r="Q282" s="33">
        <v>1</v>
      </c>
      <c r="R282" s="34" t="s">
        <v>576</v>
      </c>
      <c r="S282" s="33">
        <v>35</v>
      </c>
      <c r="T282" s="35">
        <v>0</v>
      </c>
    </row>
    <row r="283" spans="1:20">
      <c r="A283" s="31">
        <v>281</v>
      </c>
      <c r="B283" s="33" t="s">
        <v>602</v>
      </c>
      <c r="C283" s="33">
        <v>78</v>
      </c>
      <c r="D283" s="33">
        <v>43</v>
      </c>
      <c r="E283" s="33">
        <v>88.599998474121094</v>
      </c>
      <c r="F283" s="33">
        <v>0.80000001192092896</v>
      </c>
      <c r="G283" s="33">
        <v>0.10000000149011612</v>
      </c>
      <c r="H283" s="33">
        <v>0.5</v>
      </c>
      <c r="I283" s="33">
        <v>9.6999998092651367</v>
      </c>
      <c r="J283" s="33">
        <v>82</v>
      </c>
      <c r="K283" s="33">
        <v>3.9999999105930328E-2</v>
      </c>
      <c r="L283" s="33">
        <v>2.9999999329447746E-2</v>
      </c>
      <c r="M283" s="33">
        <v>0.20000000298023224</v>
      </c>
      <c r="N283" s="33">
        <v>1.2200000286102295</v>
      </c>
      <c r="O283" s="33">
        <v>0.80000001192092896</v>
      </c>
      <c r="P283" s="33">
        <v>24</v>
      </c>
      <c r="Q283" s="33">
        <v>0.20000000298023224</v>
      </c>
      <c r="R283" s="34" t="s">
        <v>576</v>
      </c>
      <c r="S283" s="33">
        <v>35</v>
      </c>
      <c r="T283" s="35">
        <v>0</v>
      </c>
    </row>
    <row r="284" spans="1:20">
      <c r="A284" s="31">
        <v>282</v>
      </c>
      <c r="B284" s="33" t="s">
        <v>603</v>
      </c>
      <c r="C284" s="33">
        <v>67</v>
      </c>
      <c r="D284" s="33">
        <v>45</v>
      </c>
      <c r="E284" s="33">
        <v>88.099998474121094</v>
      </c>
      <c r="F284" s="33">
        <v>1</v>
      </c>
      <c r="G284" s="33">
        <v>0.20000000298023224</v>
      </c>
      <c r="H284" s="33">
        <v>0.40000000596046448</v>
      </c>
      <c r="I284" s="33">
        <v>9.8999996185302734</v>
      </c>
      <c r="J284" s="33">
        <v>100</v>
      </c>
      <c r="K284" s="33">
        <v>5.000000074505806E-2</v>
      </c>
      <c r="L284" s="33">
        <v>1.9999999552965164E-2</v>
      </c>
      <c r="M284" s="33">
        <v>0.30000001192092896</v>
      </c>
      <c r="N284" s="33">
        <v>0</v>
      </c>
      <c r="O284" s="33">
        <v>0.5</v>
      </c>
      <c r="P284" s="33">
        <v>27</v>
      </c>
      <c r="Q284" s="33">
        <v>0.80000001192092896</v>
      </c>
      <c r="R284" s="34" t="s">
        <v>576</v>
      </c>
      <c r="S284" s="33">
        <v>11</v>
      </c>
      <c r="T284" s="35">
        <v>0</v>
      </c>
    </row>
    <row r="285" spans="1:20">
      <c r="A285" s="31">
        <v>283</v>
      </c>
      <c r="B285" s="33" t="s">
        <v>604</v>
      </c>
      <c r="C285" s="33">
        <v>77</v>
      </c>
      <c r="D285" s="33">
        <v>43</v>
      </c>
      <c r="E285" s="33">
        <v>88.5</v>
      </c>
      <c r="F285" s="33">
        <v>0.60000002384185791</v>
      </c>
      <c r="G285" s="33">
        <v>0.20000000298023224</v>
      </c>
      <c r="H285" s="33">
        <v>0.60000002384185791</v>
      </c>
      <c r="I285" s="33">
        <v>9.6999998092651367</v>
      </c>
      <c r="J285" s="33">
        <v>87</v>
      </c>
      <c r="K285" s="33">
        <v>1.9999999552965164E-2</v>
      </c>
      <c r="L285" s="33">
        <v>2.9999999329447746E-2</v>
      </c>
      <c r="M285" s="33">
        <v>0.20000000298023224</v>
      </c>
      <c r="N285" s="33">
        <v>0</v>
      </c>
      <c r="O285" s="33">
        <v>1.2999999523162842</v>
      </c>
      <c r="P285" s="33">
        <v>45</v>
      </c>
      <c r="Q285" s="33">
        <v>1.3999999761581421</v>
      </c>
      <c r="R285" s="34" t="s">
        <v>576</v>
      </c>
      <c r="S285" s="33">
        <v>19</v>
      </c>
      <c r="T285" s="35">
        <v>0</v>
      </c>
    </row>
    <row r="286" spans="1:20">
      <c r="A286" s="31">
        <v>284</v>
      </c>
      <c r="B286" s="33" t="s">
        <v>605</v>
      </c>
      <c r="C286" s="33">
        <v>68</v>
      </c>
      <c r="D286" s="33">
        <v>41</v>
      </c>
      <c r="E286" s="33">
        <v>88.5</v>
      </c>
      <c r="F286" s="33">
        <v>0.80000001192092896</v>
      </c>
      <c r="G286" s="33">
        <v>0.30000001192092896</v>
      </c>
      <c r="H286" s="33">
        <v>1.2999999523162842</v>
      </c>
      <c r="I286" s="33">
        <v>8.6999998092651367</v>
      </c>
      <c r="J286" s="33">
        <v>0</v>
      </c>
      <c r="K286" s="33">
        <v>2.9999999329447746E-2</v>
      </c>
      <c r="L286" s="33">
        <v>1.9999999552965164E-2</v>
      </c>
      <c r="M286" s="33">
        <v>0.30000001192092896</v>
      </c>
      <c r="N286" s="33">
        <v>0.30000001192092896</v>
      </c>
      <c r="O286" s="33">
        <v>1.3999999761581421</v>
      </c>
      <c r="P286" s="33">
        <v>33</v>
      </c>
      <c r="Q286" s="33">
        <v>0.20000000298023224</v>
      </c>
      <c r="R286" s="34" t="s">
        <v>576</v>
      </c>
      <c r="S286" s="33">
        <v>3</v>
      </c>
      <c r="T286" s="35">
        <v>0</v>
      </c>
    </row>
    <row r="287" spans="1:20">
      <c r="A287" s="31">
        <v>285</v>
      </c>
      <c r="B287" s="33" t="s">
        <v>606</v>
      </c>
      <c r="C287" s="33">
        <v>78</v>
      </c>
      <c r="D287" s="33">
        <v>40</v>
      </c>
      <c r="E287" s="33">
        <v>89.099998474121094</v>
      </c>
      <c r="F287" s="33">
        <v>0.69999998807907104</v>
      </c>
      <c r="G287" s="33">
        <v>0.10000000149011612</v>
      </c>
      <c r="H287" s="33">
        <v>0.69999998807907104</v>
      </c>
      <c r="I287" s="33">
        <v>9.1000003814697266</v>
      </c>
      <c r="J287" s="33">
        <v>30</v>
      </c>
      <c r="K287" s="33">
        <v>0.23999999463558197</v>
      </c>
      <c r="L287" s="33">
        <v>3.9999999105930328E-2</v>
      </c>
      <c r="M287" s="33">
        <v>0.30000001192092896</v>
      </c>
      <c r="N287" s="33">
        <v>0.27000001072883606</v>
      </c>
      <c r="O287" s="33">
        <v>1.7000000476837158</v>
      </c>
      <c r="P287" s="33">
        <v>42</v>
      </c>
      <c r="Q287" s="33">
        <v>0.5</v>
      </c>
      <c r="R287" s="34" t="s">
        <v>576</v>
      </c>
      <c r="S287" s="33">
        <v>33</v>
      </c>
      <c r="T287" s="35">
        <v>0</v>
      </c>
    </row>
    <row r="288" spans="1:20">
      <c r="A288" s="31">
        <v>286</v>
      </c>
      <c r="B288" s="33" t="s">
        <v>607</v>
      </c>
      <c r="C288" s="33">
        <v>81</v>
      </c>
      <c r="D288" s="33">
        <v>38</v>
      </c>
      <c r="E288" s="33">
        <v>89.5</v>
      </c>
      <c r="F288" s="33">
        <v>1.1000000238418579</v>
      </c>
      <c r="G288" s="33">
        <v>0.20000000298023224</v>
      </c>
      <c r="H288" s="33">
        <v>0.89999997615814209</v>
      </c>
      <c r="I288" s="33">
        <v>7.9000000953674316</v>
      </c>
      <c r="J288" s="33">
        <v>0</v>
      </c>
      <c r="K288" s="33">
        <v>0.25</v>
      </c>
      <c r="L288" s="33">
        <v>2.9999999329447746E-2</v>
      </c>
      <c r="M288" s="33">
        <v>0.69999998807907104</v>
      </c>
      <c r="N288" s="33">
        <v>0.74000000953674316</v>
      </c>
      <c r="O288" s="33">
        <v>2.0999999046325684</v>
      </c>
      <c r="P288" s="33">
        <v>72</v>
      </c>
      <c r="Q288" s="33">
        <v>0.20000000298023224</v>
      </c>
      <c r="R288" s="34" t="s">
        <v>576</v>
      </c>
      <c r="S288" s="33">
        <v>0</v>
      </c>
      <c r="T288" s="35">
        <v>0</v>
      </c>
    </row>
    <row r="289" spans="1:20">
      <c r="A289" s="31">
        <v>287</v>
      </c>
      <c r="B289" s="33" t="s">
        <v>608</v>
      </c>
      <c r="C289" s="33">
        <v>82</v>
      </c>
      <c r="D289" s="33">
        <v>57</v>
      </c>
      <c r="E289" s="33">
        <v>85.599998474121094</v>
      </c>
      <c r="F289" s="33">
        <v>1.2000000476837158</v>
      </c>
      <c r="G289" s="33">
        <v>0.20000000298023224</v>
      </c>
      <c r="H289" s="33">
        <v>0.10000000149011612</v>
      </c>
      <c r="I289" s="33">
        <v>12.5</v>
      </c>
      <c r="J289" s="33">
        <v>857</v>
      </c>
      <c r="K289" s="33">
        <v>9.0000003576278687E-2</v>
      </c>
      <c r="L289" s="33">
        <v>2.9999999329447746E-2</v>
      </c>
      <c r="M289" s="33">
        <v>0.30000001192092896</v>
      </c>
      <c r="N289" s="33">
        <v>1.4500000476837158</v>
      </c>
      <c r="O289" s="33">
        <v>0.89999997615814209</v>
      </c>
      <c r="P289" s="33">
        <v>21</v>
      </c>
      <c r="Q289" s="33">
        <v>0.89999997615814209</v>
      </c>
      <c r="R289" s="34" t="s">
        <v>576</v>
      </c>
      <c r="S289" s="33">
        <v>25</v>
      </c>
      <c r="T289" s="35">
        <v>0</v>
      </c>
    </row>
    <row r="290" spans="1:20">
      <c r="A290" s="31">
        <v>288</v>
      </c>
      <c r="B290" s="33" t="s">
        <v>609</v>
      </c>
      <c r="C290" s="33">
        <v>76</v>
      </c>
      <c r="D290" s="33">
        <v>42</v>
      </c>
      <c r="E290" s="33">
        <v>88.199996948242188</v>
      </c>
      <c r="F290" s="33">
        <v>0.80000001192092896</v>
      </c>
      <c r="G290" s="33">
        <v>0.40000000596046448</v>
      </c>
      <c r="H290" s="33">
        <v>1.3999999761581421</v>
      </c>
      <c r="I290" s="33">
        <v>8.8999996185302734</v>
      </c>
      <c r="J290" s="33">
        <v>277</v>
      </c>
      <c r="K290" s="33">
        <v>5.000000074505806E-2</v>
      </c>
      <c r="L290" s="33">
        <v>3.9999999105930328E-2</v>
      </c>
      <c r="M290" s="33">
        <v>0.20000000298023224</v>
      </c>
      <c r="N290" s="33">
        <v>0.44999998807907104</v>
      </c>
      <c r="O290" s="33">
        <v>1.2999999523162842</v>
      </c>
      <c r="P290" s="33">
        <v>19</v>
      </c>
      <c r="Q290" s="33">
        <v>0.20000000298023224</v>
      </c>
      <c r="R290" s="34" t="s">
        <v>576</v>
      </c>
      <c r="S290" s="33">
        <v>19</v>
      </c>
      <c r="T290" s="35">
        <v>0</v>
      </c>
    </row>
    <row r="291" spans="1:20">
      <c r="A291" s="31">
        <v>289</v>
      </c>
      <c r="B291" s="33" t="s">
        <v>610</v>
      </c>
      <c r="C291" s="33">
        <v>100</v>
      </c>
      <c r="D291" s="33">
        <v>364</v>
      </c>
      <c r="E291" s="33">
        <v>5.4000000953674316</v>
      </c>
      <c r="F291" s="33">
        <v>0.60000002384185791</v>
      </c>
      <c r="G291" s="33">
        <v>0.40000000596046448</v>
      </c>
      <c r="H291" s="33">
        <v>3.5</v>
      </c>
      <c r="I291" s="33">
        <v>89.400001525878906</v>
      </c>
      <c r="J291" s="33">
        <v>43</v>
      </c>
      <c r="K291" s="33">
        <v>2.9999999329447746E-2</v>
      </c>
      <c r="L291" s="33">
        <v>0.18999999761581421</v>
      </c>
      <c r="M291" s="33">
        <v>0.60000002384185791</v>
      </c>
      <c r="N291" s="33">
        <v>0</v>
      </c>
      <c r="O291" s="33">
        <v>485.89999389648438</v>
      </c>
      <c r="P291" s="33">
        <v>125</v>
      </c>
      <c r="Q291" s="33">
        <v>0.80000001192092896</v>
      </c>
      <c r="R291" s="34" t="s">
        <v>576</v>
      </c>
      <c r="S291" s="33">
        <v>0</v>
      </c>
      <c r="T291" s="35">
        <v>0</v>
      </c>
    </row>
    <row r="292" spans="1:20">
      <c r="A292" s="31">
        <v>290</v>
      </c>
      <c r="B292" s="33" t="s">
        <v>611</v>
      </c>
      <c r="C292" s="33">
        <v>91</v>
      </c>
      <c r="D292" s="33">
        <v>36</v>
      </c>
      <c r="E292" s="33">
        <v>90</v>
      </c>
      <c r="F292" s="33">
        <v>0.69999998807907104</v>
      </c>
      <c r="G292" s="33">
        <v>0.20000000298023224</v>
      </c>
      <c r="H292" s="33">
        <v>0.89999997615814209</v>
      </c>
      <c r="I292" s="33">
        <v>7.8000001907348633</v>
      </c>
      <c r="J292" s="33">
        <v>25</v>
      </c>
      <c r="K292" s="33">
        <v>2.9999999329447746E-2</v>
      </c>
      <c r="L292" s="33">
        <v>1.9999999552965164E-2</v>
      </c>
      <c r="M292" s="33">
        <v>0.40000000596046448</v>
      </c>
      <c r="N292" s="33">
        <v>0.74000000953674316</v>
      </c>
      <c r="O292" s="33">
        <v>3.7999999523162842</v>
      </c>
      <c r="P292" s="33">
        <v>8</v>
      </c>
      <c r="Q292" s="33">
        <v>0.60000002384185791</v>
      </c>
      <c r="R292" s="34" t="s">
        <v>576</v>
      </c>
      <c r="S292" s="33">
        <v>5</v>
      </c>
      <c r="T292" s="35">
        <v>0</v>
      </c>
    </row>
    <row r="293" spans="1:20">
      <c r="A293" s="31">
        <v>291</v>
      </c>
      <c r="B293" s="33" t="s">
        <v>612</v>
      </c>
      <c r="C293" s="33">
        <v>75</v>
      </c>
      <c r="D293" s="33">
        <v>32</v>
      </c>
      <c r="E293" s="33">
        <v>90</v>
      </c>
      <c r="F293" s="33">
        <v>0.40000000596046448</v>
      </c>
      <c r="G293" s="33">
        <v>0.10000000149011612</v>
      </c>
      <c r="H293" s="33">
        <v>2</v>
      </c>
      <c r="I293" s="33">
        <v>7.3000001907348633</v>
      </c>
      <c r="J293" s="33">
        <v>0</v>
      </c>
      <c r="K293" s="33">
        <v>9.9999997764825821E-3</v>
      </c>
      <c r="L293" s="33">
        <v>3.9999999105930328E-2</v>
      </c>
      <c r="M293" s="33">
        <v>0.10000000149011612</v>
      </c>
      <c r="N293" s="33">
        <v>0</v>
      </c>
      <c r="O293" s="33">
        <v>3.9000000953674316</v>
      </c>
      <c r="P293" s="33">
        <v>11</v>
      </c>
      <c r="Q293" s="33">
        <v>0</v>
      </c>
      <c r="R293" s="34" t="s">
        <v>576</v>
      </c>
      <c r="S293" s="33">
        <v>1</v>
      </c>
      <c r="T293" s="35">
        <v>0</v>
      </c>
    </row>
    <row r="294" spans="1:20">
      <c r="A294" s="31">
        <v>292</v>
      </c>
      <c r="B294" s="33" t="s">
        <v>613</v>
      </c>
      <c r="C294" s="33">
        <v>79</v>
      </c>
      <c r="D294" s="33">
        <v>46</v>
      </c>
      <c r="E294" s="33">
        <v>86.099998474121094</v>
      </c>
      <c r="F294" s="33">
        <v>0.40000000596046448</v>
      </c>
      <c r="G294" s="33">
        <v>0.20000000298023224</v>
      </c>
      <c r="H294" s="33">
        <v>2.2000000476837158</v>
      </c>
      <c r="I294" s="33">
        <v>10.699999809265137</v>
      </c>
      <c r="J294" s="33">
        <v>2</v>
      </c>
      <c r="K294" s="33">
        <v>2.9999999329447746E-2</v>
      </c>
      <c r="L294" s="33">
        <v>5.000000074505806E-2</v>
      </c>
      <c r="M294" s="33">
        <v>0.20000000298023224</v>
      </c>
      <c r="N294" s="33">
        <v>0.51999998092651367</v>
      </c>
      <c r="O294" s="33">
        <v>1</v>
      </c>
      <c r="P294" s="33">
        <v>6</v>
      </c>
      <c r="Q294" s="33">
        <v>0.20000000298023224</v>
      </c>
      <c r="R294" s="34" t="s">
        <v>576</v>
      </c>
      <c r="S294" s="33">
        <v>11</v>
      </c>
      <c r="T294" s="35">
        <v>0</v>
      </c>
    </row>
    <row r="295" spans="1:20">
      <c r="A295" s="31">
        <v>293</v>
      </c>
      <c r="B295" s="33" t="s">
        <v>614</v>
      </c>
      <c r="C295" s="33">
        <v>87</v>
      </c>
      <c r="D295" s="33">
        <v>37</v>
      </c>
      <c r="E295" s="33">
        <v>86.199996948242188</v>
      </c>
      <c r="F295" s="33">
        <v>0.40000000596046448</v>
      </c>
      <c r="G295" s="33">
        <v>0.20000000298023224</v>
      </c>
      <c r="H295" s="33">
        <v>4.3000001907348633</v>
      </c>
      <c r="I295" s="33">
        <v>8.5</v>
      </c>
      <c r="J295" s="33">
        <v>3</v>
      </c>
      <c r="K295" s="33">
        <v>0</v>
      </c>
      <c r="L295" s="33">
        <v>2.9999999329447746E-2</v>
      </c>
      <c r="M295" s="33">
        <v>0.20000000298023224</v>
      </c>
      <c r="N295" s="33">
        <v>0</v>
      </c>
      <c r="O295" s="33">
        <v>0</v>
      </c>
      <c r="P295" s="33">
        <v>0</v>
      </c>
      <c r="Q295" s="33">
        <v>0</v>
      </c>
      <c r="R295" s="34" t="s">
        <v>576</v>
      </c>
      <c r="S295" s="33">
        <v>6</v>
      </c>
      <c r="T295" s="35">
        <v>0</v>
      </c>
    </row>
    <row r="296" spans="1:20">
      <c r="A296" s="31">
        <v>294</v>
      </c>
      <c r="B296" s="33" t="s">
        <v>615</v>
      </c>
      <c r="C296" s="33">
        <v>68</v>
      </c>
      <c r="D296" s="33">
        <v>37</v>
      </c>
      <c r="E296" s="33">
        <v>88.599998474121094</v>
      </c>
      <c r="F296" s="33">
        <v>0.30000001192092896</v>
      </c>
      <c r="G296" s="33">
        <v>0.10000000149011612</v>
      </c>
      <c r="H296" s="33">
        <v>1.8999999761581421</v>
      </c>
      <c r="I296" s="33">
        <v>8.8000001907348633</v>
      </c>
      <c r="J296" s="33">
        <v>0</v>
      </c>
      <c r="K296" s="33">
        <v>2.9999999329447746E-2</v>
      </c>
      <c r="L296" s="33">
        <v>1.9999999552965164E-2</v>
      </c>
      <c r="M296" s="33">
        <v>0</v>
      </c>
      <c r="N296" s="33">
        <v>1.7699999809265137</v>
      </c>
      <c r="O296" s="33">
        <v>1.7000000476837158</v>
      </c>
      <c r="P296" s="33">
        <v>1</v>
      </c>
      <c r="Q296" s="33">
        <v>0</v>
      </c>
      <c r="R296" s="34" t="s">
        <v>576</v>
      </c>
      <c r="S296" s="33">
        <v>8</v>
      </c>
      <c r="T296" s="35">
        <v>0</v>
      </c>
    </row>
    <row r="297" spans="1:20">
      <c r="A297" s="31">
        <v>295</v>
      </c>
      <c r="B297" s="33" t="s">
        <v>616</v>
      </c>
      <c r="C297" s="33">
        <v>92</v>
      </c>
      <c r="D297" s="33">
        <v>43</v>
      </c>
      <c r="E297" s="33">
        <v>85.800003051757813</v>
      </c>
      <c r="F297" s="33">
        <v>0.20000000298023224</v>
      </c>
      <c r="G297" s="33">
        <v>0.20000000298023224</v>
      </c>
      <c r="H297" s="33">
        <v>3.5999999046325684</v>
      </c>
      <c r="I297" s="33">
        <v>10</v>
      </c>
      <c r="J297" s="33">
        <v>7</v>
      </c>
      <c r="K297" s="33">
        <v>0</v>
      </c>
      <c r="L297" s="33">
        <v>0</v>
      </c>
      <c r="M297" s="33">
        <v>0</v>
      </c>
      <c r="N297" s="33">
        <v>0</v>
      </c>
      <c r="O297" s="33">
        <v>0.20000000298023224</v>
      </c>
      <c r="P297" s="33">
        <v>12</v>
      </c>
      <c r="Q297" s="33">
        <v>0.20000000298023224</v>
      </c>
      <c r="R297" s="34" t="s">
        <v>576</v>
      </c>
      <c r="S297" s="33">
        <v>12</v>
      </c>
      <c r="T297" s="35">
        <v>0</v>
      </c>
    </row>
    <row r="298" spans="1:20">
      <c r="A298" s="31">
        <v>296</v>
      </c>
      <c r="B298" s="33" t="s">
        <v>617</v>
      </c>
      <c r="C298" s="33">
        <v>87</v>
      </c>
      <c r="D298" s="33">
        <v>30</v>
      </c>
      <c r="E298" s="33">
        <v>89.099998474121094</v>
      </c>
      <c r="F298" s="33">
        <v>0.20000000298023224</v>
      </c>
      <c r="G298" s="33">
        <v>0</v>
      </c>
      <c r="H298" s="33">
        <v>3.2000000476837158</v>
      </c>
      <c r="I298" s="33">
        <v>7.3000001907348633</v>
      </c>
      <c r="J298" s="33">
        <v>2</v>
      </c>
      <c r="K298" s="33">
        <v>7.0000000298023224E-2</v>
      </c>
      <c r="L298" s="33">
        <v>0.46000000834465027</v>
      </c>
      <c r="M298" s="33">
        <v>0.60000002384185791</v>
      </c>
      <c r="N298" s="33">
        <v>0.46000000834465027</v>
      </c>
      <c r="O298" s="33">
        <v>3.4000000953674316</v>
      </c>
      <c r="P298" s="33">
        <v>11</v>
      </c>
      <c r="Q298" s="33">
        <v>0.40000000596046448</v>
      </c>
      <c r="R298" s="34" t="s">
        <v>576</v>
      </c>
      <c r="S298" s="33">
        <v>4</v>
      </c>
      <c r="T298" s="35">
        <v>0</v>
      </c>
    </row>
    <row r="299" spans="1:20">
      <c r="A299" s="31">
        <v>297</v>
      </c>
      <c r="B299" s="33" t="s">
        <v>618</v>
      </c>
      <c r="C299" s="33">
        <v>92</v>
      </c>
      <c r="D299" s="33">
        <v>44</v>
      </c>
      <c r="E299" s="33">
        <v>85.5</v>
      </c>
      <c r="F299" s="33">
        <v>0.20000000298023224</v>
      </c>
      <c r="G299" s="33">
        <v>0.10000000149011612</v>
      </c>
      <c r="H299" s="33">
        <v>3.2000000476837158</v>
      </c>
      <c r="I299" s="33">
        <v>10.699999809265137</v>
      </c>
      <c r="J299" s="33">
        <v>3</v>
      </c>
      <c r="K299" s="33">
        <v>0</v>
      </c>
      <c r="L299" s="33">
        <v>0</v>
      </c>
      <c r="M299" s="33">
        <v>0</v>
      </c>
      <c r="N299" s="33">
        <v>0</v>
      </c>
      <c r="O299" s="33">
        <v>0</v>
      </c>
      <c r="P299" s="33">
        <v>0</v>
      </c>
      <c r="Q299" s="33">
        <v>0</v>
      </c>
      <c r="R299" s="34" t="s">
        <v>576</v>
      </c>
      <c r="S299" s="33">
        <v>6</v>
      </c>
      <c r="T299" s="35">
        <v>0</v>
      </c>
    </row>
    <row r="300" spans="1:20">
      <c r="A300" s="31">
        <v>298</v>
      </c>
      <c r="B300" s="33" t="s">
        <v>619</v>
      </c>
      <c r="C300" s="33">
        <v>79</v>
      </c>
      <c r="D300" s="33">
        <v>54</v>
      </c>
      <c r="E300" s="33">
        <v>85.300003051757813</v>
      </c>
      <c r="F300" s="33">
        <v>0.20000000298023224</v>
      </c>
      <c r="G300" s="33">
        <v>0.5</v>
      </c>
      <c r="H300" s="33">
        <v>1.3999999761581421</v>
      </c>
      <c r="I300" s="33">
        <v>12.300000190734863</v>
      </c>
      <c r="J300" s="33">
        <v>0</v>
      </c>
      <c r="K300" s="33">
        <v>1.9999999552965164E-2</v>
      </c>
      <c r="L300" s="33">
        <v>1.9999999552965164E-2</v>
      </c>
      <c r="M300" s="33">
        <v>0.20000000298023224</v>
      </c>
      <c r="N300" s="33">
        <v>7.9999998211860657E-2</v>
      </c>
      <c r="O300" s="33">
        <v>0.69999998807907104</v>
      </c>
      <c r="P300" s="33">
        <v>7</v>
      </c>
      <c r="Q300" s="33">
        <v>0.30000001192092896</v>
      </c>
      <c r="R300" s="34" t="s">
        <v>576</v>
      </c>
      <c r="S300" s="33">
        <v>3</v>
      </c>
      <c r="T300" s="35">
        <v>0</v>
      </c>
    </row>
    <row r="301" spans="1:20">
      <c r="A301" s="31">
        <v>299</v>
      </c>
      <c r="B301" s="33" t="s">
        <v>620</v>
      </c>
      <c r="C301" s="33">
        <v>91</v>
      </c>
      <c r="D301" s="33">
        <v>28</v>
      </c>
      <c r="E301" s="33">
        <v>85.900001525878906</v>
      </c>
      <c r="F301" s="33">
        <v>0.10000000149011612</v>
      </c>
      <c r="G301" s="33">
        <v>0.10000000149011612</v>
      </c>
      <c r="H301" s="33">
        <v>6.6999998092651367</v>
      </c>
      <c r="I301" s="33">
        <v>6.6999998092651367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3.7000000476837158</v>
      </c>
      <c r="P301" s="33">
        <v>22</v>
      </c>
      <c r="Q301" s="33">
        <v>1.2000000476837158</v>
      </c>
      <c r="R301" s="34" t="s">
        <v>576</v>
      </c>
      <c r="S301" s="33">
        <v>0</v>
      </c>
      <c r="T301" s="35">
        <v>0</v>
      </c>
    </row>
    <row r="302" spans="1:20">
      <c r="A302" s="31">
        <v>300</v>
      </c>
      <c r="B302" s="33" t="s">
        <v>621</v>
      </c>
      <c r="C302" s="33">
        <v>80</v>
      </c>
      <c r="D302" s="33">
        <v>49</v>
      </c>
      <c r="E302" s="33">
        <v>84.800003051757813</v>
      </c>
      <c r="F302" s="33">
        <v>0.30000001192092896</v>
      </c>
      <c r="G302" s="33">
        <v>0.20000000298023224</v>
      </c>
      <c r="H302" s="33">
        <v>2.5999999046325684</v>
      </c>
      <c r="I302" s="33">
        <v>11.5</v>
      </c>
      <c r="J302" s="33">
        <v>0</v>
      </c>
      <c r="K302" s="33">
        <v>2.9999999329447746E-2</v>
      </c>
      <c r="L302" s="33">
        <v>1.9999999552965164E-2</v>
      </c>
      <c r="M302" s="33">
        <v>0.30000001192092896</v>
      </c>
      <c r="N302" s="33">
        <v>0.61000001430511475</v>
      </c>
      <c r="O302" s="33">
        <v>1.7999999523162842</v>
      </c>
      <c r="P302" s="33">
        <v>10</v>
      </c>
      <c r="Q302" s="33">
        <v>0.40000000596046448</v>
      </c>
      <c r="R302" s="34" t="s">
        <v>576</v>
      </c>
      <c r="S302" s="33">
        <v>3</v>
      </c>
      <c r="T302" s="35">
        <v>0</v>
      </c>
    </row>
    <row r="303" spans="1:20">
      <c r="A303" s="31">
        <v>301</v>
      </c>
      <c r="B303" s="33" t="s">
        <v>622</v>
      </c>
      <c r="C303" s="33">
        <v>91</v>
      </c>
      <c r="D303" s="33">
        <v>48</v>
      </c>
      <c r="E303" s="33">
        <v>83.699996948242188</v>
      </c>
      <c r="F303" s="33">
        <v>0.20000000298023224</v>
      </c>
      <c r="G303" s="33">
        <v>0.20000000298023224</v>
      </c>
      <c r="H303" s="33">
        <v>4.1999998092651367</v>
      </c>
      <c r="I303" s="33">
        <v>11.399999618530273</v>
      </c>
      <c r="J303" s="33">
        <v>0</v>
      </c>
      <c r="K303" s="33">
        <v>0</v>
      </c>
      <c r="L303" s="33">
        <v>0</v>
      </c>
      <c r="M303" s="33">
        <v>0</v>
      </c>
      <c r="N303" s="33">
        <v>0</v>
      </c>
      <c r="O303" s="33">
        <v>0</v>
      </c>
      <c r="P303" s="33">
        <v>0</v>
      </c>
      <c r="Q303" s="33">
        <v>0</v>
      </c>
      <c r="R303" s="34" t="s">
        <v>576</v>
      </c>
      <c r="S303" s="33">
        <v>0</v>
      </c>
      <c r="T303" s="35">
        <v>0</v>
      </c>
    </row>
    <row r="304" spans="1:20">
      <c r="A304" s="31">
        <v>302</v>
      </c>
      <c r="B304" s="33" t="s">
        <v>623</v>
      </c>
      <c r="C304" s="33">
        <v>74</v>
      </c>
      <c r="D304" s="33">
        <v>47</v>
      </c>
      <c r="E304" s="33">
        <v>86.800003051757813</v>
      </c>
      <c r="F304" s="33">
        <v>0.30000001192092896</v>
      </c>
      <c r="G304" s="33">
        <v>0.10000000149011612</v>
      </c>
      <c r="H304" s="33">
        <v>1.2999999523162842</v>
      </c>
      <c r="I304" s="33">
        <v>11.199999809265137</v>
      </c>
      <c r="J304" s="33">
        <v>0</v>
      </c>
      <c r="K304" s="33">
        <v>2.9999999329447746E-2</v>
      </c>
      <c r="L304" s="33">
        <v>2.9999999329447746E-2</v>
      </c>
      <c r="M304" s="33">
        <v>0</v>
      </c>
      <c r="N304" s="33">
        <v>1.7999999523162842</v>
      </c>
      <c r="O304" s="33">
        <v>3.2999999523162842</v>
      </c>
      <c r="P304" s="33">
        <v>2</v>
      </c>
      <c r="Q304" s="33">
        <v>0.10000000149011612</v>
      </c>
      <c r="R304" s="34" t="s">
        <v>576</v>
      </c>
      <c r="S304" s="33">
        <v>10</v>
      </c>
      <c r="T304" s="35">
        <v>0</v>
      </c>
    </row>
    <row r="305" spans="1:20">
      <c r="A305" s="31">
        <v>303</v>
      </c>
      <c r="B305" s="33" t="s">
        <v>624</v>
      </c>
      <c r="C305" s="33">
        <v>81</v>
      </c>
      <c r="D305" s="33">
        <v>53</v>
      </c>
      <c r="E305" s="33">
        <v>85.900001525878906</v>
      </c>
      <c r="F305" s="33">
        <v>0.30000001192092896</v>
      </c>
      <c r="G305" s="33">
        <v>0.20000000298023224</v>
      </c>
      <c r="H305" s="33">
        <v>0.89999997615814209</v>
      </c>
      <c r="I305" s="33">
        <v>12.399999618530273</v>
      </c>
      <c r="J305" s="33">
        <v>0</v>
      </c>
      <c r="K305" s="33">
        <v>1.9999999552965164E-2</v>
      </c>
      <c r="L305" s="33">
        <v>2.9999999329447746E-2</v>
      </c>
      <c r="M305" s="33">
        <v>0</v>
      </c>
      <c r="N305" s="33">
        <v>2.0899999141693115</v>
      </c>
      <c r="O305" s="33">
        <v>1.3999999761581421</v>
      </c>
      <c r="P305" s="33">
        <v>2</v>
      </c>
      <c r="Q305" s="33">
        <v>0.40000000596046448</v>
      </c>
      <c r="R305" s="34" t="s">
        <v>576</v>
      </c>
      <c r="S305" s="33">
        <v>6</v>
      </c>
      <c r="T305" s="35">
        <v>0</v>
      </c>
    </row>
    <row r="306" spans="1:20">
      <c r="A306" s="31">
        <v>304</v>
      </c>
      <c r="B306" s="33" t="s">
        <v>625</v>
      </c>
      <c r="C306" s="33">
        <v>80</v>
      </c>
      <c r="D306" s="33">
        <v>28</v>
      </c>
      <c r="E306" s="33">
        <v>91</v>
      </c>
      <c r="F306" s="33">
        <v>0.40000000596046448</v>
      </c>
      <c r="G306" s="33">
        <v>0.10000000149011612</v>
      </c>
      <c r="H306" s="33">
        <v>1.8999999761581421</v>
      </c>
      <c r="I306" s="33">
        <v>6.3000001907348633</v>
      </c>
      <c r="J306" s="33">
        <v>0</v>
      </c>
      <c r="K306" s="33">
        <v>9.9999997764825821E-3</v>
      </c>
      <c r="L306" s="33">
        <v>3.9999999105930328E-2</v>
      </c>
      <c r="M306" s="33">
        <v>0.10000000149011612</v>
      </c>
      <c r="N306" s="33">
        <v>0.4699999988079071</v>
      </c>
      <c r="O306" s="33">
        <v>3</v>
      </c>
      <c r="P306" s="33">
        <v>4</v>
      </c>
      <c r="Q306" s="33">
        <v>0.10000000149011612</v>
      </c>
      <c r="R306" s="34" t="s">
        <v>576</v>
      </c>
      <c r="S306" s="33">
        <v>5</v>
      </c>
      <c r="T306" s="35">
        <v>0</v>
      </c>
    </row>
    <row r="307" spans="1:20">
      <c r="A307" s="31">
        <v>305</v>
      </c>
      <c r="B307" s="33" t="s">
        <v>626</v>
      </c>
      <c r="C307" s="33">
        <v>94</v>
      </c>
      <c r="D307" s="33">
        <v>48</v>
      </c>
      <c r="E307" s="33">
        <v>85.400001525878906</v>
      </c>
      <c r="F307" s="33">
        <v>0.20000000298023224</v>
      </c>
      <c r="G307" s="33">
        <v>0.10000000149011612</v>
      </c>
      <c r="H307" s="33">
        <v>2.2999999523162842</v>
      </c>
      <c r="I307" s="33">
        <v>11.600000381469727</v>
      </c>
      <c r="J307" s="33">
        <v>5</v>
      </c>
      <c r="K307" s="33">
        <v>0</v>
      </c>
      <c r="L307" s="33">
        <v>9.9999997764825821E-3</v>
      </c>
      <c r="M307" s="33">
        <v>0.5</v>
      </c>
      <c r="N307" s="33">
        <v>0</v>
      </c>
      <c r="O307" s="33">
        <v>2.4000000953674316</v>
      </c>
      <c r="P307" s="33">
        <v>4</v>
      </c>
      <c r="Q307" s="33">
        <v>0.40000000596046448</v>
      </c>
      <c r="R307" s="34" t="s">
        <v>576</v>
      </c>
      <c r="S307" s="33">
        <v>4</v>
      </c>
      <c r="T307" s="35">
        <v>0</v>
      </c>
    </row>
    <row r="308" spans="1:20">
      <c r="A308" s="31">
        <v>306</v>
      </c>
      <c r="B308" s="33" t="s">
        <v>627</v>
      </c>
      <c r="C308" s="33">
        <v>68</v>
      </c>
      <c r="D308" s="33">
        <v>14</v>
      </c>
      <c r="E308" s="33">
        <v>87.400001525878906</v>
      </c>
      <c r="F308" s="33">
        <v>0.40000000596046448</v>
      </c>
      <c r="G308" s="33">
        <v>0.20000000298023224</v>
      </c>
      <c r="H308" s="33">
        <v>9.1000003814697266</v>
      </c>
      <c r="I308" s="33">
        <v>2.5999999046325684</v>
      </c>
      <c r="J308" s="33">
        <v>3</v>
      </c>
      <c r="K308" s="33">
        <v>0</v>
      </c>
      <c r="L308" s="33">
        <v>0</v>
      </c>
      <c r="M308" s="33">
        <v>0</v>
      </c>
      <c r="N308" s="33">
        <v>0</v>
      </c>
      <c r="O308" s="33">
        <v>1</v>
      </c>
      <c r="P308" s="33">
        <v>25</v>
      </c>
      <c r="Q308" s="33">
        <v>0.89999997615814209</v>
      </c>
      <c r="R308" s="34" t="s">
        <v>576</v>
      </c>
      <c r="S308" s="33">
        <v>0</v>
      </c>
      <c r="T308" s="35">
        <v>0</v>
      </c>
    </row>
    <row r="309" spans="1:20">
      <c r="A309" s="31">
        <v>307</v>
      </c>
      <c r="B309" s="33" t="s">
        <v>628</v>
      </c>
      <c r="C309" s="33">
        <v>88</v>
      </c>
      <c r="D309" s="33">
        <v>48</v>
      </c>
      <c r="E309" s="33">
        <v>85.599998474121094</v>
      </c>
      <c r="F309" s="33">
        <v>0.60000002384185791</v>
      </c>
      <c r="G309" s="33">
        <v>0.30000001192092896</v>
      </c>
      <c r="H309" s="33">
        <v>2.5</v>
      </c>
      <c r="I309" s="33">
        <v>10.600000381469727</v>
      </c>
      <c r="J309" s="33">
        <v>0</v>
      </c>
      <c r="K309" s="33">
        <v>9.9999997764825821E-3</v>
      </c>
      <c r="L309" s="33">
        <v>1.9999999552965164E-2</v>
      </c>
      <c r="M309" s="33">
        <v>0.40000000596046448</v>
      </c>
      <c r="N309" s="33">
        <v>0</v>
      </c>
      <c r="O309" s="33">
        <v>0</v>
      </c>
      <c r="P309" s="33">
        <v>0</v>
      </c>
      <c r="Q309" s="33">
        <v>0</v>
      </c>
      <c r="R309" s="34" t="s">
        <v>576</v>
      </c>
      <c r="S309" s="33">
        <v>5</v>
      </c>
      <c r="T309" s="35">
        <v>0</v>
      </c>
    </row>
    <row r="310" spans="1:20">
      <c r="A310" s="31">
        <v>308</v>
      </c>
      <c r="B310" s="33" t="s">
        <v>629</v>
      </c>
      <c r="C310" s="33">
        <v>72</v>
      </c>
      <c r="D310" s="33">
        <v>43</v>
      </c>
      <c r="E310" s="33">
        <v>88</v>
      </c>
      <c r="F310" s="33">
        <v>0.30000001192092896</v>
      </c>
      <c r="G310" s="33">
        <v>0.10000000149011612</v>
      </c>
      <c r="H310" s="33">
        <v>1.2000000476837158</v>
      </c>
      <c r="I310" s="33">
        <v>10.199999809265137</v>
      </c>
      <c r="J310" s="33">
        <v>0</v>
      </c>
      <c r="K310" s="33">
        <v>2.9999999329447746E-2</v>
      </c>
      <c r="L310" s="33">
        <v>1.9999999552965164E-2</v>
      </c>
      <c r="M310" s="33">
        <v>0</v>
      </c>
      <c r="N310" s="33">
        <v>1.8200000524520874</v>
      </c>
      <c r="O310" s="33">
        <v>2.2999999523162842</v>
      </c>
      <c r="P310" s="33">
        <v>2</v>
      </c>
      <c r="Q310" s="33">
        <v>0</v>
      </c>
      <c r="R310" s="34" t="s">
        <v>576</v>
      </c>
      <c r="S310" s="33">
        <v>11</v>
      </c>
      <c r="T310" s="35">
        <v>0</v>
      </c>
    </row>
    <row r="311" spans="1:20">
      <c r="A311" s="31">
        <v>309</v>
      </c>
      <c r="B311" s="33" t="s">
        <v>630</v>
      </c>
      <c r="C311" s="33">
        <v>85</v>
      </c>
      <c r="D311" s="33">
        <v>26</v>
      </c>
      <c r="E311" s="33">
        <v>89.599998474121094</v>
      </c>
      <c r="F311" s="33">
        <v>0.10000000149011612</v>
      </c>
      <c r="G311" s="33">
        <v>0.10000000149011612</v>
      </c>
      <c r="H311" s="33">
        <v>3.7000000476837158</v>
      </c>
      <c r="I311" s="33">
        <v>6.0999999046325684</v>
      </c>
      <c r="J311" s="33">
        <v>0</v>
      </c>
      <c r="K311" s="33">
        <v>2.9999999329447746E-2</v>
      </c>
      <c r="L311" s="33">
        <v>0.2199999988079071</v>
      </c>
      <c r="M311" s="33">
        <v>0.80000001192092896</v>
      </c>
      <c r="N311" s="33">
        <v>1.2799999713897705</v>
      </c>
      <c r="O311" s="33">
        <v>8.5</v>
      </c>
      <c r="P311" s="33">
        <v>12</v>
      </c>
      <c r="Q311" s="33">
        <v>0.60000002384185791</v>
      </c>
      <c r="R311" s="34" t="s">
        <v>576</v>
      </c>
      <c r="S311" s="33">
        <v>14</v>
      </c>
      <c r="T311" s="35">
        <v>0</v>
      </c>
    </row>
    <row r="312" spans="1:20">
      <c r="A312" s="31">
        <v>310</v>
      </c>
      <c r="B312" s="33" t="s">
        <v>631</v>
      </c>
      <c r="C312" s="33">
        <v>89</v>
      </c>
      <c r="D312" s="33">
        <v>46</v>
      </c>
      <c r="E312" s="33">
        <v>85.800003051757813</v>
      </c>
      <c r="F312" s="33">
        <v>0.30000001192092896</v>
      </c>
      <c r="G312" s="33">
        <v>0.10000000149011612</v>
      </c>
      <c r="H312" s="33">
        <v>2.7000000476837158</v>
      </c>
      <c r="I312" s="33">
        <v>10.899999618530273</v>
      </c>
      <c r="J312" s="33">
        <v>12</v>
      </c>
      <c r="K312" s="33">
        <v>0</v>
      </c>
      <c r="L312" s="33">
        <v>0</v>
      </c>
      <c r="M312" s="33">
        <v>0.10000000149011612</v>
      </c>
      <c r="N312" s="33">
        <v>0</v>
      </c>
      <c r="O312" s="33">
        <v>0.80000001192092896</v>
      </c>
      <c r="P312" s="33">
        <v>6</v>
      </c>
      <c r="Q312" s="33">
        <v>0.40000000596046448</v>
      </c>
      <c r="R312" s="34" t="s">
        <v>576</v>
      </c>
      <c r="S312" s="33">
        <v>0</v>
      </c>
      <c r="T312" s="35">
        <v>0</v>
      </c>
    </row>
    <row r="313" spans="1:20">
      <c r="A313" s="31">
        <v>311</v>
      </c>
      <c r="B313" s="33" t="s">
        <v>632</v>
      </c>
      <c r="C313" s="33">
        <v>86</v>
      </c>
      <c r="D313" s="33">
        <v>41</v>
      </c>
      <c r="E313" s="33">
        <v>88.800003051757813</v>
      </c>
      <c r="F313" s="33">
        <v>0.20000000298023224</v>
      </c>
      <c r="G313" s="33">
        <v>0.10000000149011612</v>
      </c>
      <c r="H313" s="33">
        <v>0.80000001192092896</v>
      </c>
      <c r="I313" s="33">
        <v>9.8000001907348633</v>
      </c>
      <c r="J313" s="33">
        <v>17</v>
      </c>
      <c r="K313" s="33">
        <v>9.9999997764825821E-3</v>
      </c>
      <c r="L313" s="33">
        <v>9.9999997764825821E-3</v>
      </c>
      <c r="M313" s="33">
        <v>0.30000001192092896</v>
      </c>
      <c r="N313" s="33">
        <v>0.18999999761581421</v>
      </c>
      <c r="O313" s="33">
        <v>0.60000002384185791</v>
      </c>
      <c r="P313" s="33">
        <v>5</v>
      </c>
      <c r="Q313" s="33">
        <v>0.30000001192092896</v>
      </c>
      <c r="R313" s="34" t="s">
        <v>576</v>
      </c>
      <c r="S313" s="33">
        <v>4</v>
      </c>
      <c r="T313" s="35">
        <v>0</v>
      </c>
    </row>
    <row r="314" spans="1:20">
      <c r="A314" s="31">
        <v>312</v>
      </c>
      <c r="B314" s="33" t="s">
        <v>633</v>
      </c>
      <c r="C314" s="33">
        <v>82</v>
      </c>
      <c r="D314" s="33">
        <v>43</v>
      </c>
      <c r="E314" s="33">
        <v>88.300003051757813</v>
      </c>
      <c r="F314" s="33">
        <v>0.20000000298023224</v>
      </c>
      <c r="G314" s="33">
        <v>0.20000000298023224</v>
      </c>
      <c r="H314" s="33">
        <v>1.1000000238418579</v>
      </c>
      <c r="I314" s="33">
        <v>10</v>
      </c>
      <c r="J314" s="33">
        <v>2</v>
      </c>
      <c r="K314" s="33">
        <v>2.9999999329447746E-2</v>
      </c>
      <c r="L314" s="33">
        <v>2.9999999329447746E-2</v>
      </c>
      <c r="M314" s="33">
        <v>0.20000000298023224</v>
      </c>
      <c r="N314" s="33">
        <v>0.31000000238418579</v>
      </c>
      <c r="O314" s="33">
        <v>1.5</v>
      </c>
      <c r="P314" s="33">
        <v>4</v>
      </c>
      <c r="Q314" s="33">
        <v>0.89999997615814209</v>
      </c>
      <c r="R314" s="34" t="s">
        <v>576</v>
      </c>
      <c r="S314" s="33">
        <v>4</v>
      </c>
      <c r="T314" s="35">
        <v>0</v>
      </c>
    </row>
    <row r="315" spans="1:20">
      <c r="A315" s="31">
        <v>313</v>
      </c>
      <c r="B315" s="33" t="s">
        <v>634</v>
      </c>
      <c r="C315" s="33">
        <v>76</v>
      </c>
      <c r="D315" s="33">
        <v>50</v>
      </c>
      <c r="E315" s="33">
        <v>82.400001525878906</v>
      </c>
      <c r="F315" s="33">
        <v>0.60000002384185791</v>
      </c>
      <c r="G315" s="33">
        <v>0.20000000298023224</v>
      </c>
      <c r="H315" s="33">
        <v>5.0999999046325684</v>
      </c>
      <c r="I315" s="33">
        <v>11.399999618530273</v>
      </c>
      <c r="J315" s="33">
        <v>0</v>
      </c>
      <c r="K315" s="33">
        <v>0</v>
      </c>
      <c r="L315" s="33">
        <v>1.9999999552965164E-2</v>
      </c>
      <c r="M315" s="33">
        <v>0.30000001192092896</v>
      </c>
      <c r="N315" s="33">
        <v>0.47999998927116394</v>
      </c>
      <c r="O315" s="33">
        <v>1</v>
      </c>
      <c r="P315" s="33">
        <v>18</v>
      </c>
      <c r="Q315" s="33">
        <v>0.20000000298023224</v>
      </c>
      <c r="R315" s="34" t="s">
        <v>576</v>
      </c>
      <c r="S315" s="33">
        <v>4</v>
      </c>
      <c r="T315" s="35">
        <v>0</v>
      </c>
    </row>
    <row r="316" spans="1:20">
      <c r="A316" s="31">
        <v>314</v>
      </c>
      <c r="B316" s="33" t="s">
        <v>635</v>
      </c>
      <c r="C316" s="33">
        <v>74</v>
      </c>
      <c r="D316" s="33">
        <v>35</v>
      </c>
      <c r="E316" s="33">
        <v>87.699996948242188</v>
      </c>
      <c r="F316" s="33">
        <v>0.5</v>
      </c>
      <c r="G316" s="33">
        <v>1.2999999523162842</v>
      </c>
      <c r="H316" s="33">
        <v>4.9000000953674316</v>
      </c>
      <c r="I316" s="33">
        <v>5.3000001907348633</v>
      </c>
      <c r="J316" s="33">
        <v>0</v>
      </c>
      <c r="K316" s="33">
        <v>9.9999997764825821E-3</v>
      </c>
      <c r="L316" s="33">
        <v>0.11999999731779099</v>
      </c>
      <c r="M316" s="33">
        <v>0.10000000149011612</v>
      </c>
      <c r="N316" s="33">
        <v>0</v>
      </c>
      <c r="O316" s="33">
        <v>5.3000001907348633</v>
      </c>
      <c r="P316" s="33">
        <v>5</v>
      </c>
      <c r="Q316" s="33">
        <v>0.20000000298023224</v>
      </c>
      <c r="R316" s="34" t="s">
        <v>576</v>
      </c>
      <c r="S316" s="33">
        <v>4</v>
      </c>
      <c r="T316" s="35">
        <v>0</v>
      </c>
    </row>
    <row r="317" spans="1:20">
      <c r="A317" s="31">
        <v>315</v>
      </c>
      <c r="B317" s="33" t="s">
        <v>636</v>
      </c>
      <c r="C317" s="33">
        <v>59</v>
      </c>
      <c r="D317" s="33">
        <v>47</v>
      </c>
      <c r="E317" s="33">
        <v>86</v>
      </c>
      <c r="F317" s="33">
        <v>0.30000001192092896</v>
      </c>
      <c r="G317" s="33">
        <v>0.10000000149011612</v>
      </c>
      <c r="H317" s="33">
        <v>2</v>
      </c>
      <c r="I317" s="33">
        <v>11.300000190734863</v>
      </c>
      <c r="J317" s="33">
        <v>0</v>
      </c>
      <c r="K317" s="33">
        <v>2.9999999329447746E-2</v>
      </c>
      <c r="L317" s="33">
        <v>3.9999999105930328E-2</v>
      </c>
      <c r="M317" s="33">
        <v>0</v>
      </c>
      <c r="N317" s="33">
        <v>3.6400001049041748</v>
      </c>
      <c r="O317" s="33">
        <v>1.7000000476837158</v>
      </c>
      <c r="P317" s="33">
        <v>1</v>
      </c>
      <c r="Q317" s="33">
        <v>0</v>
      </c>
      <c r="R317" s="34" t="s">
        <v>576</v>
      </c>
      <c r="S317" s="33">
        <v>9</v>
      </c>
      <c r="T317" s="35">
        <v>0</v>
      </c>
    </row>
    <row r="318" spans="1:20">
      <c r="A318" s="31">
        <v>316</v>
      </c>
      <c r="B318" s="33" t="s">
        <v>637</v>
      </c>
      <c r="C318" s="33">
        <v>100</v>
      </c>
      <c r="D318" s="33">
        <v>47</v>
      </c>
      <c r="E318" s="33">
        <v>83.599998474121094</v>
      </c>
      <c r="F318" s="33">
        <v>0.30000001192092896</v>
      </c>
      <c r="G318" s="33">
        <v>0</v>
      </c>
      <c r="H318" s="33">
        <v>4.5</v>
      </c>
      <c r="I318" s="33">
        <v>11.399999618530273</v>
      </c>
      <c r="J318" s="33">
        <v>0</v>
      </c>
      <c r="K318" s="33">
        <v>9.9999997764825821E-3</v>
      </c>
      <c r="L318" s="33">
        <v>0</v>
      </c>
      <c r="M318" s="33">
        <v>0</v>
      </c>
      <c r="N318" s="33">
        <v>2</v>
      </c>
      <c r="O318" s="33">
        <v>2</v>
      </c>
      <c r="P318" s="33">
        <v>16</v>
      </c>
      <c r="Q318" s="33">
        <v>1.3999999761581421</v>
      </c>
      <c r="R318" s="34" t="s">
        <v>576</v>
      </c>
      <c r="S318" s="33">
        <v>0</v>
      </c>
      <c r="T318" s="35">
        <v>0</v>
      </c>
    </row>
    <row r="319" spans="1:20">
      <c r="A319" s="31">
        <v>317</v>
      </c>
      <c r="B319" s="33" t="s">
        <v>638</v>
      </c>
      <c r="C319" s="33">
        <v>100</v>
      </c>
      <c r="D319" s="33">
        <v>33</v>
      </c>
      <c r="E319" s="33">
        <v>90.400001525878906</v>
      </c>
      <c r="F319" s="33">
        <v>0.5</v>
      </c>
      <c r="G319" s="33">
        <v>0.20000000298023224</v>
      </c>
      <c r="H319" s="33">
        <v>1.3999999761581421</v>
      </c>
      <c r="I319" s="33">
        <v>7.4000000953674316</v>
      </c>
      <c r="J319" s="33">
        <v>0</v>
      </c>
      <c r="K319" s="33">
        <v>1.9999999552965164E-2</v>
      </c>
      <c r="L319" s="33">
        <v>3.9999999105930328E-2</v>
      </c>
      <c r="M319" s="33">
        <v>0.20000000298023224</v>
      </c>
      <c r="N319" s="33">
        <v>1.9999999552965164E-2</v>
      </c>
      <c r="O319" s="33">
        <v>2.0999999046325684</v>
      </c>
      <c r="P319" s="33">
        <v>2</v>
      </c>
      <c r="Q319" s="33">
        <v>0.30000001192092896</v>
      </c>
      <c r="R319" s="34" t="s">
        <v>576</v>
      </c>
      <c r="S319" s="33">
        <v>0</v>
      </c>
      <c r="T319" s="35">
        <v>0</v>
      </c>
    </row>
    <row r="320" spans="1:20">
      <c r="A320" s="31">
        <v>318</v>
      </c>
      <c r="B320" s="33" t="s">
        <v>639</v>
      </c>
      <c r="C320" s="33">
        <v>73</v>
      </c>
      <c r="D320" s="33">
        <v>70</v>
      </c>
      <c r="E320" s="33">
        <v>81.900001525878906</v>
      </c>
      <c r="F320" s="33">
        <v>0.89999997615814209</v>
      </c>
      <c r="G320" s="33">
        <v>0.20000000298023224</v>
      </c>
      <c r="H320" s="33">
        <v>0.5</v>
      </c>
      <c r="I320" s="33">
        <v>16.100000381469727</v>
      </c>
      <c r="J320" s="33">
        <v>2</v>
      </c>
      <c r="K320" s="33">
        <v>0.10000000149011612</v>
      </c>
      <c r="L320" s="33">
        <v>3.9999999105930328E-2</v>
      </c>
      <c r="M320" s="33">
        <v>1.1000000238418579</v>
      </c>
      <c r="N320" s="33">
        <v>0</v>
      </c>
      <c r="O320" s="33">
        <v>1.7000000476837158</v>
      </c>
      <c r="P320" s="33">
        <v>2</v>
      </c>
      <c r="Q320" s="33">
        <v>0.40000000596046448</v>
      </c>
      <c r="R320" s="34" t="s">
        <v>576</v>
      </c>
      <c r="S320" s="33">
        <v>41</v>
      </c>
      <c r="T320" s="35">
        <v>0</v>
      </c>
    </row>
    <row r="321" spans="1:20">
      <c r="A321" s="31">
        <v>319</v>
      </c>
      <c r="B321" s="33" t="s">
        <v>640</v>
      </c>
      <c r="C321" s="33">
        <v>60</v>
      </c>
      <c r="D321" s="33">
        <v>32</v>
      </c>
      <c r="E321" s="33">
        <v>90.599998474121094</v>
      </c>
      <c r="F321" s="33">
        <v>0.60000002384185791</v>
      </c>
      <c r="G321" s="33">
        <v>0.20000000298023224</v>
      </c>
      <c r="H321" s="33">
        <v>1.2999999523162842</v>
      </c>
      <c r="I321" s="33">
        <v>7</v>
      </c>
      <c r="J321" s="33">
        <v>1342</v>
      </c>
      <c r="K321" s="33">
        <v>9.9999997764825821E-3</v>
      </c>
      <c r="L321" s="33">
        <v>3.9999999105930328E-2</v>
      </c>
      <c r="M321" s="33">
        <v>0.30000001192092896</v>
      </c>
      <c r="N321" s="33">
        <v>1.2100000381469727</v>
      </c>
      <c r="O321" s="33">
        <v>2.7999999523162842</v>
      </c>
      <c r="P321" s="33">
        <v>0</v>
      </c>
      <c r="Q321" s="33">
        <v>0.20000000298023224</v>
      </c>
      <c r="R321" s="34" t="s">
        <v>576</v>
      </c>
      <c r="S321" s="33">
        <v>23</v>
      </c>
      <c r="T321" s="35">
        <v>0</v>
      </c>
    </row>
    <row r="322" spans="1:20">
      <c r="A322" s="31">
        <v>320</v>
      </c>
      <c r="B322" s="33" t="s">
        <v>641</v>
      </c>
      <c r="C322" s="33">
        <v>60</v>
      </c>
      <c r="D322" s="33">
        <v>84</v>
      </c>
      <c r="E322" s="33">
        <v>74.5</v>
      </c>
      <c r="F322" s="33">
        <v>1.6000000238418579</v>
      </c>
      <c r="G322" s="33">
        <v>0.5</v>
      </c>
      <c r="H322" s="33">
        <v>3.2999999523162842</v>
      </c>
      <c r="I322" s="33">
        <v>18.399999618530273</v>
      </c>
      <c r="J322" s="33">
        <v>22</v>
      </c>
      <c r="K322" s="33">
        <v>2.9999999329447746E-2</v>
      </c>
      <c r="L322" s="33">
        <v>0</v>
      </c>
      <c r="M322" s="33">
        <v>0</v>
      </c>
      <c r="N322" s="33">
        <v>4.1100001335144043</v>
      </c>
      <c r="O322" s="33">
        <v>3.7999999523162842</v>
      </c>
      <c r="P322" s="33">
        <v>206</v>
      </c>
      <c r="Q322" s="33">
        <v>4.3000001907348633</v>
      </c>
      <c r="R322" s="34" t="s">
        <v>576</v>
      </c>
      <c r="S322" s="33">
        <v>0</v>
      </c>
      <c r="T322" s="35">
        <v>0</v>
      </c>
    </row>
    <row r="323" spans="1:20">
      <c r="A323" s="31">
        <v>321</v>
      </c>
      <c r="B323" s="33" t="s">
        <v>642</v>
      </c>
      <c r="C323" s="33">
        <v>100</v>
      </c>
      <c r="D323" s="33">
        <v>336</v>
      </c>
      <c r="E323" s="33">
        <v>15.399999618530273</v>
      </c>
      <c r="F323" s="33">
        <v>0.89999997615814209</v>
      </c>
      <c r="G323" s="33">
        <v>0.20000000298023224</v>
      </c>
      <c r="H323" s="33">
        <v>0.69999998807907104</v>
      </c>
      <c r="I323" s="33">
        <v>82.599998474121094</v>
      </c>
      <c r="J323" s="33">
        <v>0</v>
      </c>
      <c r="K323" s="33">
        <v>9.9999997764825821E-3</v>
      </c>
      <c r="L323" s="33">
        <v>0</v>
      </c>
      <c r="M323" s="33">
        <v>0</v>
      </c>
      <c r="N323" s="33">
        <v>0</v>
      </c>
      <c r="O323" s="33">
        <v>16.399999618530273</v>
      </c>
      <c r="P323" s="33">
        <v>176</v>
      </c>
      <c r="Q323" s="33">
        <v>0</v>
      </c>
      <c r="R323" s="34" t="s">
        <v>576</v>
      </c>
      <c r="S323" s="33">
        <v>7</v>
      </c>
      <c r="T323" s="35">
        <v>0</v>
      </c>
    </row>
    <row r="324" spans="1:20">
      <c r="A324" s="31">
        <v>322</v>
      </c>
      <c r="B324" s="33" t="s">
        <v>643</v>
      </c>
      <c r="C324" s="33">
        <v>66</v>
      </c>
      <c r="D324" s="33">
        <v>35</v>
      </c>
      <c r="E324" s="33">
        <v>91</v>
      </c>
      <c r="F324" s="33">
        <v>1.1000000238418579</v>
      </c>
      <c r="G324" s="33">
        <v>1.2000000476837158</v>
      </c>
      <c r="H324" s="33">
        <v>1.2999999523162842</v>
      </c>
      <c r="I324" s="33">
        <v>4.9000000953674316</v>
      </c>
      <c r="J324" s="33">
        <v>0</v>
      </c>
      <c r="K324" s="33">
        <v>5.000000074505806E-2</v>
      </c>
      <c r="L324" s="33">
        <v>1.9999999552965164E-2</v>
      </c>
      <c r="M324" s="33">
        <v>0.60000002384185791</v>
      </c>
      <c r="N324" s="33">
        <v>1.1399999856948853</v>
      </c>
      <c r="O324" s="33">
        <v>1.1000000238418579</v>
      </c>
      <c r="P324" s="33">
        <v>101</v>
      </c>
      <c r="Q324" s="33">
        <v>0.80000001192092896</v>
      </c>
      <c r="R324" s="34" t="s">
        <v>576</v>
      </c>
      <c r="S324" s="33">
        <v>22</v>
      </c>
      <c r="T324" s="35">
        <v>0</v>
      </c>
    </row>
    <row r="325" spans="1:20">
      <c r="A325" s="31">
        <v>323</v>
      </c>
      <c r="B325" s="33" t="s">
        <v>644</v>
      </c>
      <c r="C325" s="33">
        <v>100</v>
      </c>
      <c r="D325" s="33">
        <v>26</v>
      </c>
      <c r="E325" s="33">
        <v>93.099998474121094</v>
      </c>
      <c r="F325" s="33">
        <v>0.89999997615814209</v>
      </c>
      <c r="G325" s="33">
        <v>0.20000000298023224</v>
      </c>
      <c r="H325" s="33">
        <v>0.30000001192092896</v>
      </c>
      <c r="I325" s="33">
        <v>5.1999998092651367</v>
      </c>
      <c r="J325" s="33">
        <v>0</v>
      </c>
      <c r="K325" s="33">
        <v>9.9999997764825821E-3</v>
      </c>
      <c r="L325" s="33">
        <v>1.9999999552965164E-2</v>
      </c>
      <c r="M325" s="33">
        <v>0.10000000149011612</v>
      </c>
      <c r="N325" s="33">
        <v>0</v>
      </c>
      <c r="O325" s="33">
        <v>1.2000000476837158</v>
      </c>
      <c r="P325" s="33">
        <v>24</v>
      </c>
      <c r="Q325" s="33">
        <v>0.10000000149011612</v>
      </c>
      <c r="R325" s="34" t="s">
        <v>576</v>
      </c>
      <c r="S325" s="33">
        <v>11</v>
      </c>
      <c r="T325" s="35">
        <v>0</v>
      </c>
    </row>
    <row r="326" spans="1:20">
      <c r="A326" s="31">
        <v>324</v>
      </c>
      <c r="B326" s="33" t="s">
        <v>645</v>
      </c>
      <c r="C326" s="33">
        <v>62</v>
      </c>
      <c r="D326" s="33">
        <v>39</v>
      </c>
      <c r="E326" s="33">
        <v>89.300003051757813</v>
      </c>
      <c r="F326" s="33">
        <v>0.80000001192092896</v>
      </c>
      <c r="G326" s="33">
        <v>0.20000000298023224</v>
      </c>
      <c r="H326" s="33">
        <v>0.80000001192092896</v>
      </c>
      <c r="I326" s="33">
        <v>8.5</v>
      </c>
      <c r="J326" s="33">
        <v>117</v>
      </c>
      <c r="K326" s="33">
        <v>9.9999997764825821E-3</v>
      </c>
      <c r="L326" s="33">
        <v>2.9999999329447746E-2</v>
      </c>
      <c r="M326" s="33">
        <v>0.30000001192092896</v>
      </c>
      <c r="N326" s="33">
        <v>0.23999999463558197</v>
      </c>
      <c r="O326" s="33">
        <v>4</v>
      </c>
      <c r="P326" s="33">
        <v>17</v>
      </c>
      <c r="Q326" s="33">
        <v>1.1000000238418579</v>
      </c>
      <c r="R326" s="34" t="s">
        <v>576</v>
      </c>
      <c r="S326" s="33">
        <v>8</v>
      </c>
      <c r="T326" s="35">
        <v>0</v>
      </c>
    </row>
    <row r="327" spans="1:20">
      <c r="A327" s="31">
        <v>325</v>
      </c>
      <c r="B327" s="33" t="s">
        <v>646</v>
      </c>
      <c r="C327" s="33">
        <v>76</v>
      </c>
      <c r="D327" s="33">
        <v>52</v>
      </c>
      <c r="E327" s="33">
        <v>85.900001525878906</v>
      </c>
      <c r="F327" s="33">
        <v>0.20000000298023224</v>
      </c>
      <c r="G327" s="33">
        <v>0.20000000298023224</v>
      </c>
      <c r="H327" s="33">
        <v>1.2000000476837158</v>
      </c>
      <c r="I327" s="33">
        <v>12.300000190734863</v>
      </c>
      <c r="J327" s="33">
        <v>3</v>
      </c>
      <c r="K327" s="33">
        <v>5.9999998658895493E-2</v>
      </c>
      <c r="L327" s="33">
        <v>1.9999999552965164E-2</v>
      </c>
      <c r="M327" s="33">
        <v>0.20000000298023224</v>
      </c>
      <c r="N327" s="33">
        <v>2.119999885559082</v>
      </c>
      <c r="O327" s="33">
        <v>1.6000000238418579</v>
      </c>
      <c r="P327" s="33">
        <v>4</v>
      </c>
      <c r="Q327" s="33">
        <v>0.60000002384185791</v>
      </c>
      <c r="R327" s="34" t="s">
        <v>576</v>
      </c>
      <c r="S327" s="33">
        <v>4</v>
      </c>
      <c r="T327" s="35">
        <v>0</v>
      </c>
    </row>
    <row r="328" spans="1:20">
      <c r="A328" s="31">
        <v>326</v>
      </c>
      <c r="B328" s="33" t="s">
        <v>647</v>
      </c>
      <c r="C328" s="33">
        <v>86</v>
      </c>
      <c r="D328" s="33">
        <v>45</v>
      </c>
      <c r="E328" s="33">
        <v>87.300003051757813</v>
      </c>
      <c r="F328" s="33">
        <v>0.5</v>
      </c>
      <c r="G328" s="33">
        <v>0.10000000149011612</v>
      </c>
      <c r="H328" s="33">
        <v>1.2000000476837158</v>
      </c>
      <c r="I328" s="33">
        <v>10.600000381469727</v>
      </c>
      <c r="J328" s="33">
        <v>0</v>
      </c>
      <c r="K328" s="33">
        <v>3.9999999105930328E-2</v>
      </c>
      <c r="L328" s="33">
        <v>3.9999999105930328E-2</v>
      </c>
      <c r="M328" s="33">
        <v>0.40000000596046448</v>
      </c>
      <c r="N328" s="33">
        <v>0.15000000596046448</v>
      </c>
      <c r="O328" s="33">
        <v>1.2999999523162842</v>
      </c>
      <c r="P328" s="33">
        <v>15</v>
      </c>
      <c r="Q328" s="33">
        <v>0.30000001192092896</v>
      </c>
      <c r="R328" s="34" t="s">
        <v>576</v>
      </c>
      <c r="S328" s="33">
        <v>2</v>
      </c>
      <c r="T328" s="35">
        <v>0</v>
      </c>
    </row>
    <row r="329" spans="1:20">
      <c r="A329" s="31">
        <v>327</v>
      </c>
      <c r="B329" s="33" t="s">
        <v>648</v>
      </c>
      <c r="C329" s="33">
        <v>85</v>
      </c>
      <c r="D329" s="33">
        <v>57</v>
      </c>
      <c r="E329" s="33">
        <v>85</v>
      </c>
      <c r="F329" s="33">
        <v>0.40000000596046448</v>
      </c>
      <c r="G329" s="33">
        <v>0.10000000149011612</v>
      </c>
      <c r="H329" s="33">
        <v>0.80000001192092896</v>
      </c>
      <c r="I329" s="33">
        <v>13.5</v>
      </c>
      <c r="J329" s="33">
        <v>2</v>
      </c>
      <c r="K329" s="33">
        <v>0</v>
      </c>
      <c r="L329" s="33">
        <v>1.9999999552965164E-2</v>
      </c>
      <c r="M329" s="33">
        <v>0</v>
      </c>
      <c r="N329" s="33">
        <v>0.20999999344348907</v>
      </c>
      <c r="O329" s="33">
        <v>2.2999999523162842</v>
      </c>
      <c r="P329" s="33">
        <v>2</v>
      </c>
      <c r="Q329" s="33">
        <v>0.20000000298023224</v>
      </c>
      <c r="R329" s="34" t="s">
        <v>576</v>
      </c>
      <c r="S329" s="33">
        <v>1</v>
      </c>
      <c r="T329" s="35">
        <v>0</v>
      </c>
    </row>
    <row r="330" spans="1:20">
      <c r="A330" s="31">
        <v>328</v>
      </c>
      <c r="B330" s="33" t="s">
        <v>649</v>
      </c>
      <c r="C330" s="33">
        <v>80</v>
      </c>
      <c r="D330" s="33">
        <v>55</v>
      </c>
      <c r="E330" s="33">
        <v>84.599998474121094</v>
      </c>
      <c r="F330" s="33">
        <v>0.20000000298023224</v>
      </c>
      <c r="G330" s="33">
        <v>0.30000001192092896</v>
      </c>
      <c r="H330" s="33">
        <v>1.7999999523162842</v>
      </c>
      <c r="I330" s="33">
        <v>12.899999618530273</v>
      </c>
      <c r="J330" s="33">
        <v>15</v>
      </c>
      <c r="K330" s="33">
        <v>1.9999999552965164E-2</v>
      </c>
      <c r="L330" s="33">
        <v>1.9999999552965164E-2</v>
      </c>
      <c r="M330" s="33">
        <v>0.10000000149011612</v>
      </c>
      <c r="N330" s="33">
        <v>0.20999999344348907</v>
      </c>
      <c r="O330" s="33">
        <v>0.60000002384185791</v>
      </c>
      <c r="P330" s="33">
        <v>5</v>
      </c>
      <c r="Q330" s="33">
        <v>0.30000001192092896</v>
      </c>
      <c r="R330" s="34" t="s">
        <v>576</v>
      </c>
      <c r="S330" s="33">
        <v>4</v>
      </c>
      <c r="T330" s="35">
        <v>0</v>
      </c>
    </row>
    <row r="331" spans="1:20">
      <c r="A331" s="31">
        <v>329</v>
      </c>
      <c r="B331" s="33" t="s">
        <v>650</v>
      </c>
      <c r="C331" s="33">
        <v>78</v>
      </c>
      <c r="D331" s="33">
        <v>54</v>
      </c>
      <c r="E331" s="33">
        <v>85.900001525878906</v>
      </c>
      <c r="F331" s="33">
        <v>0.30000001192092896</v>
      </c>
      <c r="G331" s="33">
        <v>0.30000001192092896</v>
      </c>
      <c r="H331" s="33">
        <v>0.80000001192092896</v>
      </c>
      <c r="I331" s="33">
        <v>12.5</v>
      </c>
      <c r="J331" s="33">
        <v>10</v>
      </c>
      <c r="K331" s="33">
        <v>1.9999999552965164E-2</v>
      </c>
      <c r="L331" s="33">
        <v>2.9999999329447746E-2</v>
      </c>
      <c r="M331" s="33">
        <v>0.20000000298023224</v>
      </c>
      <c r="N331" s="33">
        <v>0.10999999940395355</v>
      </c>
      <c r="O331" s="33">
        <v>1.2999999523162842</v>
      </c>
      <c r="P331" s="33">
        <v>8</v>
      </c>
      <c r="Q331" s="33">
        <v>0.30000001192092896</v>
      </c>
      <c r="R331" s="34" t="s">
        <v>576</v>
      </c>
      <c r="S331" s="33">
        <v>4</v>
      </c>
      <c r="T331" s="35">
        <v>0</v>
      </c>
    </row>
    <row r="332" spans="1:20">
      <c r="A332" s="31">
        <v>330</v>
      </c>
      <c r="B332" s="33" t="s">
        <v>651</v>
      </c>
      <c r="C332" s="33">
        <v>96</v>
      </c>
      <c r="D332" s="33">
        <v>30</v>
      </c>
      <c r="E332" s="33">
        <v>90.800003051757813</v>
      </c>
      <c r="F332" s="33">
        <v>0.40000000596046448</v>
      </c>
      <c r="G332" s="33">
        <v>0.20000000298023224</v>
      </c>
      <c r="H332" s="33">
        <v>1.7000000476837158</v>
      </c>
      <c r="I332" s="33">
        <v>6.6999998092651367</v>
      </c>
      <c r="J332" s="33">
        <v>0</v>
      </c>
      <c r="K332" s="33">
        <v>9.9999997764825821E-3</v>
      </c>
      <c r="L332" s="33">
        <v>2.9999999329447746E-2</v>
      </c>
      <c r="M332" s="33">
        <v>0.10000000149011612</v>
      </c>
      <c r="N332" s="33">
        <v>0</v>
      </c>
      <c r="O332" s="33">
        <v>0</v>
      </c>
      <c r="P332" s="33">
        <v>0</v>
      </c>
      <c r="Q332" s="33">
        <v>0</v>
      </c>
      <c r="R332" s="34" t="s">
        <v>576</v>
      </c>
      <c r="S332" s="33">
        <v>0</v>
      </c>
      <c r="T332" s="35">
        <v>0</v>
      </c>
    </row>
    <row r="333" spans="1:20">
      <c r="A333" s="31">
        <v>331</v>
      </c>
      <c r="B333" s="33" t="s">
        <v>652</v>
      </c>
      <c r="C333" s="33">
        <v>85</v>
      </c>
      <c r="D333" s="33">
        <v>45</v>
      </c>
      <c r="E333" s="33">
        <v>86.900001525878906</v>
      </c>
      <c r="F333" s="33">
        <v>0.69999998807907104</v>
      </c>
      <c r="G333" s="33">
        <v>0.40000000596046448</v>
      </c>
      <c r="H333" s="33">
        <v>2.0999999046325684</v>
      </c>
      <c r="I333" s="33">
        <v>9.6000003814697266</v>
      </c>
      <c r="J333" s="33">
        <v>100</v>
      </c>
      <c r="K333" s="33">
        <v>9.9999997764825821E-3</v>
      </c>
      <c r="L333" s="33">
        <v>0</v>
      </c>
      <c r="M333" s="33">
        <v>0</v>
      </c>
      <c r="N333" s="33">
        <v>1.4600000381469727</v>
      </c>
      <c r="O333" s="33">
        <v>0.69999998807907104</v>
      </c>
      <c r="P333" s="33">
        <v>3</v>
      </c>
      <c r="Q333" s="33">
        <v>0.69999998807907104</v>
      </c>
      <c r="R333" s="34" t="s">
        <v>576</v>
      </c>
      <c r="S333" s="33">
        <v>2</v>
      </c>
      <c r="T333" s="35">
        <v>0</v>
      </c>
    </row>
    <row r="334" spans="1:20">
      <c r="A334" s="31">
        <v>332</v>
      </c>
      <c r="B334" s="33" t="s">
        <v>653</v>
      </c>
      <c r="C334" s="33">
        <v>87</v>
      </c>
      <c r="D334" s="33">
        <v>49</v>
      </c>
      <c r="E334" s="33">
        <v>86.900001525878906</v>
      </c>
      <c r="F334" s="33">
        <v>0.40000000596046448</v>
      </c>
      <c r="G334" s="33">
        <v>0.20000000298023224</v>
      </c>
      <c r="H334" s="33">
        <v>0.89999997615814209</v>
      </c>
      <c r="I334" s="33">
        <v>11.399999618530273</v>
      </c>
      <c r="J334" s="33">
        <v>17</v>
      </c>
      <c r="K334" s="33">
        <v>9.9999997764825821E-3</v>
      </c>
      <c r="L334" s="33">
        <v>1.9999999552965164E-2</v>
      </c>
      <c r="M334" s="33">
        <v>0.10000000149011612</v>
      </c>
      <c r="N334" s="33">
        <v>0.36000001430511475</v>
      </c>
      <c r="O334" s="33">
        <v>2</v>
      </c>
      <c r="P334" s="33">
        <v>5</v>
      </c>
      <c r="Q334" s="33">
        <v>0.60000002384185791</v>
      </c>
      <c r="R334" s="34" t="s">
        <v>576</v>
      </c>
      <c r="S334" s="33">
        <v>3</v>
      </c>
      <c r="T334" s="35">
        <v>0</v>
      </c>
    </row>
    <row r="335" spans="1:20">
      <c r="A335" s="31">
        <v>333</v>
      </c>
      <c r="B335" s="33" t="s">
        <v>654</v>
      </c>
      <c r="C335" s="33">
        <v>78</v>
      </c>
      <c r="D335" s="33">
        <v>50</v>
      </c>
      <c r="E335" s="33">
        <v>86.199996948242188</v>
      </c>
      <c r="F335" s="33">
        <v>0.20000000298023224</v>
      </c>
      <c r="G335" s="33">
        <v>0.10000000149011612</v>
      </c>
      <c r="H335" s="33">
        <v>1.1000000238418579</v>
      </c>
      <c r="I335" s="33">
        <v>12.199999809265137</v>
      </c>
      <c r="J335" s="33">
        <v>15</v>
      </c>
      <c r="K335" s="33">
        <v>5.000000074505806E-2</v>
      </c>
      <c r="L335" s="33">
        <v>9.9999997764825821E-3</v>
      </c>
      <c r="M335" s="33">
        <v>0.10000000149011612</v>
      </c>
      <c r="N335" s="33">
        <v>0.61000001430511475</v>
      </c>
      <c r="O335" s="33">
        <v>1.7000000476837158</v>
      </c>
      <c r="P335" s="33">
        <v>2</v>
      </c>
      <c r="Q335" s="33">
        <v>0.20000000298023224</v>
      </c>
      <c r="R335" s="34" t="s">
        <v>576</v>
      </c>
      <c r="S335" s="33">
        <v>4</v>
      </c>
      <c r="T335" s="35">
        <v>0</v>
      </c>
    </row>
    <row r="336" spans="1:20">
      <c r="A336" s="31">
        <v>334</v>
      </c>
      <c r="B336" s="33" t="s">
        <v>655</v>
      </c>
      <c r="C336" s="33">
        <v>88</v>
      </c>
      <c r="D336" s="33">
        <v>49</v>
      </c>
      <c r="E336" s="33">
        <v>85.599998474121094</v>
      </c>
      <c r="F336" s="33">
        <v>0.30000001192092896</v>
      </c>
      <c r="G336" s="33">
        <v>0.20000000298023224</v>
      </c>
      <c r="H336" s="33">
        <v>2.2000000476837158</v>
      </c>
      <c r="I336" s="33">
        <v>11.5</v>
      </c>
      <c r="J336" s="33">
        <v>3</v>
      </c>
      <c r="K336" s="33">
        <v>0</v>
      </c>
      <c r="L336" s="33">
        <v>2.9999999329447746E-2</v>
      </c>
      <c r="M336" s="33">
        <v>0.30000001192092896</v>
      </c>
      <c r="N336" s="33">
        <v>0.79000002145767212</v>
      </c>
      <c r="O336" s="33">
        <v>0.80000001192092896</v>
      </c>
      <c r="P336" s="33">
        <v>10</v>
      </c>
      <c r="Q336" s="33">
        <v>0.30000001192092896</v>
      </c>
      <c r="R336" s="34" t="s">
        <v>576</v>
      </c>
      <c r="S336" s="33">
        <v>4</v>
      </c>
      <c r="T336" s="35">
        <v>0</v>
      </c>
    </row>
    <row r="337" spans="1:20">
      <c r="A337" s="31">
        <v>335</v>
      </c>
      <c r="B337" s="33" t="s">
        <v>656</v>
      </c>
      <c r="C337" s="33">
        <v>69</v>
      </c>
      <c r="D337" s="33">
        <v>59</v>
      </c>
      <c r="E337" s="33">
        <v>83.400001525878906</v>
      </c>
      <c r="F337" s="33">
        <v>0.5</v>
      </c>
      <c r="G337" s="33">
        <v>0.10000000149011612</v>
      </c>
      <c r="H337" s="33">
        <v>1.7000000476837158</v>
      </c>
      <c r="I337" s="33">
        <v>14</v>
      </c>
      <c r="J337" s="33">
        <v>10</v>
      </c>
      <c r="K337" s="33">
        <v>2.9999999329447746E-2</v>
      </c>
      <c r="L337" s="33">
        <v>1.9999999552965164E-2</v>
      </c>
      <c r="M337" s="33">
        <v>0</v>
      </c>
      <c r="N337" s="33">
        <v>0.8399999737739563</v>
      </c>
      <c r="O337" s="33">
        <v>2.5999999046325684</v>
      </c>
      <c r="P337" s="33">
        <v>3</v>
      </c>
      <c r="Q337" s="33">
        <v>0.30000001192092896</v>
      </c>
      <c r="R337" s="34" t="s">
        <v>576</v>
      </c>
      <c r="S337" s="33">
        <v>6</v>
      </c>
      <c r="T337" s="35">
        <v>0</v>
      </c>
    </row>
    <row r="338" spans="1:20">
      <c r="A338" s="31">
        <v>336</v>
      </c>
      <c r="B338" s="33" t="s">
        <v>657</v>
      </c>
      <c r="C338" s="33">
        <v>90</v>
      </c>
      <c r="D338" s="33">
        <v>44</v>
      </c>
      <c r="E338" s="33">
        <v>84</v>
      </c>
      <c r="F338" s="33">
        <v>0.60000002384185791</v>
      </c>
      <c r="G338" s="33">
        <v>0.20000000298023224</v>
      </c>
      <c r="H338" s="33">
        <v>4.9000000953674316</v>
      </c>
      <c r="I338" s="33">
        <v>9.8999996185302734</v>
      </c>
      <c r="J338" s="33">
        <v>3</v>
      </c>
      <c r="K338" s="33">
        <v>3.9999999105930328E-2</v>
      </c>
      <c r="L338" s="33">
        <v>1.9999999552965164E-2</v>
      </c>
      <c r="M338" s="33">
        <v>0.10000000149011612</v>
      </c>
      <c r="N338" s="33">
        <v>0</v>
      </c>
      <c r="O338" s="33">
        <v>0</v>
      </c>
      <c r="P338" s="33">
        <v>0</v>
      </c>
      <c r="Q338" s="33">
        <v>0</v>
      </c>
      <c r="R338" s="34" t="s">
        <v>576</v>
      </c>
      <c r="S338" s="33">
        <v>0</v>
      </c>
      <c r="T338" s="35">
        <v>0</v>
      </c>
    </row>
    <row r="339" spans="1:20">
      <c r="A339" s="31">
        <v>337</v>
      </c>
      <c r="B339" s="33" t="s">
        <v>658</v>
      </c>
      <c r="C339" s="33">
        <v>84</v>
      </c>
      <c r="D339" s="33">
        <v>59</v>
      </c>
      <c r="E339" s="33">
        <v>84.900001525878906</v>
      </c>
      <c r="F339" s="33">
        <v>0.20000000298023224</v>
      </c>
      <c r="G339" s="33">
        <v>0.40000000596046448</v>
      </c>
      <c r="H339" s="33">
        <v>0.60000002384185791</v>
      </c>
      <c r="I339" s="33">
        <v>13.699999809265137</v>
      </c>
      <c r="J339" s="33">
        <v>7</v>
      </c>
      <c r="K339" s="33">
        <v>1.9999999552965164E-2</v>
      </c>
      <c r="L339" s="33">
        <v>9.9999997764825821E-3</v>
      </c>
      <c r="M339" s="33">
        <v>0.20000000298023224</v>
      </c>
      <c r="N339" s="33">
        <v>1.9999999552965164E-2</v>
      </c>
      <c r="O339" s="33">
        <v>0.69999998807907104</v>
      </c>
      <c r="P339" s="33">
        <v>2</v>
      </c>
      <c r="Q339" s="33">
        <v>0.30000001192092896</v>
      </c>
      <c r="R339" s="34" t="s">
        <v>576</v>
      </c>
      <c r="S339" s="33">
        <v>3</v>
      </c>
      <c r="T339" s="35">
        <v>0</v>
      </c>
    </row>
    <row r="340" spans="1:20">
      <c r="A340" s="31">
        <v>338</v>
      </c>
      <c r="B340" s="33" t="s">
        <v>659</v>
      </c>
      <c r="C340" s="33">
        <v>86</v>
      </c>
      <c r="D340" s="33">
        <v>46</v>
      </c>
      <c r="E340" s="33">
        <v>86.699996948242188</v>
      </c>
      <c r="F340" s="33">
        <v>0.40000000596046448</v>
      </c>
      <c r="G340" s="33">
        <v>0.10000000149011612</v>
      </c>
      <c r="H340" s="33">
        <v>1.5</v>
      </c>
      <c r="I340" s="33">
        <v>11</v>
      </c>
      <c r="J340" s="33">
        <v>2</v>
      </c>
      <c r="K340" s="33">
        <v>5.000000074505806E-2</v>
      </c>
      <c r="L340" s="33">
        <v>9.9999997764825821E-3</v>
      </c>
      <c r="M340" s="33">
        <v>0</v>
      </c>
      <c r="N340" s="33">
        <v>7.0000000298023224E-2</v>
      </c>
      <c r="O340" s="33">
        <v>1.7000000476837158</v>
      </c>
      <c r="P340" s="33">
        <v>3</v>
      </c>
      <c r="Q340" s="33">
        <v>0.30000001192092896</v>
      </c>
      <c r="R340" s="34" t="s">
        <v>576</v>
      </c>
      <c r="S340" s="33">
        <v>2</v>
      </c>
      <c r="T340" s="35">
        <v>0</v>
      </c>
    </row>
    <row r="341" spans="1:20">
      <c r="A341" s="31">
        <v>339</v>
      </c>
      <c r="B341" s="33" t="s">
        <v>660</v>
      </c>
      <c r="C341" s="33">
        <v>80</v>
      </c>
      <c r="D341" s="33">
        <v>49</v>
      </c>
      <c r="E341" s="33">
        <v>86.300003051757813</v>
      </c>
      <c r="F341" s="33">
        <v>0.30000001192092896</v>
      </c>
      <c r="G341" s="33">
        <v>0.10000000149011612</v>
      </c>
      <c r="H341" s="33">
        <v>1.2999999523162842</v>
      </c>
      <c r="I341" s="33">
        <v>11.800000190734863</v>
      </c>
      <c r="J341" s="33">
        <v>3</v>
      </c>
      <c r="K341" s="33">
        <v>1.9999999552965164E-2</v>
      </c>
      <c r="L341" s="33">
        <v>1.9999999552965164E-2</v>
      </c>
      <c r="M341" s="33">
        <v>0.20000000298023224</v>
      </c>
      <c r="N341" s="33">
        <v>0.37000000476837158</v>
      </c>
      <c r="O341" s="33">
        <v>1.2999999523162842</v>
      </c>
      <c r="P341" s="33">
        <v>9</v>
      </c>
      <c r="Q341" s="33">
        <v>0.20000000298023224</v>
      </c>
      <c r="R341" s="34" t="s">
        <v>576</v>
      </c>
      <c r="S341" s="33">
        <v>3</v>
      </c>
      <c r="T341" s="35">
        <v>0</v>
      </c>
    </row>
    <row r="342" spans="1:20">
      <c r="A342" s="31">
        <v>340</v>
      </c>
      <c r="B342" s="33" t="s">
        <v>661</v>
      </c>
      <c r="C342" s="33">
        <v>85</v>
      </c>
      <c r="D342" s="33">
        <v>35</v>
      </c>
      <c r="E342" s="33">
        <v>87.5</v>
      </c>
      <c r="F342" s="33">
        <v>0.20000000298023224</v>
      </c>
      <c r="G342" s="33">
        <v>0.20000000298023224</v>
      </c>
      <c r="H342" s="33">
        <v>3.7000000476837158</v>
      </c>
      <c r="I342" s="33">
        <v>8.1999998092651367</v>
      </c>
      <c r="J342" s="33">
        <v>0</v>
      </c>
      <c r="K342" s="33">
        <v>2.9999999329447746E-2</v>
      </c>
      <c r="L342" s="33">
        <v>9.9999997764825821E-3</v>
      </c>
      <c r="M342" s="33">
        <v>0.80000001192092896</v>
      </c>
      <c r="N342" s="33">
        <v>0</v>
      </c>
      <c r="O342" s="33">
        <v>0</v>
      </c>
      <c r="P342" s="33">
        <v>0</v>
      </c>
      <c r="Q342" s="33">
        <v>0</v>
      </c>
      <c r="R342" s="34" t="s">
        <v>576</v>
      </c>
      <c r="S342" s="33">
        <v>0</v>
      </c>
      <c r="T342" s="35">
        <v>0</v>
      </c>
    </row>
    <row r="343" spans="1:20">
      <c r="A343" s="31">
        <v>341</v>
      </c>
      <c r="B343" s="33" t="s">
        <v>662</v>
      </c>
      <c r="C343" s="33">
        <v>86</v>
      </c>
      <c r="D343" s="33">
        <v>50</v>
      </c>
      <c r="E343" s="33">
        <v>85.800003051757813</v>
      </c>
      <c r="F343" s="33">
        <v>0.20000000298023224</v>
      </c>
      <c r="G343" s="33">
        <v>0.20000000298023224</v>
      </c>
      <c r="H343" s="33">
        <v>1.7000000476837158</v>
      </c>
      <c r="I343" s="33">
        <v>11.899999618530273</v>
      </c>
      <c r="J343" s="33">
        <v>8</v>
      </c>
      <c r="K343" s="33">
        <v>0</v>
      </c>
      <c r="L343" s="33">
        <v>9.9999997764825821E-3</v>
      </c>
      <c r="M343" s="33">
        <v>0.20000000298023224</v>
      </c>
      <c r="N343" s="33">
        <v>0</v>
      </c>
      <c r="O343" s="33">
        <v>0.60000002384185791</v>
      </c>
      <c r="P343" s="33">
        <v>4</v>
      </c>
      <c r="Q343" s="33">
        <v>0.60000002384185791</v>
      </c>
      <c r="R343" s="34" t="s">
        <v>576</v>
      </c>
      <c r="S343" s="33">
        <v>1</v>
      </c>
      <c r="T343" s="35">
        <v>0</v>
      </c>
    </row>
    <row r="344" spans="1:20">
      <c r="A344" s="31">
        <v>342</v>
      </c>
      <c r="B344" s="33" t="s">
        <v>663</v>
      </c>
      <c r="C344" s="33">
        <v>84</v>
      </c>
      <c r="D344" s="33">
        <v>43</v>
      </c>
      <c r="E344" s="33">
        <v>84.699996948242188</v>
      </c>
      <c r="F344" s="33">
        <v>0.20000000298023224</v>
      </c>
      <c r="G344" s="33">
        <v>0.20000000298023224</v>
      </c>
      <c r="H344" s="33">
        <v>4.6999998092651367</v>
      </c>
      <c r="I344" s="33">
        <v>10</v>
      </c>
      <c r="J344" s="33">
        <v>2</v>
      </c>
      <c r="K344" s="33">
        <v>1.9999999552965164E-2</v>
      </c>
      <c r="L344" s="33">
        <v>1.9999999552965164E-2</v>
      </c>
      <c r="M344" s="33">
        <v>0.5</v>
      </c>
      <c r="N344" s="33">
        <v>0</v>
      </c>
      <c r="O344" s="33">
        <v>0</v>
      </c>
      <c r="P344" s="33">
        <v>0</v>
      </c>
      <c r="Q344" s="33">
        <v>0</v>
      </c>
      <c r="R344" s="34" t="s">
        <v>576</v>
      </c>
      <c r="S344" s="33">
        <v>0</v>
      </c>
      <c r="T344" s="35">
        <v>0</v>
      </c>
    </row>
    <row r="345" spans="1:20">
      <c r="A345" s="31">
        <v>343</v>
      </c>
      <c r="B345" s="33" t="s">
        <v>664</v>
      </c>
      <c r="C345" s="33">
        <v>100</v>
      </c>
      <c r="D345" s="33">
        <v>39</v>
      </c>
      <c r="E345" s="33">
        <v>89.199996948242188</v>
      </c>
      <c r="F345" s="33">
        <v>0.20000000298023224</v>
      </c>
      <c r="G345" s="33">
        <v>0.20000000298023224</v>
      </c>
      <c r="H345" s="33">
        <v>1.2999999523162842</v>
      </c>
      <c r="I345" s="33">
        <v>9</v>
      </c>
      <c r="J345" s="33">
        <v>0</v>
      </c>
      <c r="K345" s="33">
        <v>0</v>
      </c>
      <c r="L345" s="33">
        <v>0</v>
      </c>
      <c r="M345" s="33">
        <v>0</v>
      </c>
      <c r="N345" s="33">
        <v>0</v>
      </c>
      <c r="O345" s="33">
        <v>6.1999998092651367</v>
      </c>
      <c r="P345" s="33">
        <v>26</v>
      </c>
      <c r="Q345" s="33">
        <v>0.69999998807907104</v>
      </c>
      <c r="R345" s="34" t="s">
        <v>576</v>
      </c>
      <c r="S345" s="33">
        <v>0</v>
      </c>
      <c r="T345" s="35">
        <v>0</v>
      </c>
    </row>
    <row r="346" spans="1:20">
      <c r="A346" s="31">
        <v>344</v>
      </c>
      <c r="B346" s="33" t="s">
        <v>665</v>
      </c>
      <c r="C346" s="33">
        <v>100</v>
      </c>
      <c r="D346" s="33">
        <v>277</v>
      </c>
      <c r="E346" s="33">
        <v>30.399999618530273</v>
      </c>
      <c r="F346" s="33">
        <v>0.40000000596046448</v>
      </c>
      <c r="G346" s="33">
        <v>0.10000000149011612</v>
      </c>
      <c r="H346" s="33">
        <v>0.30000001192092896</v>
      </c>
      <c r="I346" s="33">
        <v>68.699996948242188</v>
      </c>
      <c r="J346" s="33">
        <v>0</v>
      </c>
      <c r="K346" s="33">
        <v>0.2800000011920929</v>
      </c>
      <c r="L346" s="33">
        <v>1.9999999552965164E-2</v>
      </c>
      <c r="M346" s="33">
        <v>0</v>
      </c>
      <c r="N346" s="33">
        <v>0</v>
      </c>
      <c r="O346" s="33">
        <v>11</v>
      </c>
      <c r="P346" s="33">
        <v>2</v>
      </c>
      <c r="Q346" s="33">
        <v>1.2999999523162842</v>
      </c>
      <c r="R346" s="34" t="s">
        <v>576</v>
      </c>
      <c r="S346" s="33">
        <v>1</v>
      </c>
      <c r="T346" s="35">
        <v>0</v>
      </c>
    </row>
    <row r="347" spans="1:20">
      <c r="A347" s="31">
        <v>345</v>
      </c>
      <c r="B347" s="33" t="s">
        <v>666</v>
      </c>
      <c r="C347" s="33">
        <v>100</v>
      </c>
      <c r="D347" s="33">
        <v>336</v>
      </c>
      <c r="E347" s="33">
        <v>14.199999809265137</v>
      </c>
      <c r="F347" s="33">
        <v>0.60000002384185791</v>
      </c>
      <c r="G347" s="33">
        <v>0.10000000149011612</v>
      </c>
      <c r="H347" s="33">
        <v>1.6000000238418579</v>
      </c>
      <c r="I347" s="33">
        <v>83.300003051757813</v>
      </c>
      <c r="J347" s="33">
        <v>12</v>
      </c>
      <c r="K347" s="33">
        <v>9.9999997764825821E-3</v>
      </c>
      <c r="L347" s="33">
        <v>9.0000003576278687E-2</v>
      </c>
      <c r="M347" s="33">
        <v>0.10000000149011612</v>
      </c>
      <c r="N347" s="33">
        <v>0.43999999761581421</v>
      </c>
      <c r="O347" s="33">
        <v>12.800000190734863</v>
      </c>
      <c r="P347" s="33">
        <v>9</v>
      </c>
      <c r="Q347" s="33">
        <v>1.6000000238418579</v>
      </c>
      <c r="R347" s="34" t="s">
        <v>576</v>
      </c>
      <c r="S347" s="33">
        <v>0</v>
      </c>
      <c r="T347" s="35">
        <v>0</v>
      </c>
    </row>
    <row r="348" spans="1:20">
      <c r="A348" s="31">
        <v>346</v>
      </c>
      <c r="B348" s="33" t="s">
        <v>667</v>
      </c>
      <c r="C348" s="33">
        <v>86</v>
      </c>
      <c r="D348" s="33">
        <v>43</v>
      </c>
      <c r="E348" s="33">
        <v>88.699996948242188</v>
      </c>
      <c r="F348" s="33">
        <v>0.5</v>
      </c>
      <c r="G348" s="33">
        <v>0.20000000298023224</v>
      </c>
      <c r="H348" s="33">
        <v>0.40000000596046448</v>
      </c>
      <c r="I348" s="33">
        <v>9.8999996185302734</v>
      </c>
      <c r="J348" s="33">
        <v>8</v>
      </c>
      <c r="K348" s="33">
        <v>3.9999999105930328E-2</v>
      </c>
      <c r="L348" s="33">
        <v>1.9999999552965164E-2</v>
      </c>
      <c r="M348" s="33">
        <v>0.20000000298023224</v>
      </c>
      <c r="N348" s="33">
        <v>0.69999998807907104</v>
      </c>
      <c r="O348" s="33">
        <v>1.2999999523162842</v>
      </c>
      <c r="P348" s="33">
        <v>5</v>
      </c>
      <c r="Q348" s="33">
        <v>0.40000000596046448</v>
      </c>
      <c r="R348" s="34" t="s">
        <v>576</v>
      </c>
      <c r="S348" s="33">
        <v>25</v>
      </c>
      <c r="T348" s="35">
        <v>0</v>
      </c>
    </row>
    <row r="349" spans="1:20">
      <c r="A349" s="31">
        <v>347</v>
      </c>
      <c r="B349" s="33" t="s">
        <v>668</v>
      </c>
      <c r="C349" s="33">
        <v>88</v>
      </c>
      <c r="D349" s="33">
        <v>43</v>
      </c>
      <c r="E349" s="33">
        <v>88.400001525878906</v>
      </c>
      <c r="F349" s="33">
        <v>0.69999998807907104</v>
      </c>
      <c r="G349" s="33">
        <v>0.30000001192092896</v>
      </c>
      <c r="H349" s="33">
        <v>1</v>
      </c>
      <c r="I349" s="33">
        <v>9.3000001907348633</v>
      </c>
      <c r="J349" s="33">
        <v>10</v>
      </c>
      <c r="K349" s="33">
        <v>2.9999999329447746E-2</v>
      </c>
      <c r="L349" s="33">
        <v>9.9999997764825821E-3</v>
      </c>
      <c r="M349" s="33">
        <v>0.30000001192092896</v>
      </c>
      <c r="N349" s="33">
        <v>0</v>
      </c>
      <c r="O349" s="33">
        <v>1.7999999523162842</v>
      </c>
      <c r="P349" s="33">
        <v>10</v>
      </c>
      <c r="Q349" s="33">
        <v>0.5</v>
      </c>
      <c r="R349" s="34" t="s">
        <v>576</v>
      </c>
      <c r="S349" s="33">
        <v>3</v>
      </c>
      <c r="T349" s="35">
        <v>0</v>
      </c>
    </row>
    <row r="350" spans="1:20">
      <c r="A350" s="31">
        <v>348</v>
      </c>
      <c r="B350" s="33" t="s">
        <v>669</v>
      </c>
      <c r="C350" s="33">
        <v>96</v>
      </c>
      <c r="D350" s="33">
        <v>37</v>
      </c>
      <c r="E350" s="33">
        <v>88.5</v>
      </c>
      <c r="F350" s="33">
        <v>0.40000000596046448</v>
      </c>
      <c r="G350" s="33">
        <v>0.20000000298023224</v>
      </c>
      <c r="H350" s="33">
        <v>2.2000000476837158</v>
      </c>
      <c r="I350" s="33">
        <v>8.5</v>
      </c>
      <c r="J350" s="33">
        <v>0</v>
      </c>
      <c r="K350" s="33">
        <v>2.9999999329447746E-2</v>
      </c>
      <c r="L350" s="33">
        <v>1.9999999552965164E-2</v>
      </c>
      <c r="M350" s="33">
        <v>0</v>
      </c>
      <c r="N350" s="33">
        <v>1.6599999666213989</v>
      </c>
      <c r="O350" s="33">
        <v>1.5</v>
      </c>
      <c r="P350" s="33">
        <v>17</v>
      </c>
      <c r="Q350" s="33">
        <v>0.30000001192092896</v>
      </c>
      <c r="R350" s="34" t="s">
        <v>576</v>
      </c>
      <c r="S350" s="33">
        <v>5</v>
      </c>
      <c r="T350" s="35">
        <v>0</v>
      </c>
    </row>
    <row r="351" spans="1:20">
      <c r="A351" s="31">
        <v>349</v>
      </c>
      <c r="B351" s="33" t="s">
        <v>670</v>
      </c>
      <c r="C351" s="33">
        <v>84</v>
      </c>
      <c r="D351" s="33">
        <v>50</v>
      </c>
      <c r="E351" s="33">
        <v>87</v>
      </c>
      <c r="F351" s="33">
        <v>0.40000000596046448</v>
      </c>
      <c r="G351" s="33">
        <v>0.20000000298023224</v>
      </c>
      <c r="H351" s="33">
        <v>0.40000000596046448</v>
      </c>
      <c r="I351" s="33">
        <v>11.600000381469727</v>
      </c>
      <c r="J351" s="33">
        <v>5</v>
      </c>
      <c r="K351" s="33">
        <v>2.9999999329447746E-2</v>
      </c>
      <c r="L351" s="33">
        <v>9.9999997764825821E-3</v>
      </c>
      <c r="M351" s="33">
        <v>0.10000000149011612</v>
      </c>
      <c r="N351" s="33">
        <v>0.34000000357627869</v>
      </c>
      <c r="O351" s="33">
        <v>2</v>
      </c>
      <c r="P351" s="33">
        <v>7</v>
      </c>
      <c r="Q351" s="33">
        <v>0.60000002384185791</v>
      </c>
      <c r="R351" s="34" t="s">
        <v>576</v>
      </c>
      <c r="S351" s="33">
        <v>4</v>
      </c>
      <c r="T351" s="35">
        <v>0</v>
      </c>
    </row>
    <row r="352" spans="1:20">
      <c r="A352" s="31">
        <v>350</v>
      </c>
      <c r="B352" s="33" t="s">
        <v>671</v>
      </c>
      <c r="C352" s="33">
        <v>84</v>
      </c>
      <c r="D352" s="33">
        <v>40</v>
      </c>
      <c r="E352" s="33">
        <v>89.599998474121094</v>
      </c>
      <c r="F352" s="33">
        <v>0.5</v>
      </c>
      <c r="G352" s="33">
        <v>0.40000000596046448</v>
      </c>
      <c r="H352" s="33">
        <v>0.40000000596046448</v>
      </c>
      <c r="I352" s="33">
        <v>8.6999998092651367</v>
      </c>
      <c r="J352" s="33">
        <v>8</v>
      </c>
      <c r="K352" s="33">
        <v>0</v>
      </c>
      <c r="L352" s="33">
        <v>2.9999999329447746E-2</v>
      </c>
      <c r="M352" s="33">
        <v>0.80000001192092896</v>
      </c>
      <c r="N352" s="33">
        <v>0</v>
      </c>
      <c r="O352" s="33">
        <v>0</v>
      </c>
      <c r="P352" s="33">
        <v>0</v>
      </c>
      <c r="Q352" s="33">
        <v>0</v>
      </c>
      <c r="R352" s="34" t="s">
        <v>576</v>
      </c>
      <c r="S352" s="33">
        <v>0</v>
      </c>
      <c r="T352" s="35">
        <v>0</v>
      </c>
    </row>
    <row r="353" spans="1:20">
      <c r="A353" s="31">
        <v>351</v>
      </c>
      <c r="B353" s="33" t="s">
        <v>672</v>
      </c>
      <c r="C353" s="33">
        <v>86</v>
      </c>
      <c r="D353" s="33">
        <v>50</v>
      </c>
      <c r="E353" s="33">
        <v>86.900001525878906</v>
      </c>
      <c r="F353" s="33">
        <v>0.40000000596046448</v>
      </c>
      <c r="G353" s="33">
        <v>0.40000000596046448</v>
      </c>
      <c r="H353" s="33">
        <v>1</v>
      </c>
      <c r="I353" s="33">
        <v>11.100000381469727</v>
      </c>
      <c r="J353" s="33">
        <v>3</v>
      </c>
      <c r="K353" s="33">
        <v>1.9999999552965164E-2</v>
      </c>
      <c r="L353" s="33">
        <v>1.9999999552965164E-2</v>
      </c>
      <c r="M353" s="33">
        <v>0.20000000298023224</v>
      </c>
      <c r="N353" s="33">
        <v>0.86000001430511475</v>
      </c>
      <c r="O353" s="33">
        <v>2.4000000953674316</v>
      </c>
      <c r="P353" s="33">
        <v>8</v>
      </c>
      <c r="Q353" s="33">
        <v>0.10000000149011612</v>
      </c>
      <c r="R353" s="34" t="s">
        <v>576</v>
      </c>
      <c r="S353" s="33">
        <v>4</v>
      </c>
      <c r="T353" s="35">
        <v>0</v>
      </c>
    </row>
    <row r="354" spans="1:20">
      <c r="A354" s="31">
        <v>352</v>
      </c>
      <c r="B354" s="33" t="s">
        <v>673</v>
      </c>
      <c r="C354" s="33">
        <v>100</v>
      </c>
      <c r="D354" s="33">
        <v>341</v>
      </c>
      <c r="E354" s="33">
        <v>11.600000381469727</v>
      </c>
      <c r="F354" s="33">
        <v>2.5</v>
      </c>
      <c r="G354" s="33">
        <v>0.40000000596046448</v>
      </c>
      <c r="H354" s="33">
        <v>1.6000000238418579</v>
      </c>
      <c r="I354" s="33">
        <v>81.800003051757813</v>
      </c>
      <c r="J354" s="33">
        <v>0</v>
      </c>
      <c r="K354" s="33">
        <v>9.0000003576278687E-2</v>
      </c>
      <c r="L354" s="33">
        <v>0</v>
      </c>
      <c r="M354" s="33">
        <v>0</v>
      </c>
      <c r="N354" s="33">
        <v>0</v>
      </c>
      <c r="O354" s="33">
        <v>19.100000381469727</v>
      </c>
      <c r="P354" s="33">
        <v>52</v>
      </c>
      <c r="Q354" s="33">
        <v>9.1000003814697266</v>
      </c>
      <c r="R354" s="34" t="s">
        <v>576</v>
      </c>
      <c r="S354" s="33">
        <v>5</v>
      </c>
      <c r="T354" s="35">
        <v>0</v>
      </c>
    </row>
    <row r="355" spans="1:20">
      <c r="A355" s="31">
        <v>353</v>
      </c>
      <c r="B355" s="33" t="s">
        <v>674</v>
      </c>
      <c r="C355" s="33">
        <v>100</v>
      </c>
      <c r="D355" s="33">
        <v>308</v>
      </c>
      <c r="E355" s="33">
        <v>20</v>
      </c>
      <c r="F355" s="33">
        <v>1.2000000476837158</v>
      </c>
      <c r="G355" s="33">
        <v>0.60000002384185791</v>
      </c>
      <c r="H355" s="33">
        <v>2.9000000953674316</v>
      </c>
      <c r="I355" s="33">
        <v>74.5</v>
      </c>
      <c r="J355" s="33">
        <v>2</v>
      </c>
      <c r="K355" s="33">
        <v>0</v>
      </c>
      <c r="L355" s="33">
        <v>0.33000001311302185</v>
      </c>
      <c r="M355" s="33">
        <v>0.10000000149011612</v>
      </c>
      <c r="N355" s="33">
        <v>88</v>
      </c>
      <c r="O355" s="33">
        <v>222.80000305175781</v>
      </c>
      <c r="P355" s="33">
        <v>106</v>
      </c>
      <c r="Q355" s="33">
        <v>4</v>
      </c>
      <c r="R355" s="34" t="s">
        <v>576</v>
      </c>
      <c r="S355" s="33">
        <v>4</v>
      </c>
      <c r="T355" s="35">
        <v>0</v>
      </c>
    </row>
    <row r="356" spans="1:20">
      <c r="A356" s="31">
        <v>354</v>
      </c>
      <c r="B356" s="33" t="s">
        <v>675</v>
      </c>
      <c r="C356" s="33">
        <v>88</v>
      </c>
      <c r="D356" s="33">
        <v>80</v>
      </c>
      <c r="E356" s="33">
        <v>77.099998474121094</v>
      </c>
      <c r="F356" s="33">
        <v>0.60000002384185791</v>
      </c>
      <c r="G356" s="33">
        <v>0.69999998807907104</v>
      </c>
      <c r="H356" s="33">
        <v>3.5</v>
      </c>
      <c r="I356" s="33">
        <v>17.700000762939453</v>
      </c>
      <c r="J356" s="33">
        <v>8</v>
      </c>
      <c r="K356" s="33">
        <v>0</v>
      </c>
      <c r="L356" s="33">
        <v>0.25</v>
      </c>
      <c r="M356" s="33">
        <v>0.30000001192092896</v>
      </c>
      <c r="N356" s="33">
        <v>0</v>
      </c>
      <c r="O356" s="33">
        <v>7.0999999046325684</v>
      </c>
      <c r="P356" s="33">
        <v>13</v>
      </c>
      <c r="Q356" s="33">
        <v>0.20000000298023224</v>
      </c>
      <c r="R356" s="34" t="s">
        <v>576</v>
      </c>
      <c r="S356" s="33">
        <v>12</v>
      </c>
      <c r="T356" s="35">
        <v>0</v>
      </c>
    </row>
    <row r="357" spans="1:20">
      <c r="A357" s="31">
        <v>355</v>
      </c>
      <c r="B357" s="33" t="s">
        <v>676</v>
      </c>
      <c r="C357" s="33">
        <v>100</v>
      </c>
      <c r="D357" s="33">
        <v>49</v>
      </c>
      <c r="E357" s="33">
        <v>82.800003051757813</v>
      </c>
      <c r="F357" s="33">
        <v>1.7000000476837158</v>
      </c>
      <c r="G357" s="33">
        <v>0.40000000596046448</v>
      </c>
      <c r="H357" s="33">
        <v>4.0999999046325684</v>
      </c>
      <c r="I357" s="33">
        <v>9.6999998092651367</v>
      </c>
      <c r="J357" s="33">
        <v>5</v>
      </c>
      <c r="K357" s="33">
        <v>1.9999999552965164E-2</v>
      </c>
      <c r="L357" s="33">
        <v>5.9999998658895493E-2</v>
      </c>
      <c r="M357" s="33">
        <v>0</v>
      </c>
      <c r="N357" s="33">
        <v>9.869999885559082</v>
      </c>
      <c r="O357" s="33">
        <v>2</v>
      </c>
      <c r="P357" s="33">
        <v>37</v>
      </c>
      <c r="Q357" s="33">
        <v>0.40000000596046448</v>
      </c>
      <c r="R357" s="34" t="s">
        <v>576</v>
      </c>
      <c r="S357" s="33">
        <v>0</v>
      </c>
      <c r="T357" s="35">
        <v>0</v>
      </c>
    </row>
    <row r="358" spans="1:20">
      <c r="A358" s="31">
        <v>356</v>
      </c>
      <c r="B358" s="33" t="s">
        <v>677</v>
      </c>
      <c r="C358" s="33">
        <v>100</v>
      </c>
      <c r="D358" s="33">
        <v>239</v>
      </c>
      <c r="E358" s="33">
        <v>10.699999809265137</v>
      </c>
      <c r="F358" s="33">
        <v>21.100000381469727</v>
      </c>
      <c r="G358" s="33">
        <v>6.0999999046325684</v>
      </c>
      <c r="H358" s="33">
        <v>29.299999237060547</v>
      </c>
      <c r="I358" s="33">
        <v>24.899999618530273</v>
      </c>
      <c r="J358" s="33">
        <v>0</v>
      </c>
      <c r="K358" s="33">
        <v>0.34999999403953552</v>
      </c>
      <c r="L358" s="33">
        <v>0.61000001430511475</v>
      </c>
      <c r="M358" s="33">
        <v>4.8000001907348633</v>
      </c>
      <c r="N358" s="33">
        <v>32.680000305175781</v>
      </c>
      <c r="O358" s="33">
        <v>28.100000381469727</v>
      </c>
      <c r="P358" s="33">
        <v>622</v>
      </c>
      <c r="Q358" s="33">
        <v>42.5</v>
      </c>
      <c r="R358" s="34" t="s">
        <v>576</v>
      </c>
      <c r="S358" s="33">
        <v>7</v>
      </c>
      <c r="T358" s="35">
        <v>0</v>
      </c>
    </row>
    <row r="359" spans="1:20">
      <c r="A359" s="31">
        <v>357</v>
      </c>
      <c r="B359" s="33" t="s">
        <v>678</v>
      </c>
      <c r="C359" s="33">
        <v>87</v>
      </c>
      <c r="D359" s="33">
        <v>71</v>
      </c>
      <c r="E359" s="33">
        <v>80.599998474121094</v>
      </c>
      <c r="F359" s="33">
        <v>0.40000000596046448</v>
      </c>
      <c r="G359" s="33">
        <v>0.10000000149011612</v>
      </c>
      <c r="H359" s="33">
        <v>1.3999999761581421</v>
      </c>
      <c r="I359" s="33">
        <v>17.100000381469727</v>
      </c>
      <c r="J359" s="33">
        <v>20</v>
      </c>
      <c r="K359" s="33">
        <v>1.9999999552965164E-2</v>
      </c>
      <c r="L359" s="33">
        <v>1.9999999552965164E-2</v>
      </c>
      <c r="M359" s="33">
        <v>0.30000001192092896</v>
      </c>
      <c r="N359" s="33">
        <v>1.1200000047683716</v>
      </c>
      <c r="O359" s="33">
        <v>0.80000001192092896</v>
      </c>
      <c r="P359" s="33">
        <v>9</v>
      </c>
      <c r="Q359" s="33">
        <v>0.20000000298023224</v>
      </c>
      <c r="R359" s="34" t="s">
        <v>576</v>
      </c>
      <c r="S359" s="33">
        <v>30</v>
      </c>
      <c r="T359" s="35">
        <v>0</v>
      </c>
    </row>
    <row r="360" spans="1:20">
      <c r="A360" s="31">
        <v>358</v>
      </c>
      <c r="B360" s="33" t="s">
        <v>679</v>
      </c>
      <c r="C360" s="33">
        <v>98</v>
      </c>
      <c r="D360" s="33">
        <v>76</v>
      </c>
      <c r="E360" s="33">
        <v>79.400001525878906</v>
      </c>
      <c r="F360" s="33">
        <v>0.69999998807907104</v>
      </c>
      <c r="G360" s="33">
        <v>0.10000000149011612</v>
      </c>
      <c r="H360" s="33">
        <v>1.5</v>
      </c>
      <c r="I360" s="33">
        <v>18.100000381469727</v>
      </c>
      <c r="J360" s="33">
        <v>17</v>
      </c>
      <c r="K360" s="33">
        <v>9.9999997764825821E-3</v>
      </c>
      <c r="L360" s="33">
        <v>0</v>
      </c>
      <c r="M360" s="33">
        <v>0.20000000298023224</v>
      </c>
      <c r="N360" s="33">
        <v>1.3300000429153442</v>
      </c>
      <c r="O360" s="33">
        <v>4.6999998092651367</v>
      </c>
      <c r="P360" s="33">
        <v>5</v>
      </c>
      <c r="Q360" s="33">
        <v>0.20000000298023224</v>
      </c>
      <c r="R360" s="34" t="s">
        <v>576</v>
      </c>
      <c r="S360" s="33">
        <v>10</v>
      </c>
      <c r="T360" s="35">
        <v>0</v>
      </c>
    </row>
    <row r="361" spans="1:20">
      <c r="A361" s="31">
        <v>359</v>
      </c>
      <c r="B361" s="33" t="s">
        <v>680</v>
      </c>
      <c r="C361" s="33">
        <v>98</v>
      </c>
      <c r="D361" s="33">
        <v>57</v>
      </c>
      <c r="E361" s="33">
        <v>81.699996948242188</v>
      </c>
      <c r="F361" s="33">
        <v>0.60000002384185791</v>
      </c>
      <c r="G361" s="33">
        <v>0.20000000298023224</v>
      </c>
      <c r="H361" s="33">
        <v>3.7999999523162842</v>
      </c>
      <c r="I361" s="33">
        <v>13.300000190734863</v>
      </c>
      <c r="J361" s="33">
        <v>73</v>
      </c>
      <c r="K361" s="33">
        <v>2.9999999329447746E-2</v>
      </c>
      <c r="L361" s="33">
        <v>3.9999999105930328E-2</v>
      </c>
      <c r="M361" s="33">
        <v>0.30000001192092896</v>
      </c>
      <c r="N361" s="33">
        <v>2.9500000476837158</v>
      </c>
      <c r="O361" s="33">
        <v>1.1000000238418579</v>
      </c>
      <c r="P361" s="33">
        <v>9</v>
      </c>
      <c r="Q361" s="33">
        <v>0.20000000298023224</v>
      </c>
      <c r="R361" s="34" t="s">
        <v>576</v>
      </c>
      <c r="S361" s="33">
        <v>11</v>
      </c>
      <c r="T361" s="35">
        <v>0</v>
      </c>
    </row>
    <row r="362" spans="1:20">
      <c r="A362" s="31">
        <v>360</v>
      </c>
      <c r="B362" s="33" t="s">
        <v>681</v>
      </c>
      <c r="C362" s="33">
        <v>97</v>
      </c>
      <c r="D362" s="33">
        <v>250</v>
      </c>
      <c r="E362" s="33">
        <v>33.799999237060547</v>
      </c>
      <c r="F362" s="33">
        <v>1.7999999523162842</v>
      </c>
      <c r="G362" s="33">
        <v>0.20000000298023224</v>
      </c>
      <c r="H362" s="33">
        <v>2.5999999046325684</v>
      </c>
      <c r="I362" s="33">
        <v>60.200000762939453</v>
      </c>
      <c r="J362" s="33">
        <v>48</v>
      </c>
      <c r="K362" s="33">
        <v>9.9999997764825821E-3</v>
      </c>
      <c r="L362" s="33">
        <v>0</v>
      </c>
      <c r="M362" s="33">
        <v>0.5</v>
      </c>
      <c r="N362" s="33">
        <v>0.62999999523162842</v>
      </c>
      <c r="O362" s="33">
        <v>6.4000000953674316</v>
      </c>
      <c r="P362" s="33">
        <v>54</v>
      </c>
      <c r="Q362" s="33">
        <v>2.7000000476837158</v>
      </c>
      <c r="R362" s="34" t="s">
        <v>576</v>
      </c>
      <c r="S362" s="33">
        <v>0</v>
      </c>
      <c r="T362" s="35">
        <v>0</v>
      </c>
    </row>
    <row r="363" spans="1:20">
      <c r="A363" s="31">
        <v>361</v>
      </c>
      <c r="B363" s="33" t="s">
        <v>682</v>
      </c>
      <c r="C363" s="33">
        <v>57</v>
      </c>
      <c r="D363" s="33">
        <v>64</v>
      </c>
      <c r="E363" s="33">
        <v>78.699996948242188</v>
      </c>
      <c r="F363" s="33">
        <v>1.2999999523162842</v>
      </c>
      <c r="G363" s="33">
        <v>0.10000000149011612</v>
      </c>
      <c r="H363" s="33">
        <v>4.9000000953674316</v>
      </c>
      <c r="I363" s="33">
        <v>14.5</v>
      </c>
      <c r="J363" s="33">
        <v>0</v>
      </c>
      <c r="K363" s="33">
        <v>5.000000074505806E-2</v>
      </c>
      <c r="L363" s="33">
        <v>2.9999999329447746E-2</v>
      </c>
      <c r="M363" s="33">
        <v>0</v>
      </c>
      <c r="N363" s="33">
        <v>3.7200000286102295</v>
      </c>
      <c r="O363" s="33">
        <v>0.80000001192092896</v>
      </c>
      <c r="P363" s="33">
        <v>16</v>
      </c>
      <c r="Q363" s="33">
        <v>0.20000000298023224</v>
      </c>
      <c r="R363" s="34" t="s">
        <v>576</v>
      </c>
      <c r="S363" s="33">
        <v>13</v>
      </c>
      <c r="T363" s="35">
        <v>0</v>
      </c>
    </row>
    <row r="364" spans="1:20">
      <c r="A364" s="31">
        <v>362</v>
      </c>
      <c r="B364" s="33" t="s">
        <v>683</v>
      </c>
      <c r="C364" s="33">
        <v>60</v>
      </c>
      <c r="D364" s="33">
        <v>63</v>
      </c>
      <c r="E364" s="33">
        <v>79.199996948242188</v>
      </c>
      <c r="F364" s="33">
        <v>1.6000000238418579</v>
      </c>
      <c r="G364" s="33">
        <v>0.20000000298023224</v>
      </c>
      <c r="H364" s="33">
        <v>4.6999998092651367</v>
      </c>
      <c r="I364" s="33">
        <v>13.699999809265137</v>
      </c>
      <c r="J364" s="33">
        <v>0</v>
      </c>
      <c r="K364" s="33">
        <v>5.000000074505806E-2</v>
      </c>
      <c r="L364" s="33">
        <v>2.9999999329447746E-2</v>
      </c>
      <c r="M364" s="33">
        <v>0</v>
      </c>
      <c r="N364" s="33">
        <v>2.2799999713897705</v>
      </c>
      <c r="O364" s="33">
        <v>0.69999998807907104</v>
      </c>
      <c r="P364" s="33">
        <v>6</v>
      </c>
      <c r="Q364" s="33">
        <v>0.40000000596046448</v>
      </c>
      <c r="R364" s="34" t="s">
        <v>576</v>
      </c>
      <c r="S364" s="33">
        <v>5</v>
      </c>
      <c r="T364" s="35">
        <v>0</v>
      </c>
    </row>
    <row r="365" spans="1:20">
      <c r="A365" s="31">
        <v>363</v>
      </c>
      <c r="B365" s="33" t="s">
        <v>684</v>
      </c>
      <c r="C365" s="33">
        <v>55</v>
      </c>
      <c r="D365" s="33">
        <v>61</v>
      </c>
      <c r="E365" s="33">
        <v>79.5</v>
      </c>
      <c r="F365" s="33">
        <v>1.2000000476837158</v>
      </c>
      <c r="G365" s="33">
        <v>0.20000000298023224</v>
      </c>
      <c r="H365" s="33">
        <v>4.9000000953674316</v>
      </c>
      <c r="I365" s="33">
        <v>13.600000381469727</v>
      </c>
      <c r="J365" s="33">
        <v>0</v>
      </c>
      <c r="K365" s="33">
        <v>5.000000074505806E-2</v>
      </c>
      <c r="L365" s="33">
        <v>2.9999999329447746E-2</v>
      </c>
      <c r="M365" s="33">
        <v>0</v>
      </c>
      <c r="N365" s="33">
        <v>4.5300002098083496</v>
      </c>
      <c r="O365" s="33">
        <v>1.2999999523162842</v>
      </c>
      <c r="P365" s="33">
        <v>6</v>
      </c>
      <c r="Q365" s="33">
        <v>0.20000000298023224</v>
      </c>
      <c r="R365" s="34" t="s">
        <v>576</v>
      </c>
      <c r="S365" s="33">
        <v>8</v>
      </c>
      <c r="T365" s="35">
        <v>0</v>
      </c>
    </row>
    <row r="366" spans="1:20">
      <c r="A366" s="31">
        <v>364</v>
      </c>
      <c r="B366" s="33" t="s">
        <v>685</v>
      </c>
      <c r="C366" s="33">
        <v>16</v>
      </c>
      <c r="D366" s="33">
        <v>107</v>
      </c>
      <c r="E366" s="33">
        <v>70.699996948242188</v>
      </c>
      <c r="F366" s="33">
        <v>2.7999999523162842</v>
      </c>
      <c r="G366" s="33">
        <v>0.30000001192092896</v>
      </c>
      <c r="H366" s="33">
        <v>2.2000000476837158</v>
      </c>
      <c r="I366" s="33">
        <v>23.299999237060547</v>
      </c>
      <c r="J366" s="33">
        <v>25</v>
      </c>
      <c r="K366" s="33">
        <v>1.9999999552965164E-2</v>
      </c>
      <c r="L366" s="33">
        <v>3.9999999105930328E-2</v>
      </c>
      <c r="M366" s="33">
        <v>0.20000000298023224</v>
      </c>
      <c r="N366" s="33">
        <v>1.5199999809265137</v>
      </c>
      <c r="O366" s="33">
        <v>8.3000001907348633</v>
      </c>
      <c r="P366" s="33">
        <v>105</v>
      </c>
      <c r="Q366" s="33">
        <v>11.699999809265137</v>
      </c>
      <c r="R366" s="34" t="s">
        <v>576</v>
      </c>
      <c r="S366" s="33">
        <v>74</v>
      </c>
      <c r="T366" s="35">
        <v>0</v>
      </c>
    </row>
    <row r="367" spans="1:20">
      <c r="A367" s="31">
        <v>365</v>
      </c>
      <c r="B367" s="33" t="s">
        <v>686</v>
      </c>
      <c r="C367" s="33">
        <v>52</v>
      </c>
      <c r="D367" s="33">
        <v>278</v>
      </c>
      <c r="E367" s="33">
        <v>18.299999237060547</v>
      </c>
      <c r="F367" s="33">
        <v>3.5</v>
      </c>
      <c r="G367" s="33">
        <v>1.5</v>
      </c>
      <c r="H367" s="33">
        <v>10.600000381469727</v>
      </c>
      <c r="I367" s="33">
        <v>62.700000762939453</v>
      </c>
      <c r="J367" s="33">
        <v>0</v>
      </c>
      <c r="K367" s="33">
        <v>9.9999997764825821E-3</v>
      </c>
      <c r="L367" s="33">
        <v>1.9999999552965164E-2</v>
      </c>
      <c r="M367" s="33">
        <v>0.89999997615814209</v>
      </c>
      <c r="N367" s="33">
        <v>0</v>
      </c>
      <c r="O367" s="33">
        <v>3.7999999523162842</v>
      </c>
      <c r="P367" s="33">
        <v>435</v>
      </c>
      <c r="Q367" s="33">
        <v>6.5999999046325684</v>
      </c>
      <c r="R367" s="34" t="s">
        <v>576</v>
      </c>
      <c r="S367" s="33">
        <v>0</v>
      </c>
      <c r="T367" s="35">
        <v>0</v>
      </c>
    </row>
    <row r="368" spans="1:20">
      <c r="A368" s="31">
        <v>366</v>
      </c>
      <c r="B368" s="33" t="s">
        <v>687</v>
      </c>
      <c r="C368" s="33">
        <v>86</v>
      </c>
      <c r="D368" s="33">
        <v>48</v>
      </c>
      <c r="E368" s="33">
        <v>86.400001525878906</v>
      </c>
      <c r="F368" s="33">
        <v>0.89999997615814209</v>
      </c>
      <c r="G368" s="33">
        <v>0.10000000149011612</v>
      </c>
      <c r="H368" s="33">
        <v>1.2999999523162842</v>
      </c>
      <c r="I368" s="33">
        <v>10.899999618530273</v>
      </c>
      <c r="J368" s="33">
        <v>3</v>
      </c>
      <c r="K368" s="33">
        <v>9.9999997764825821E-3</v>
      </c>
      <c r="L368" s="33">
        <v>2.9999999329447746E-2</v>
      </c>
      <c r="M368" s="33">
        <v>0.69999998807907104</v>
      </c>
      <c r="N368" s="33">
        <v>1.5399999618530273</v>
      </c>
      <c r="O368" s="33">
        <v>5.6999998092651367</v>
      </c>
      <c r="P368" s="33">
        <v>6</v>
      </c>
      <c r="Q368" s="33">
        <v>0.80000001192092896</v>
      </c>
      <c r="R368" s="34" t="s">
        <v>576</v>
      </c>
      <c r="S368" s="33">
        <v>7</v>
      </c>
      <c r="T368" s="35">
        <v>0</v>
      </c>
    </row>
    <row r="369" spans="1:20">
      <c r="A369" s="31">
        <v>367</v>
      </c>
      <c r="B369" s="33" t="s">
        <v>688</v>
      </c>
      <c r="C369" s="33">
        <v>93</v>
      </c>
      <c r="D369" s="33">
        <v>24</v>
      </c>
      <c r="E369" s="33">
        <v>92.699996948242188</v>
      </c>
      <c r="F369" s="33">
        <v>1.2999999523162842</v>
      </c>
      <c r="G369" s="33">
        <v>0.10000000149011612</v>
      </c>
      <c r="H369" s="33">
        <v>0.89999997615814209</v>
      </c>
      <c r="I369" s="33">
        <v>4.5999999046325684</v>
      </c>
      <c r="J369" s="33">
        <v>0</v>
      </c>
      <c r="K369" s="33">
        <v>9.9999997764825821E-3</v>
      </c>
      <c r="L369" s="33">
        <v>3.9999999105930328E-2</v>
      </c>
      <c r="M369" s="33">
        <v>0.20000000298023224</v>
      </c>
      <c r="N369" s="33">
        <v>0</v>
      </c>
      <c r="O369" s="33">
        <v>0</v>
      </c>
      <c r="P369" s="33">
        <v>0</v>
      </c>
      <c r="Q369" s="33">
        <v>0</v>
      </c>
      <c r="R369" s="34" t="s">
        <v>576</v>
      </c>
      <c r="S369" s="33">
        <v>9</v>
      </c>
      <c r="T369" s="35">
        <v>0</v>
      </c>
    </row>
    <row r="370" spans="1:20">
      <c r="A370" s="31">
        <v>368</v>
      </c>
      <c r="B370" s="33" t="s">
        <v>689</v>
      </c>
      <c r="C370" s="33">
        <v>69</v>
      </c>
      <c r="D370" s="33">
        <v>40</v>
      </c>
      <c r="E370" s="33">
        <v>88.5</v>
      </c>
      <c r="F370" s="33">
        <v>0.69999998807907104</v>
      </c>
      <c r="G370" s="33">
        <v>0.20000000298023224</v>
      </c>
      <c r="H370" s="33">
        <v>1.2999999523162842</v>
      </c>
      <c r="I370" s="33">
        <v>8.8000001907348633</v>
      </c>
      <c r="J370" s="33">
        <v>3</v>
      </c>
      <c r="K370" s="33">
        <v>3.9999999105930328E-2</v>
      </c>
      <c r="L370" s="33">
        <v>9.9999997764825821E-3</v>
      </c>
      <c r="M370" s="33">
        <v>0</v>
      </c>
      <c r="N370" s="33">
        <v>1.0499999523162842</v>
      </c>
      <c r="O370" s="33">
        <v>0.69999998807907104</v>
      </c>
      <c r="P370" s="33">
        <v>7</v>
      </c>
      <c r="Q370" s="33">
        <v>0.80000001192092896</v>
      </c>
      <c r="R370" s="34" t="s">
        <v>576</v>
      </c>
      <c r="S370" s="33">
        <v>10</v>
      </c>
      <c r="T370" s="35">
        <v>0</v>
      </c>
    </row>
    <row r="371" spans="1:20">
      <c r="A371" s="31">
        <v>369</v>
      </c>
      <c r="B371" s="33" t="s">
        <v>690</v>
      </c>
      <c r="C371" s="33">
        <v>89</v>
      </c>
      <c r="D371" s="33">
        <v>46</v>
      </c>
      <c r="E371" s="33">
        <v>87.300003051757813</v>
      </c>
      <c r="F371" s="33">
        <v>0.89999997615814209</v>
      </c>
      <c r="G371" s="33">
        <v>0.10000000149011612</v>
      </c>
      <c r="H371" s="33">
        <v>0.80000001192092896</v>
      </c>
      <c r="I371" s="33">
        <v>10.5</v>
      </c>
      <c r="J371" s="33">
        <v>2</v>
      </c>
      <c r="K371" s="33">
        <v>2.9999999329447746E-2</v>
      </c>
      <c r="L371" s="33">
        <v>1.9999999552965164E-2</v>
      </c>
      <c r="M371" s="33">
        <v>0.80000001192092896</v>
      </c>
      <c r="N371" s="33">
        <v>0.52999997138977051</v>
      </c>
      <c r="O371" s="33">
        <v>1.7999999523162842</v>
      </c>
      <c r="P371" s="33">
        <v>12</v>
      </c>
      <c r="Q371" s="33">
        <v>0.20000000298023224</v>
      </c>
      <c r="R371" s="34" t="s">
        <v>576</v>
      </c>
      <c r="S371" s="33">
        <v>10</v>
      </c>
      <c r="T371" s="35">
        <v>0</v>
      </c>
    </row>
    <row r="372" spans="1:20">
      <c r="A372" s="31">
        <v>370</v>
      </c>
      <c r="B372" s="33" t="s">
        <v>691</v>
      </c>
      <c r="C372" s="33">
        <v>93</v>
      </c>
      <c r="D372" s="33">
        <v>54</v>
      </c>
      <c r="E372" s="33">
        <v>85.199996948242188</v>
      </c>
      <c r="F372" s="33">
        <v>0.5</v>
      </c>
      <c r="G372" s="33">
        <v>0.10000000149011612</v>
      </c>
      <c r="H372" s="33">
        <v>1.2000000476837158</v>
      </c>
      <c r="I372" s="33">
        <v>12.800000190734863</v>
      </c>
      <c r="J372" s="33">
        <v>15</v>
      </c>
      <c r="K372" s="33">
        <v>0</v>
      </c>
      <c r="L372" s="33">
        <v>9.9999997764825821E-3</v>
      </c>
      <c r="M372" s="33">
        <v>0.30000001192092896</v>
      </c>
      <c r="N372" s="33">
        <v>0.92000001668930054</v>
      </c>
      <c r="O372" s="33">
        <v>0</v>
      </c>
      <c r="P372" s="33">
        <v>0</v>
      </c>
      <c r="Q372" s="33">
        <v>0</v>
      </c>
      <c r="R372" s="34" t="s">
        <v>576</v>
      </c>
      <c r="S372" s="33">
        <v>9</v>
      </c>
      <c r="T372" s="35">
        <v>0</v>
      </c>
    </row>
    <row r="373" spans="1:20">
      <c r="A373" s="31">
        <v>371</v>
      </c>
      <c r="B373" s="33" t="s">
        <v>692</v>
      </c>
      <c r="C373" s="33">
        <v>88</v>
      </c>
      <c r="D373" s="33">
        <v>26</v>
      </c>
      <c r="E373" s="33">
        <v>92.199996948242188</v>
      </c>
      <c r="F373" s="33">
        <v>0.69999998807907104</v>
      </c>
      <c r="G373" s="33">
        <v>0.10000000149011612</v>
      </c>
      <c r="H373" s="33">
        <v>1</v>
      </c>
      <c r="I373" s="33">
        <v>5.5999999046325684</v>
      </c>
      <c r="J373" s="33">
        <v>0</v>
      </c>
      <c r="K373" s="33">
        <v>0</v>
      </c>
      <c r="L373" s="33">
        <v>2.9999999329447746E-2</v>
      </c>
      <c r="M373" s="33">
        <v>0.20000000298023224</v>
      </c>
      <c r="N373" s="33">
        <v>0</v>
      </c>
      <c r="O373" s="33">
        <v>0</v>
      </c>
      <c r="P373" s="33">
        <v>0</v>
      </c>
      <c r="Q373" s="33">
        <v>0</v>
      </c>
      <c r="R373" s="34" t="s">
        <v>576</v>
      </c>
      <c r="S373" s="33">
        <v>9</v>
      </c>
      <c r="T373" s="35">
        <v>0</v>
      </c>
    </row>
    <row r="374" spans="1:20">
      <c r="A374" s="31">
        <v>372</v>
      </c>
      <c r="B374" s="33" t="s">
        <v>693</v>
      </c>
      <c r="C374" s="33">
        <v>94</v>
      </c>
      <c r="D374" s="33">
        <v>41</v>
      </c>
      <c r="E374" s="33">
        <v>89</v>
      </c>
      <c r="F374" s="33">
        <v>0.60000002384185791</v>
      </c>
      <c r="G374" s="33">
        <v>0.10000000149011612</v>
      </c>
      <c r="H374" s="33">
        <v>0.60000002384185791</v>
      </c>
      <c r="I374" s="33">
        <v>9.3999996185302734</v>
      </c>
      <c r="J374" s="33">
        <v>0</v>
      </c>
      <c r="K374" s="33">
        <v>3.9999999105930328E-2</v>
      </c>
      <c r="L374" s="33">
        <v>3.9999999105930328E-2</v>
      </c>
      <c r="M374" s="33">
        <v>1.2000000476837158</v>
      </c>
      <c r="N374" s="33">
        <v>1.1499999761581421</v>
      </c>
      <c r="O374" s="33">
        <v>2</v>
      </c>
      <c r="P374" s="33">
        <v>10</v>
      </c>
      <c r="Q374" s="33">
        <v>0.40000000596046448</v>
      </c>
      <c r="R374" s="34" t="s">
        <v>576</v>
      </c>
      <c r="S374" s="33">
        <v>8</v>
      </c>
      <c r="T374" s="35">
        <v>0</v>
      </c>
    </row>
    <row r="375" spans="1:20">
      <c r="A375" s="31">
        <v>373</v>
      </c>
      <c r="B375" s="33" t="s">
        <v>694</v>
      </c>
      <c r="C375" s="33">
        <v>69</v>
      </c>
      <c r="D375" s="33">
        <v>33</v>
      </c>
      <c r="E375" s="33">
        <v>88.699996948242188</v>
      </c>
      <c r="F375" s="33">
        <v>0.5</v>
      </c>
      <c r="G375" s="33">
        <v>0.20000000298023224</v>
      </c>
      <c r="H375" s="33">
        <v>2.7999999523162842</v>
      </c>
      <c r="I375" s="33">
        <v>7.4000000953674316</v>
      </c>
      <c r="J375" s="33">
        <v>0</v>
      </c>
      <c r="K375" s="33">
        <v>0</v>
      </c>
      <c r="L375" s="33">
        <v>1.9999999552965164E-2</v>
      </c>
      <c r="M375" s="33">
        <v>0.10000000149011612</v>
      </c>
      <c r="N375" s="33">
        <v>0.69999998807907104</v>
      </c>
      <c r="O375" s="33">
        <v>1</v>
      </c>
      <c r="P375" s="33">
        <v>4</v>
      </c>
      <c r="Q375" s="33">
        <v>0.30000001192092896</v>
      </c>
      <c r="R375" s="34" t="s">
        <v>576</v>
      </c>
      <c r="S375" s="33">
        <v>25</v>
      </c>
      <c r="T375" s="35">
        <v>0</v>
      </c>
    </row>
    <row r="376" spans="1:20">
      <c r="A376" s="31">
        <v>374</v>
      </c>
      <c r="B376" s="33" t="s">
        <v>695</v>
      </c>
      <c r="C376" s="33">
        <v>88</v>
      </c>
      <c r="D376" s="33">
        <v>41</v>
      </c>
      <c r="E376" s="33">
        <v>88.699996948242188</v>
      </c>
      <c r="F376" s="33">
        <v>0.89999997615814209</v>
      </c>
      <c r="G376" s="33">
        <v>0.20000000298023224</v>
      </c>
      <c r="H376" s="33">
        <v>0.80000001192092896</v>
      </c>
      <c r="I376" s="33">
        <v>9</v>
      </c>
      <c r="J376" s="33">
        <v>2</v>
      </c>
      <c r="K376" s="33">
        <v>1.9999999552965164E-2</v>
      </c>
      <c r="L376" s="33">
        <v>2.9999999329447746E-2</v>
      </c>
      <c r="M376" s="33">
        <v>1</v>
      </c>
      <c r="N376" s="33">
        <v>1</v>
      </c>
      <c r="O376" s="33">
        <v>2.9000000953674316</v>
      </c>
      <c r="P376" s="33">
        <v>10</v>
      </c>
      <c r="Q376" s="33">
        <v>0.5</v>
      </c>
      <c r="R376" s="34" t="s">
        <v>576</v>
      </c>
      <c r="S376" s="33">
        <v>4</v>
      </c>
      <c r="T376" s="35">
        <v>0</v>
      </c>
    </row>
    <row r="377" spans="1:20">
      <c r="A377" s="31">
        <v>375</v>
      </c>
      <c r="B377" s="33" t="s">
        <v>696</v>
      </c>
      <c r="C377" s="33">
        <v>75</v>
      </c>
      <c r="D377" s="33">
        <v>39</v>
      </c>
      <c r="E377" s="33">
        <v>89</v>
      </c>
      <c r="F377" s="33">
        <v>0.69999998807907104</v>
      </c>
      <c r="G377" s="33">
        <v>0.20000000298023224</v>
      </c>
      <c r="H377" s="33">
        <v>1</v>
      </c>
      <c r="I377" s="33">
        <v>8.6000003814697266</v>
      </c>
      <c r="J377" s="33">
        <v>3</v>
      </c>
      <c r="K377" s="33">
        <v>5.000000074505806E-2</v>
      </c>
      <c r="L377" s="33">
        <v>9.9999997764825821E-3</v>
      </c>
      <c r="M377" s="33">
        <v>0</v>
      </c>
      <c r="N377" s="33">
        <v>0.20999999344348907</v>
      </c>
      <c r="O377" s="33">
        <v>0.5</v>
      </c>
      <c r="P377" s="33">
        <v>6</v>
      </c>
      <c r="Q377" s="33">
        <v>0.30000001192092896</v>
      </c>
      <c r="R377" s="34" t="s">
        <v>576</v>
      </c>
      <c r="S377" s="33">
        <v>11</v>
      </c>
      <c r="T377" s="35">
        <v>0</v>
      </c>
    </row>
    <row r="378" spans="1:20">
      <c r="A378" s="31">
        <v>376</v>
      </c>
      <c r="B378" s="33" t="s">
        <v>697</v>
      </c>
      <c r="C378" s="33">
        <v>93</v>
      </c>
      <c r="D378" s="33">
        <v>44</v>
      </c>
      <c r="E378" s="33">
        <v>88.800003051757813</v>
      </c>
      <c r="F378" s="33">
        <v>0.60000002384185791</v>
      </c>
      <c r="G378" s="33">
        <v>0.10000000149011612</v>
      </c>
      <c r="H378" s="33">
        <v>0</v>
      </c>
      <c r="I378" s="33">
        <v>10.100000381469727</v>
      </c>
      <c r="J378" s="33">
        <v>0</v>
      </c>
      <c r="K378" s="33">
        <v>9.9999997764825821E-3</v>
      </c>
      <c r="L378" s="33">
        <v>0.20999999344348907</v>
      </c>
      <c r="M378" s="33">
        <v>0.10000000149011612</v>
      </c>
      <c r="N378" s="33">
        <v>0.75999999046325684</v>
      </c>
      <c r="O378" s="33">
        <v>2.0999999046325684</v>
      </c>
      <c r="P378" s="33">
        <v>0</v>
      </c>
      <c r="Q378" s="33">
        <v>0.30000001192092896</v>
      </c>
      <c r="R378" s="34" t="s">
        <v>576</v>
      </c>
      <c r="S378" s="33">
        <v>0</v>
      </c>
      <c r="T378" s="35">
        <v>0</v>
      </c>
    </row>
    <row r="379" spans="1:20">
      <c r="A379" s="31">
        <v>377</v>
      </c>
      <c r="B379" s="33" t="s">
        <v>698</v>
      </c>
      <c r="C379" s="33">
        <v>93</v>
      </c>
      <c r="D379" s="33">
        <v>42</v>
      </c>
      <c r="E379" s="33">
        <v>89.400001525878906</v>
      </c>
      <c r="F379" s="33">
        <v>0.40000000596046448</v>
      </c>
      <c r="G379" s="33">
        <v>0.10000000149011612</v>
      </c>
      <c r="H379" s="33">
        <v>0</v>
      </c>
      <c r="I379" s="33">
        <v>10</v>
      </c>
      <c r="J379" s="33">
        <v>0</v>
      </c>
      <c r="K379" s="33">
        <v>0</v>
      </c>
      <c r="L379" s="33">
        <v>0.28999999165534973</v>
      </c>
      <c r="M379" s="33">
        <v>0</v>
      </c>
      <c r="N379" s="33">
        <v>0.67000001668930054</v>
      </c>
      <c r="O379" s="33">
        <v>0</v>
      </c>
      <c r="P379" s="33">
        <v>7</v>
      </c>
      <c r="Q379" s="33">
        <v>0.30000001192092896</v>
      </c>
      <c r="R379" s="34" t="s">
        <v>576</v>
      </c>
      <c r="S379" s="33">
        <v>0</v>
      </c>
      <c r="T379" s="35">
        <v>0</v>
      </c>
    </row>
    <row r="380" spans="1:20">
      <c r="A380" s="31">
        <v>378</v>
      </c>
      <c r="B380" s="33" t="s">
        <v>699</v>
      </c>
      <c r="C380" s="33">
        <v>73</v>
      </c>
      <c r="D380" s="33">
        <v>38</v>
      </c>
      <c r="E380" s="33">
        <v>89</v>
      </c>
      <c r="F380" s="33">
        <v>0.40000000596046448</v>
      </c>
      <c r="G380" s="33">
        <v>0.10000000149011612</v>
      </c>
      <c r="H380" s="33">
        <v>1.1000000238418579</v>
      </c>
      <c r="I380" s="33">
        <v>9</v>
      </c>
      <c r="J380" s="33">
        <v>10</v>
      </c>
      <c r="K380" s="33">
        <v>5.000000074505806E-2</v>
      </c>
      <c r="L380" s="33">
        <v>1.9999999552965164E-2</v>
      </c>
      <c r="M380" s="33">
        <v>0</v>
      </c>
      <c r="N380" s="33">
        <v>0.70999997854232788</v>
      </c>
      <c r="O380" s="33">
        <v>1.2999999523162842</v>
      </c>
      <c r="P380" s="33">
        <v>4</v>
      </c>
      <c r="Q380" s="33">
        <v>0.40000000596046448</v>
      </c>
      <c r="R380" s="34" t="s">
        <v>576</v>
      </c>
      <c r="S380" s="33">
        <v>12</v>
      </c>
      <c r="T380" s="35">
        <v>0</v>
      </c>
    </row>
    <row r="381" spans="1:20">
      <c r="A381" s="31">
        <v>379</v>
      </c>
      <c r="B381" s="33" t="s">
        <v>700</v>
      </c>
      <c r="C381" s="33">
        <v>100</v>
      </c>
      <c r="D381" s="33">
        <v>58</v>
      </c>
      <c r="E381" s="33">
        <v>84.900001525878906</v>
      </c>
      <c r="F381" s="33">
        <v>0.30000001192092896</v>
      </c>
      <c r="G381" s="33">
        <v>0</v>
      </c>
      <c r="H381" s="33">
        <v>0.40000000596046448</v>
      </c>
      <c r="I381" s="33">
        <v>14.300000190734863</v>
      </c>
      <c r="J381" s="33">
        <v>0</v>
      </c>
      <c r="K381" s="33">
        <v>0</v>
      </c>
      <c r="L381" s="33">
        <v>3.9999999105930328E-2</v>
      </c>
      <c r="M381" s="33">
        <v>0.20000000298023224</v>
      </c>
      <c r="N381" s="33">
        <v>0.75</v>
      </c>
      <c r="O381" s="33">
        <v>28</v>
      </c>
      <c r="P381" s="33">
        <v>16</v>
      </c>
      <c r="Q381" s="33">
        <v>0.40000000596046448</v>
      </c>
      <c r="R381" s="34" t="s">
        <v>576</v>
      </c>
      <c r="S381" s="33">
        <v>0</v>
      </c>
      <c r="T381" s="35">
        <v>0</v>
      </c>
    </row>
    <row r="382" spans="1:20">
      <c r="A382" s="31">
        <v>380</v>
      </c>
      <c r="B382" s="33" t="s">
        <v>701</v>
      </c>
      <c r="C382" s="33">
        <v>100</v>
      </c>
      <c r="D382" s="33">
        <v>273</v>
      </c>
      <c r="E382" s="33">
        <v>31.200000762939453</v>
      </c>
      <c r="F382" s="33">
        <v>0.40000000596046448</v>
      </c>
      <c r="G382" s="33">
        <v>0.20000000298023224</v>
      </c>
      <c r="H382" s="33">
        <v>0.5</v>
      </c>
      <c r="I382" s="33">
        <v>67.5</v>
      </c>
      <c r="J382" s="33">
        <v>0</v>
      </c>
      <c r="K382" s="33">
        <v>9.9999997764825821E-3</v>
      </c>
      <c r="L382" s="33">
        <v>9.9999997764825821E-3</v>
      </c>
      <c r="M382" s="33">
        <v>0.5</v>
      </c>
      <c r="N382" s="33">
        <v>0.43000000715255737</v>
      </c>
      <c r="O382" s="33">
        <v>14.199999809265137</v>
      </c>
      <c r="P382" s="33">
        <v>5</v>
      </c>
      <c r="Q382" s="33">
        <v>1.2999999523162842</v>
      </c>
      <c r="R382" s="34" t="s">
        <v>576</v>
      </c>
      <c r="S382" s="33">
        <v>3</v>
      </c>
      <c r="T382" s="35">
        <v>0</v>
      </c>
    </row>
    <row r="383" spans="1:20">
      <c r="A383" s="31">
        <v>381</v>
      </c>
      <c r="B383" s="33" t="s">
        <v>702</v>
      </c>
      <c r="C383" s="33">
        <v>100</v>
      </c>
      <c r="D383" s="33">
        <v>310</v>
      </c>
      <c r="E383" s="33">
        <v>19.200000762939453</v>
      </c>
      <c r="F383" s="33">
        <v>1.3999999761581421</v>
      </c>
      <c r="G383" s="33">
        <v>0.40000000596046448</v>
      </c>
      <c r="H383" s="33">
        <v>2.4000000953674316</v>
      </c>
      <c r="I383" s="33">
        <v>75.199996948242188</v>
      </c>
      <c r="J383" s="33">
        <v>8</v>
      </c>
      <c r="K383" s="33">
        <v>9.9999997764825821E-3</v>
      </c>
      <c r="L383" s="33">
        <v>0.11999999731779099</v>
      </c>
      <c r="M383" s="33">
        <v>0.80000001192092896</v>
      </c>
      <c r="N383" s="33">
        <v>6.25</v>
      </c>
      <c r="O383" s="33">
        <v>243</v>
      </c>
      <c r="P383" s="33">
        <v>96</v>
      </c>
      <c r="Q383" s="33">
        <v>10.399999618530273</v>
      </c>
      <c r="R383" s="34" t="s">
        <v>576</v>
      </c>
      <c r="S383" s="33">
        <v>6</v>
      </c>
      <c r="T383" s="35">
        <v>0</v>
      </c>
    </row>
    <row r="384" spans="1:20">
      <c r="A384" s="31">
        <v>382</v>
      </c>
      <c r="B384" s="33" t="s">
        <v>703</v>
      </c>
      <c r="C384" s="33">
        <v>100</v>
      </c>
      <c r="D384" s="33">
        <v>59</v>
      </c>
      <c r="E384" s="33">
        <v>81.300003051757813</v>
      </c>
      <c r="F384" s="33">
        <v>1.5</v>
      </c>
      <c r="G384" s="33">
        <v>0.10000000149011612</v>
      </c>
      <c r="H384" s="33">
        <v>3</v>
      </c>
      <c r="I384" s="33">
        <v>13</v>
      </c>
      <c r="J384" s="33">
        <v>5</v>
      </c>
      <c r="K384" s="33">
        <v>2.9999999329447746E-2</v>
      </c>
      <c r="L384" s="33">
        <v>1.9999999552965164E-2</v>
      </c>
      <c r="M384" s="33">
        <v>0.10000000149011612</v>
      </c>
      <c r="N384" s="33">
        <v>1.8200000524520874</v>
      </c>
      <c r="O384" s="33">
        <v>5.5</v>
      </c>
      <c r="P384" s="33">
        <v>67</v>
      </c>
      <c r="Q384" s="33">
        <v>0.10000000149011612</v>
      </c>
      <c r="R384" s="34" t="s">
        <v>576</v>
      </c>
      <c r="S384" s="33">
        <v>2</v>
      </c>
      <c r="T384" s="35">
        <v>0</v>
      </c>
    </row>
    <row r="385" spans="1:20">
      <c r="A385" s="31">
        <v>383</v>
      </c>
      <c r="B385" s="33" t="s">
        <v>704</v>
      </c>
      <c r="C385" s="33">
        <v>59</v>
      </c>
      <c r="D385" s="33">
        <v>91</v>
      </c>
      <c r="E385" s="33">
        <v>75.800003051757813</v>
      </c>
      <c r="F385" s="33">
        <v>1.3999999761581421</v>
      </c>
      <c r="G385" s="33">
        <v>0.20000000298023224</v>
      </c>
      <c r="H385" s="33">
        <v>1.2000000476837158</v>
      </c>
      <c r="I385" s="33">
        <v>20.799999237060547</v>
      </c>
      <c r="J385" s="33">
        <v>10</v>
      </c>
      <c r="K385" s="33">
        <v>1.9999999552965164E-2</v>
      </c>
      <c r="L385" s="33">
        <v>3.9999999105930328E-2</v>
      </c>
      <c r="M385" s="33">
        <v>0.69999998807907104</v>
      </c>
      <c r="N385" s="33">
        <v>0.23999999463558197</v>
      </c>
      <c r="O385" s="33">
        <v>0.80000001192092896</v>
      </c>
      <c r="P385" s="33">
        <v>7</v>
      </c>
      <c r="Q385" s="33">
        <v>0.40000000596046448</v>
      </c>
      <c r="R385" s="34" t="s">
        <v>576</v>
      </c>
      <c r="S385" s="33">
        <v>8</v>
      </c>
      <c r="T385" s="35">
        <v>0</v>
      </c>
    </row>
    <row r="386" spans="1:20">
      <c r="A386" s="31">
        <v>384</v>
      </c>
      <c r="B386" s="33" t="s">
        <v>705</v>
      </c>
      <c r="C386" s="33">
        <v>100</v>
      </c>
      <c r="D386" s="33">
        <v>305</v>
      </c>
      <c r="E386" s="33">
        <v>18.700000762939453</v>
      </c>
      <c r="F386" s="33">
        <v>0.69999998807907104</v>
      </c>
      <c r="G386" s="33">
        <v>0.20000000298023224</v>
      </c>
      <c r="H386" s="33">
        <v>2</v>
      </c>
      <c r="I386" s="33">
        <v>75.5</v>
      </c>
      <c r="J386" s="33">
        <v>3</v>
      </c>
      <c r="K386" s="33">
        <v>9.9999997764825821E-3</v>
      </c>
      <c r="L386" s="33">
        <v>2.9999999329447746E-2</v>
      </c>
      <c r="M386" s="33">
        <v>0.40000000596046448</v>
      </c>
      <c r="N386" s="33">
        <v>0</v>
      </c>
      <c r="O386" s="33">
        <v>529.29998779296875</v>
      </c>
      <c r="P386" s="33">
        <v>253</v>
      </c>
      <c r="Q386" s="33">
        <v>11</v>
      </c>
      <c r="R386" s="34" t="s">
        <v>576</v>
      </c>
      <c r="S386" s="33">
        <v>13</v>
      </c>
      <c r="T386" s="35">
        <v>0</v>
      </c>
    </row>
    <row r="387" spans="1:20">
      <c r="A387" s="31">
        <v>385</v>
      </c>
      <c r="B387" s="33" t="s">
        <v>706</v>
      </c>
      <c r="C387" s="33">
        <v>91</v>
      </c>
      <c r="D387" s="33">
        <v>36</v>
      </c>
      <c r="E387" s="33">
        <v>89.400001525878906</v>
      </c>
      <c r="F387" s="33">
        <v>0.89999997615814209</v>
      </c>
      <c r="G387" s="33">
        <v>0.10000000149011612</v>
      </c>
      <c r="H387" s="33">
        <v>1.2999999523162842</v>
      </c>
      <c r="I387" s="33">
        <v>7.8000001907348633</v>
      </c>
      <c r="J387" s="33">
        <v>75</v>
      </c>
      <c r="K387" s="33">
        <v>1.9999999552965164E-2</v>
      </c>
      <c r="L387" s="33">
        <v>2.9999999329447746E-2</v>
      </c>
      <c r="M387" s="33">
        <v>0.60000002384185791</v>
      </c>
      <c r="N387" s="33">
        <v>0.94999998807907104</v>
      </c>
      <c r="O387" s="33">
        <v>2.2999999523162842</v>
      </c>
      <c r="P387" s="33">
        <v>14</v>
      </c>
      <c r="Q387" s="33">
        <v>0.60000002384185791</v>
      </c>
      <c r="R387" s="34" t="s">
        <v>576</v>
      </c>
      <c r="S387" s="33">
        <v>4</v>
      </c>
      <c r="T387" s="35">
        <v>0</v>
      </c>
    </row>
    <row r="388" spans="1:20">
      <c r="A388" s="31">
        <v>386</v>
      </c>
      <c r="B388" s="33" t="s">
        <v>707</v>
      </c>
      <c r="C388" s="33">
        <v>92</v>
      </c>
      <c r="D388" s="33">
        <v>35</v>
      </c>
      <c r="E388" s="33">
        <v>89.900001525878906</v>
      </c>
      <c r="F388" s="33">
        <v>1</v>
      </c>
      <c r="G388" s="33">
        <v>0.10000000149011612</v>
      </c>
      <c r="H388" s="33">
        <v>1.1000000238418579</v>
      </c>
      <c r="I388" s="33">
        <v>7.5</v>
      </c>
      <c r="J388" s="33">
        <v>13</v>
      </c>
      <c r="K388" s="33">
        <v>2.9999999329447746E-2</v>
      </c>
      <c r="L388" s="33">
        <v>9.9999997764825821E-3</v>
      </c>
      <c r="M388" s="33">
        <v>0.5</v>
      </c>
      <c r="N388" s="33">
        <v>0</v>
      </c>
      <c r="O388" s="33">
        <v>1.5</v>
      </c>
      <c r="P388" s="33">
        <v>3</v>
      </c>
      <c r="Q388" s="33">
        <v>0.20000000298023224</v>
      </c>
      <c r="R388" s="34" t="s">
        <v>576</v>
      </c>
      <c r="S388" s="33">
        <v>16</v>
      </c>
      <c r="T388" s="35">
        <v>0</v>
      </c>
    </row>
    <row r="389" spans="1:20">
      <c r="A389" s="31">
        <v>387</v>
      </c>
      <c r="B389" s="33" t="s">
        <v>708</v>
      </c>
      <c r="C389" s="33">
        <v>25</v>
      </c>
      <c r="D389" s="33">
        <v>330</v>
      </c>
      <c r="E389" s="33">
        <v>8.8000001907348633</v>
      </c>
      <c r="F389" s="33">
        <v>2.7000000476837158</v>
      </c>
      <c r="G389" s="33">
        <v>0.40000000596046448</v>
      </c>
      <c r="H389" s="33">
        <v>4.4000000953674316</v>
      </c>
      <c r="I389" s="33">
        <v>78.800003051757813</v>
      </c>
      <c r="J389" s="33">
        <v>102</v>
      </c>
      <c r="K389" s="33">
        <v>0</v>
      </c>
      <c r="L389" s="33">
        <v>9.9999997764825821E-3</v>
      </c>
      <c r="M389" s="33">
        <v>1.2000000476837158</v>
      </c>
      <c r="N389" s="33">
        <v>0</v>
      </c>
      <c r="O389" s="33">
        <v>40.400001525878906</v>
      </c>
      <c r="P389" s="33">
        <v>147</v>
      </c>
      <c r="Q389" s="33">
        <v>0.30000001192092896</v>
      </c>
      <c r="R389" s="34" t="s">
        <v>576</v>
      </c>
      <c r="S389" s="33">
        <v>0</v>
      </c>
      <c r="T389" s="35">
        <v>0</v>
      </c>
    </row>
    <row r="390" spans="1:20">
      <c r="A390" s="31">
        <v>388</v>
      </c>
      <c r="B390" s="33" t="s">
        <v>709</v>
      </c>
      <c r="C390" s="33">
        <v>100</v>
      </c>
      <c r="D390" s="33">
        <v>286</v>
      </c>
      <c r="E390" s="33">
        <v>28.299999237060547</v>
      </c>
      <c r="F390" s="33">
        <v>0.20000000298023224</v>
      </c>
      <c r="G390" s="33">
        <v>0.30000001192092896</v>
      </c>
      <c r="H390" s="33">
        <v>0.40000000596046448</v>
      </c>
      <c r="I390" s="33">
        <v>70.5</v>
      </c>
      <c r="J390" s="33">
        <v>5</v>
      </c>
      <c r="K390" s="33">
        <v>0.10000000149011612</v>
      </c>
      <c r="L390" s="33">
        <v>7.0000000298023224E-2</v>
      </c>
      <c r="M390" s="33">
        <v>0.20000000298023224</v>
      </c>
      <c r="N390" s="33">
        <v>0.31000000238418579</v>
      </c>
      <c r="O390" s="33">
        <v>5</v>
      </c>
      <c r="P390" s="33">
        <v>6</v>
      </c>
      <c r="Q390" s="33">
        <v>0.40000000596046448</v>
      </c>
      <c r="R390" s="34" t="s">
        <v>576</v>
      </c>
      <c r="S390" s="33">
        <v>1</v>
      </c>
      <c r="T390" s="35">
        <v>0</v>
      </c>
    </row>
    <row r="391" spans="1:20">
      <c r="A391" s="31">
        <v>389</v>
      </c>
      <c r="B391" s="33" t="s">
        <v>710</v>
      </c>
      <c r="C391" s="33">
        <v>100</v>
      </c>
      <c r="D391" s="33">
        <v>329</v>
      </c>
      <c r="E391" s="33">
        <v>15.300000190734863</v>
      </c>
      <c r="F391" s="33">
        <v>0.80000001192092896</v>
      </c>
      <c r="G391" s="33">
        <v>0.60000002384185791</v>
      </c>
      <c r="H391" s="33">
        <v>1.7999999523162842</v>
      </c>
      <c r="I391" s="33">
        <v>80.199996948242188</v>
      </c>
      <c r="J391" s="33">
        <v>157</v>
      </c>
      <c r="K391" s="33">
        <v>1.9999999552965164E-2</v>
      </c>
      <c r="L391" s="33">
        <v>9.0000003576278687E-2</v>
      </c>
      <c r="M391" s="33">
        <v>0.60000002384185791</v>
      </c>
      <c r="N391" s="33">
        <v>0.61000001430511475</v>
      </c>
      <c r="O391" s="33">
        <v>213.30000305175781</v>
      </c>
      <c r="P391" s="33">
        <v>68</v>
      </c>
      <c r="Q391" s="33">
        <v>4.8000001907348633</v>
      </c>
      <c r="R391" s="34" t="s">
        <v>576</v>
      </c>
      <c r="S391" s="33">
        <v>6</v>
      </c>
      <c r="T391" s="35">
        <v>0</v>
      </c>
    </row>
    <row r="392" spans="1:20">
      <c r="A392" s="31">
        <v>390</v>
      </c>
      <c r="B392" s="33" t="s">
        <v>711</v>
      </c>
      <c r="C392" s="33">
        <v>100</v>
      </c>
      <c r="D392" s="33">
        <v>284</v>
      </c>
      <c r="E392" s="33">
        <v>23.700000762939453</v>
      </c>
      <c r="F392" s="33">
        <v>2.7999999523162842</v>
      </c>
      <c r="G392" s="33">
        <v>0.30000001192092896</v>
      </c>
      <c r="H392" s="33">
        <v>4.5999999046325684</v>
      </c>
      <c r="I392" s="33">
        <v>67.5</v>
      </c>
      <c r="J392" s="33">
        <v>80</v>
      </c>
      <c r="K392" s="33">
        <v>0</v>
      </c>
      <c r="L392" s="33">
        <v>2.9999999329447746E-2</v>
      </c>
      <c r="M392" s="33">
        <v>1.5</v>
      </c>
      <c r="N392" s="33">
        <v>0</v>
      </c>
      <c r="O392" s="33">
        <v>146.5</v>
      </c>
      <c r="P392" s="33">
        <v>397</v>
      </c>
      <c r="Q392" s="33">
        <v>12.300000190734863</v>
      </c>
      <c r="R392" s="34" t="s">
        <v>576</v>
      </c>
      <c r="S392" s="33">
        <v>8</v>
      </c>
      <c r="T392" s="35">
        <v>0</v>
      </c>
    </row>
    <row r="393" spans="1:20">
      <c r="A393" s="31">
        <v>391</v>
      </c>
      <c r="B393" s="33" t="s">
        <v>712</v>
      </c>
      <c r="C393" s="33">
        <v>100</v>
      </c>
      <c r="D393" s="33">
        <v>37</v>
      </c>
      <c r="E393" s="33">
        <v>89.199996948242188</v>
      </c>
      <c r="F393" s="33">
        <v>0.60000002384185791</v>
      </c>
      <c r="G393" s="33">
        <v>0.20000000298023224</v>
      </c>
      <c r="H393" s="33">
        <v>1.3999999761581421</v>
      </c>
      <c r="I393" s="33">
        <v>8.3000001907348633</v>
      </c>
      <c r="J393" s="33">
        <v>72</v>
      </c>
      <c r="K393" s="33">
        <v>0</v>
      </c>
      <c r="L393" s="33">
        <v>0</v>
      </c>
      <c r="M393" s="33">
        <v>0</v>
      </c>
      <c r="N393" s="33">
        <v>1.3200000524520874</v>
      </c>
      <c r="O393" s="33">
        <v>22.299999237060547</v>
      </c>
      <c r="P393" s="33">
        <v>6</v>
      </c>
      <c r="Q393" s="33">
        <v>2.0999999046325684</v>
      </c>
      <c r="R393" s="34" t="s">
        <v>576</v>
      </c>
      <c r="S393" s="33">
        <v>0</v>
      </c>
      <c r="T393" s="35">
        <v>0</v>
      </c>
    </row>
    <row r="394" spans="1:20">
      <c r="A394" s="31">
        <v>392</v>
      </c>
      <c r="B394" s="33" t="s">
        <v>713</v>
      </c>
      <c r="C394" s="33">
        <v>82</v>
      </c>
      <c r="D394" s="33">
        <v>28</v>
      </c>
      <c r="E394" s="33">
        <v>92</v>
      </c>
      <c r="F394" s="33">
        <v>0.80000001192092896</v>
      </c>
      <c r="G394" s="33">
        <v>0.20000000298023224</v>
      </c>
      <c r="H394" s="33">
        <v>1</v>
      </c>
      <c r="I394" s="33">
        <v>5.6999998092651367</v>
      </c>
      <c r="J394" s="33">
        <v>7</v>
      </c>
      <c r="K394" s="33">
        <v>9.9999997764825821E-3</v>
      </c>
      <c r="L394" s="33">
        <v>5.000000074505806E-2</v>
      </c>
      <c r="M394" s="33">
        <v>0.30000001192092896</v>
      </c>
      <c r="N394" s="33">
        <v>0.81000000238418579</v>
      </c>
      <c r="O394" s="33">
        <v>0.69999998807907104</v>
      </c>
      <c r="P394" s="33">
        <v>14</v>
      </c>
      <c r="Q394" s="33">
        <v>1</v>
      </c>
      <c r="R394" s="34" t="s">
        <v>576</v>
      </c>
      <c r="S394" s="33">
        <v>9</v>
      </c>
      <c r="T394" s="35">
        <v>0</v>
      </c>
    </row>
    <row r="395" spans="1:20">
      <c r="A395" s="31">
        <v>393</v>
      </c>
      <c r="B395" s="33" t="s">
        <v>714</v>
      </c>
      <c r="C395" s="33">
        <v>88</v>
      </c>
      <c r="D395" s="33">
        <v>29</v>
      </c>
      <c r="E395" s="33">
        <v>91.400001525878906</v>
      </c>
      <c r="F395" s="33">
        <v>0.60000002384185791</v>
      </c>
      <c r="G395" s="33">
        <v>0.20000000298023224</v>
      </c>
      <c r="H395" s="33">
        <v>1.2000000476837158</v>
      </c>
      <c r="I395" s="33">
        <v>6.1999998092651367</v>
      </c>
      <c r="J395" s="33">
        <v>3</v>
      </c>
      <c r="K395" s="33">
        <v>1.9999999552965164E-2</v>
      </c>
      <c r="L395" s="33">
        <v>2.9999999329447746E-2</v>
      </c>
      <c r="M395" s="33">
        <v>0.69999998807907104</v>
      </c>
      <c r="N395" s="33">
        <v>0</v>
      </c>
      <c r="O395" s="33">
        <v>1.3999999761581421</v>
      </c>
      <c r="P395" s="33">
        <v>4</v>
      </c>
      <c r="Q395" s="33">
        <v>0.40000000596046448</v>
      </c>
      <c r="R395" s="34" t="s">
        <v>576</v>
      </c>
      <c r="S395" s="33">
        <v>7</v>
      </c>
      <c r="T395" s="35">
        <v>0</v>
      </c>
    </row>
    <row r="396" spans="1:20">
      <c r="A396" s="31">
        <v>394</v>
      </c>
      <c r="B396" s="33" t="s">
        <v>715</v>
      </c>
      <c r="C396" s="33">
        <v>33</v>
      </c>
      <c r="D396" s="33">
        <v>231</v>
      </c>
      <c r="E396" s="33">
        <v>51.799999237060547</v>
      </c>
      <c r="F396" s="33">
        <v>4</v>
      </c>
      <c r="G396" s="33">
        <v>12.100000381469727</v>
      </c>
      <c r="H396" s="33">
        <v>4.6999998092651367</v>
      </c>
      <c r="I396" s="33">
        <v>26.600000381469727</v>
      </c>
      <c r="J396" s="33">
        <v>0</v>
      </c>
      <c r="K396" s="33">
        <v>9.9999997764825821E-3</v>
      </c>
      <c r="L396" s="33">
        <v>9.9999997764825821E-3</v>
      </c>
      <c r="M396" s="33">
        <v>0.5</v>
      </c>
      <c r="N396" s="33">
        <v>0</v>
      </c>
      <c r="O396" s="33">
        <v>55.599998474121094</v>
      </c>
      <c r="P396" s="33">
        <v>2</v>
      </c>
      <c r="Q396" s="33">
        <v>1.7999999523162842</v>
      </c>
      <c r="R396" s="34" t="s">
        <v>576</v>
      </c>
      <c r="S396" s="33">
        <v>6</v>
      </c>
      <c r="T396" s="35">
        <v>0</v>
      </c>
    </row>
    <row r="397" spans="1:20">
      <c r="A397" s="31">
        <v>395</v>
      </c>
      <c r="B397" s="33" t="s">
        <v>716</v>
      </c>
      <c r="C397" s="33">
        <v>23</v>
      </c>
      <c r="D397" s="33">
        <v>288</v>
      </c>
      <c r="E397" s="33">
        <v>18.799999237060547</v>
      </c>
      <c r="F397" s="33">
        <v>11.399999618530273</v>
      </c>
      <c r="G397" s="33">
        <v>3.9000000953674316</v>
      </c>
      <c r="H397" s="33">
        <v>7.9000000953674316</v>
      </c>
      <c r="I397" s="33">
        <v>51.900001525878906</v>
      </c>
      <c r="J397" s="33">
        <v>0</v>
      </c>
      <c r="K397" s="33">
        <v>0.11999999731779099</v>
      </c>
      <c r="L397" s="33">
        <v>0.2199999988079071</v>
      </c>
      <c r="M397" s="33">
        <v>3.5</v>
      </c>
      <c r="N397" s="33">
        <v>0</v>
      </c>
      <c r="O397" s="33">
        <v>98.5</v>
      </c>
      <c r="P397" s="33">
        <v>59</v>
      </c>
      <c r="Q397" s="33">
        <v>11.399999618530273</v>
      </c>
      <c r="R397" s="34" t="s">
        <v>576</v>
      </c>
      <c r="S397" s="33">
        <v>0</v>
      </c>
      <c r="T397" s="35">
        <v>0</v>
      </c>
    </row>
    <row r="398" spans="1:20">
      <c r="A398" s="31">
        <v>396</v>
      </c>
      <c r="B398" s="33" t="s">
        <v>717</v>
      </c>
      <c r="C398" s="33">
        <v>80</v>
      </c>
      <c r="D398" s="33">
        <v>46</v>
      </c>
      <c r="E398" s="33">
        <v>88</v>
      </c>
      <c r="F398" s="33">
        <v>1.1000000238418579</v>
      </c>
      <c r="G398" s="33">
        <v>0.20000000298023224</v>
      </c>
      <c r="H398" s="33">
        <v>0.30000001192092896</v>
      </c>
      <c r="I398" s="33">
        <v>9.8999996185302734</v>
      </c>
      <c r="J398" s="33">
        <v>35</v>
      </c>
      <c r="K398" s="33">
        <v>1.9999999552965164E-2</v>
      </c>
      <c r="L398" s="33">
        <v>1.9999999552965164E-2</v>
      </c>
      <c r="M398" s="33">
        <v>0.60000002384185791</v>
      </c>
      <c r="N398" s="33">
        <v>2.2200000286102295</v>
      </c>
      <c r="O398" s="33">
        <v>8</v>
      </c>
      <c r="P398" s="33">
        <v>11</v>
      </c>
      <c r="Q398" s="33">
        <v>0.40000000596046448</v>
      </c>
      <c r="R398" s="34" t="s">
        <v>576</v>
      </c>
      <c r="S398" s="33">
        <v>10</v>
      </c>
      <c r="T398" s="35">
        <v>0</v>
      </c>
    </row>
    <row r="399" spans="1:20">
      <c r="A399" s="31">
        <v>397</v>
      </c>
      <c r="B399" s="33" t="s">
        <v>718</v>
      </c>
      <c r="C399" s="33">
        <v>69</v>
      </c>
      <c r="D399" s="33">
        <v>41</v>
      </c>
      <c r="E399" s="33">
        <v>89</v>
      </c>
      <c r="F399" s="33">
        <v>0.80000001192092896</v>
      </c>
      <c r="G399" s="33">
        <v>0.20000000298023224</v>
      </c>
      <c r="H399" s="33">
        <v>0.40000000596046448</v>
      </c>
      <c r="I399" s="33">
        <v>9.1000003814697266</v>
      </c>
      <c r="J399" s="33">
        <v>2</v>
      </c>
      <c r="K399" s="33">
        <v>0</v>
      </c>
      <c r="L399" s="33">
        <v>2.9999999329447746E-2</v>
      </c>
      <c r="M399" s="33">
        <v>0.30000001192092896</v>
      </c>
      <c r="N399" s="33">
        <v>0</v>
      </c>
      <c r="O399" s="33">
        <v>3</v>
      </c>
      <c r="P399" s="33">
        <v>4</v>
      </c>
      <c r="Q399" s="33">
        <v>0.30000001192092896</v>
      </c>
      <c r="R399" s="34" t="s">
        <v>576</v>
      </c>
      <c r="S399" s="33">
        <v>23</v>
      </c>
      <c r="T399" s="35">
        <v>0</v>
      </c>
    </row>
    <row r="400" spans="1:20">
      <c r="A400" s="31">
        <v>398</v>
      </c>
      <c r="B400" s="33" t="s">
        <v>719</v>
      </c>
      <c r="C400" s="33">
        <v>80</v>
      </c>
      <c r="D400" s="33">
        <v>38</v>
      </c>
      <c r="E400" s="33">
        <v>86.599998474121094</v>
      </c>
      <c r="F400" s="33">
        <v>0.30000001192092896</v>
      </c>
      <c r="G400" s="33">
        <v>0.10000000149011612</v>
      </c>
      <c r="H400" s="33">
        <v>3.4000000953674316</v>
      </c>
      <c r="I400" s="33">
        <v>9</v>
      </c>
      <c r="J400" s="33">
        <v>8</v>
      </c>
      <c r="K400" s="33">
        <v>0</v>
      </c>
      <c r="L400" s="33">
        <v>9.9999997764825821E-3</v>
      </c>
      <c r="M400" s="33">
        <v>0.5</v>
      </c>
      <c r="N400" s="33">
        <v>0</v>
      </c>
      <c r="O400" s="33">
        <v>0</v>
      </c>
      <c r="P400" s="33">
        <v>6</v>
      </c>
      <c r="Q400" s="33">
        <v>0.20000000298023224</v>
      </c>
      <c r="R400" s="34" t="s">
        <v>576</v>
      </c>
      <c r="S400" s="33">
        <v>62</v>
      </c>
      <c r="T400" s="35">
        <v>0</v>
      </c>
    </row>
    <row r="401" spans="1:20">
      <c r="A401" s="31">
        <v>399</v>
      </c>
      <c r="B401" s="33" t="s">
        <v>720</v>
      </c>
      <c r="C401" s="33">
        <v>87</v>
      </c>
      <c r="D401" s="33">
        <v>122</v>
      </c>
      <c r="E401" s="33">
        <v>67.400001525878906</v>
      </c>
      <c r="F401" s="33">
        <v>1.1000000238418579</v>
      </c>
      <c r="G401" s="33">
        <v>0.30000001192092896</v>
      </c>
      <c r="H401" s="33">
        <v>1.8999999761581421</v>
      </c>
      <c r="I401" s="33">
        <v>28.600000381469727</v>
      </c>
      <c r="J401" s="33">
        <v>40</v>
      </c>
      <c r="K401" s="33">
        <v>5.9999998658895493E-2</v>
      </c>
      <c r="L401" s="33">
        <v>9.0000003576278687E-2</v>
      </c>
      <c r="M401" s="33">
        <v>0.89999997615814209</v>
      </c>
      <c r="N401" s="33">
        <v>0.77999997138977051</v>
      </c>
      <c r="O401" s="33">
        <v>1.2000000476837158</v>
      </c>
      <c r="P401" s="33">
        <v>22</v>
      </c>
      <c r="Q401" s="33">
        <v>1.2000000476837158</v>
      </c>
      <c r="R401" s="34" t="s">
        <v>576</v>
      </c>
      <c r="S401" s="33">
        <v>243</v>
      </c>
      <c r="T401" s="35">
        <v>0</v>
      </c>
    </row>
    <row r="402" spans="1:20">
      <c r="A402" s="31">
        <v>400</v>
      </c>
      <c r="B402" s="33" t="s">
        <v>721</v>
      </c>
      <c r="C402" s="33">
        <v>80</v>
      </c>
      <c r="D402" s="33">
        <v>264</v>
      </c>
      <c r="E402" s="33">
        <v>26.899999618530273</v>
      </c>
      <c r="F402" s="33">
        <v>3.2000000476837158</v>
      </c>
      <c r="G402" s="33">
        <v>0.5</v>
      </c>
      <c r="H402" s="33">
        <v>6.1999998092651367</v>
      </c>
      <c r="I402" s="33">
        <v>61.599998474121094</v>
      </c>
      <c r="J402" s="33">
        <v>2</v>
      </c>
      <c r="K402" s="33">
        <v>3.9999999105930328E-2</v>
      </c>
      <c r="L402" s="33">
        <v>0.15999999642372131</v>
      </c>
      <c r="M402" s="33">
        <v>0.89999997615814209</v>
      </c>
      <c r="N402" s="33">
        <v>3.0399999618530273</v>
      </c>
      <c r="O402" s="33">
        <v>6.1999998092651367</v>
      </c>
      <c r="P402" s="33">
        <v>64</v>
      </c>
      <c r="Q402" s="33">
        <v>2.2999999523162842</v>
      </c>
      <c r="R402" s="34" t="s">
        <v>576</v>
      </c>
      <c r="S402" s="33">
        <v>14</v>
      </c>
      <c r="T402" s="35">
        <v>0</v>
      </c>
    </row>
    <row r="403" spans="1:20">
      <c r="A403" s="31">
        <v>401</v>
      </c>
      <c r="B403" s="33" t="s">
        <v>722</v>
      </c>
      <c r="C403" s="33">
        <v>88</v>
      </c>
      <c r="D403" s="33">
        <v>298</v>
      </c>
      <c r="E403" s="33">
        <v>14.5</v>
      </c>
      <c r="F403" s="33">
        <v>2.0999999046325684</v>
      </c>
      <c r="G403" s="33">
        <v>0.40000000596046448</v>
      </c>
      <c r="H403" s="33">
        <v>9.5</v>
      </c>
      <c r="I403" s="33">
        <v>71.599998474121094</v>
      </c>
      <c r="J403" s="33">
        <v>0</v>
      </c>
      <c r="K403" s="33">
        <v>7.9999998211860657E-2</v>
      </c>
      <c r="L403" s="33">
        <v>0.15000000596046448</v>
      </c>
      <c r="M403" s="33">
        <v>1.6000000238418579</v>
      </c>
      <c r="N403" s="33">
        <v>0</v>
      </c>
      <c r="O403" s="33">
        <v>8.3000001907348633</v>
      </c>
      <c r="P403" s="33">
        <v>54</v>
      </c>
      <c r="Q403" s="33">
        <v>2.0999999046325684</v>
      </c>
      <c r="R403" s="34" t="s">
        <v>576</v>
      </c>
      <c r="S403" s="33">
        <v>7</v>
      </c>
      <c r="T403" s="35">
        <v>0</v>
      </c>
    </row>
    <row r="404" spans="1:20">
      <c r="A404" s="31">
        <v>402</v>
      </c>
      <c r="B404" s="33" t="s">
        <v>723</v>
      </c>
      <c r="C404" s="33">
        <v>81</v>
      </c>
      <c r="D404" s="33">
        <v>322</v>
      </c>
      <c r="E404" s="33">
        <v>19.299999237060547</v>
      </c>
      <c r="F404" s="33">
        <v>1.2000000476837158</v>
      </c>
      <c r="G404" s="33">
        <v>1.1000000238418579</v>
      </c>
      <c r="H404" s="33">
        <v>0</v>
      </c>
      <c r="I404" s="33">
        <v>76.699996948242188</v>
      </c>
      <c r="J404" s="33">
        <v>0</v>
      </c>
      <c r="K404" s="33">
        <v>3.9999999105930328E-2</v>
      </c>
      <c r="L404" s="33">
        <v>0.5</v>
      </c>
      <c r="M404" s="33">
        <v>0.40000000596046448</v>
      </c>
      <c r="N404" s="33">
        <v>1.309999942779541</v>
      </c>
      <c r="O404" s="33">
        <v>7.4000000953674316</v>
      </c>
      <c r="P404" s="33">
        <v>23</v>
      </c>
      <c r="Q404" s="33">
        <v>1.5</v>
      </c>
      <c r="R404" s="34" t="s">
        <v>576</v>
      </c>
      <c r="S404" s="33">
        <v>0</v>
      </c>
      <c r="T404" s="35">
        <v>0</v>
      </c>
    </row>
    <row r="405" spans="1:20">
      <c r="A405" s="31">
        <v>403</v>
      </c>
      <c r="B405" s="33" t="s">
        <v>724</v>
      </c>
      <c r="C405" s="33">
        <v>91</v>
      </c>
      <c r="D405" s="33">
        <v>145</v>
      </c>
      <c r="E405" s="33">
        <v>61.700000762939453</v>
      </c>
      <c r="F405" s="33">
        <v>1.6000000238418579</v>
      </c>
      <c r="G405" s="33">
        <v>0.20000000298023224</v>
      </c>
      <c r="H405" s="33">
        <v>1.3999999761581421</v>
      </c>
      <c r="I405" s="33">
        <v>34.299999237060547</v>
      </c>
      <c r="J405" s="33">
        <v>0</v>
      </c>
      <c r="K405" s="33">
        <v>5.000000074505806E-2</v>
      </c>
      <c r="L405" s="33">
        <v>3.9999999105930328E-2</v>
      </c>
      <c r="M405" s="33">
        <v>0.40000000596046448</v>
      </c>
      <c r="N405" s="33">
        <v>0</v>
      </c>
      <c r="O405" s="33">
        <v>0.80000001192092896</v>
      </c>
      <c r="P405" s="33">
        <v>75</v>
      </c>
      <c r="Q405" s="33">
        <v>1.3999999761581421</v>
      </c>
      <c r="R405" s="34" t="s">
        <v>576</v>
      </c>
      <c r="S405" s="33">
        <v>0</v>
      </c>
      <c r="T405" s="35">
        <v>0</v>
      </c>
    </row>
    <row r="406" spans="1:20">
      <c r="A406" s="31">
        <v>404</v>
      </c>
      <c r="B406" s="33" t="s">
        <v>725</v>
      </c>
      <c r="C406" s="33">
        <v>100</v>
      </c>
      <c r="D406" s="33">
        <v>320</v>
      </c>
      <c r="E406" s="33">
        <v>16.600000381469727</v>
      </c>
      <c r="F406" s="33">
        <v>1</v>
      </c>
      <c r="G406" s="33">
        <v>0.10000000149011612</v>
      </c>
      <c r="H406" s="33">
        <v>3</v>
      </c>
      <c r="I406" s="33">
        <v>78.900001525878906</v>
      </c>
      <c r="J406" s="33">
        <v>5</v>
      </c>
      <c r="K406" s="33">
        <v>0</v>
      </c>
      <c r="L406" s="33">
        <v>0.14000000059604645</v>
      </c>
      <c r="M406" s="33">
        <v>0.40000000596046448</v>
      </c>
      <c r="N406" s="33">
        <v>0.30000001192092896</v>
      </c>
      <c r="O406" s="33">
        <v>15.800000190734863</v>
      </c>
      <c r="P406" s="33">
        <v>24</v>
      </c>
      <c r="Q406" s="33">
        <v>2.4000000953674316</v>
      </c>
      <c r="R406" s="34" t="s">
        <v>576</v>
      </c>
      <c r="S406" s="33">
        <v>104</v>
      </c>
      <c r="T406" s="35">
        <v>0</v>
      </c>
    </row>
    <row r="407" spans="1:20">
      <c r="A407" s="31">
        <v>405</v>
      </c>
      <c r="B407" s="33" t="s">
        <v>726</v>
      </c>
      <c r="C407" s="33">
        <v>100</v>
      </c>
      <c r="D407" s="33">
        <v>321</v>
      </c>
      <c r="E407" s="33">
        <v>13.399999618530273</v>
      </c>
      <c r="F407" s="33">
        <v>1.2999999523162842</v>
      </c>
      <c r="G407" s="33">
        <v>0.20000000298023224</v>
      </c>
      <c r="H407" s="33">
        <v>5.8000001907348633</v>
      </c>
      <c r="I407" s="33">
        <v>78.599998474121094</v>
      </c>
      <c r="J407" s="33">
        <v>0</v>
      </c>
      <c r="K407" s="33">
        <v>9.9999997764825821E-3</v>
      </c>
      <c r="L407" s="33">
        <v>0.10000000149011612</v>
      </c>
      <c r="M407" s="33">
        <v>0.40000000596046448</v>
      </c>
      <c r="N407" s="33">
        <v>0</v>
      </c>
      <c r="O407" s="33">
        <v>25.100000381469727</v>
      </c>
      <c r="P407" s="33">
        <v>59</v>
      </c>
      <c r="Q407" s="33">
        <v>3.5</v>
      </c>
      <c r="R407" s="34" t="s">
        <v>576</v>
      </c>
      <c r="S407" s="33">
        <v>55</v>
      </c>
      <c r="T407" s="35">
        <v>0</v>
      </c>
    </row>
    <row r="408" spans="1:20">
      <c r="A408" s="31">
        <v>406</v>
      </c>
      <c r="B408" s="33" t="s">
        <v>727</v>
      </c>
      <c r="C408" s="33">
        <v>92</v>
      </c>
      <c r="D408" s="33">
        <v>214</v>
      </c>
      <c r="E408" s="33">
        <v>38.700000762939453</v>
      </c>
      <c r="F408" s="33">
        <v>3.9000000953674316</v>
      </c>
      <c r="G408" s="33">
        <v>0.80000001192092896</v>
      </c>
      <c r="H408" s="33">
        <v>7.3000001907348633</v>
      </c>
      <c r="I408" s="33">
        <v>47.900001525878906</v>
      </c>
      <c r="J408" s="33">
        <v>0</v>
      </c>
      <c r="K408" s="33">
        <v>5.9999998658895493E-2</v>
      </c>
      <c r="L408" s="33">
        <v>3.9999999105930328E-2</v>
      </c>
      <c r="M408" s="33">
        <v>0.89999997615814209</v>
      </c>
      <c r="N408" s="33">
        <v>0</v>
      </c>
      <c r="O408" s="33">
        <v>9.3000001907348633</v>
      </c>
      <c r="P408" s="33">
        <v>80</v>
      </c>
      <c r="Q408" s="33">
        <v>2.7000000476837158</v>
      </c>
      <c r="R408" s="34" t="s">
        <v>576</v>
      </c>
      <c r="S408" s="33">
        <v>0</v>
      </c>
      <c r="T408" s="35">
        <v>0</v>
      </c>
    </row>
    <row r="409" spans="1:20">
      <c r="A409" s="31">
        <v>407</v>
      </c>
      <c r="B409" s="33" t="s">
        <v>728</v>
      </c>
      <c r="C409" s="33">
        <v>41</v>
      </c>
      <c r="D409" s="33">
        <v>200</v>
      </c>
      <c r="E409" s="33">
        <v>30.5</v>
      </c>
      <c r="F409" s="33">
        <v>5.9000000953674316</v>
      </c>
      <c r="G409" s="33">
        <v>0.80000001192092896</v>
      </c>
      <c r="H409" s="33">
        <v>18.399999618530273</v>
      </c>
      <c r="I409" s="33">
        <v>42.400001525878906</v>
      </c>
      <c r="J409" s="33">
        <v>0</v>
      </c>
      <c r="K409" s="33">
        <v>0</v>
      </c>
      <c r="L409" s="33">
        <v>0</v>
      </c>
      <c r="M409" s="33">
        <v>0</v>
      </c>
      <c r="N409" s="33">
        <v>0</v>
      </c>
      <c r="O409" s="33">
        <v>0</v>
      </c>
      <c r="P409" s="33">
        <v>0</v>
      </c>
      <c r="Q409" s="33">
        <v>0</v>
      </c>
      <c r="R409" s="34" t="s">
        <v>576</v>
      </c>
      <c r="S409" s="33">
        <v>0</v>
      </c>
      <c r="T409" s="35">
        <v>0</v>
      </c>
    </row>
    <row r="410" spans="1:20">
      <c r="A410" s="31">
        <v>408</v>
      </c>
      <c r="B410" s="33" t="s">
        <v>729</v>
      </c>
      <c r="C410" s="33">
        <v>59</v>
      </c>
      <c r="D410" s="33">
        <v>228</v>
      </c>
      <c r="E410" s="33">
        <v>32.599998474121094</v>
      </c>
      <c r="F410" s="33">
        <v>3.7000000476837158</v>
      </c>
      <c r="G410" s="33">
        <v>0.5</v>
      </c>
      <c r="H410" s="33">
        <v>9.1999998092651367</v>
      </c>
      <c r="I410" s="33">
        <v>52.200000762939453</v>
      </c>
      <c r="J410" s="33">
        <v>0</v>
      </c>
      <c r="K410" s="33">
        <v>7.0000000298023224E-2</v>
      </c>
      <c r="L410" s="33">
        <v>9.0000003576278687E-2</v>
      </c>
      <c r="M410" s="33">
        <v>1.1000000238418579</v>
      </c>
      <c r="N410" s="33">
        <v>1.2400000095367432</v>
      </c>
      <c r="O410" s="33">
        <v>1.2000000476837158</v>
      </c>
      <c r="P410" s="33">
        <v>42</v>
      </c>
      <c r="Q410" s="33">
        <v>3.7000000476837158</v>
      </c>
      <c r="R410" s="34" t="s">
        <v>576</v>
      </c>
      <c r="S410" s="33">
        <v>6</v>
      </c>
      <c r="T410" s="35">
        <v>0</v>
      </c>
    </row>
    <row r="411" spans="1:20">
      <c r="A411" s="31">
        <v>409</v>
      </c>
      <c r="B411" s="33" t="s">
        <v>730</v>
      </c>
      <c r="C411" s="33">
        <v>83</v>
      </c>
      <c r="D411" s="33">
        <v>56</v>
      </c>
      <c r="E411" s="33">
        <v>83.400001525878906</v>
      </c>
      <c r="F411" s="33">
        <v>0.80000001192092896</v>
      </c>
      <c r="G411" s="33">
        <v>0.60000002384185791</v>
      </c>
      <c r="H411" s="33">
        <v>2.5999999046325684</v>
      </c>
      <c r="I411" s="33">
        <v>11.899999618530273</v>
      </c>
      <c r="J411" s="33">
        <v>22</v>
      </c>
      <c r="K411" s="33">
        <v>5.000000074505806E-2</v>
      </c>
      <c r="L411" s="33">
        <v>1.9999999552965164E-2</v>
      </c>
      <c r="M411" s="33">
        <v>0.30000001192092896</v>
      </c>
      <c r="N411" s="33">
        <v>2.4300000667572021</v>
      </c>
      <c r="O411" s="33">
        <v>10</v>
      </c>
      <c r="P411" s="33">
        <v>27</v>
      </c>
      <c r="Q411" s="33">
        <v>1.2000000476837158</v>
      </c>
      <c r="R411" s="34" t="s">
        <v>576</v>
      </c>
      <c r="S411" s="33">
        <v>62</v>
      </c>
      <c r="T411" s="35">
        <v>0</v>
      </c>
    </row>
    <row r="412" spans="1:20">
      <c r="A412" s="31">
        <v>410</v>
      </c>
      <c r="B412" s="33" t="s">
        <v>731</v>
      </c>
      <c r="C412" s="33">
        <v>100</v>
      </c>
      <c r="D412" s="33">
        <v>355</v>
      </c>
      <c r="E412" s="33">
        <v>9.8999996185302734</v>
      </c>
      <c r="F412" s="33">
        <v>13.199999809265137</v>
      </c>
      <c r="G412" s="33">
        <v>1.2999999523162842</v>
      </c>
      <c r="H412" s="33">
        <v>0</v>
      </c>
      <c r="I412" s="33">
        <v>72.599998474121094</v>
      </c>
      <c r="J412" s="33">
        <v>0</v>
      </c>
      <c r="K412" s="33">
        <v>0</v>
      </c>
      <c r="L412" s="33">
        <v>0</v>
      </c>
      <c r="M412" s="33">
        <v>0</v>
      </c>
      <c r="N412" s="33">
        <v>0.73000001907348633</v>
      </c>
      <c r="O412" s="33">
        <v>17.5</v>
      </c>
      <c r="P412" s="33">
        <v>54</v>
      </c>
      <c r="Q412" s="33">
        <v>0.20000000298023224</v>
      </c>
      <c r="R412" s="34" t="s">
        <v>732</v>
      </c>
      <c r="S412" s="33">
        <v>0</v>
      </c>
      <c r="T412" s="35">
        <v>0</v>
      </c>
    </row>
    <row r="413" spans="1:20">
      <c r="A413" s="31">
        <v>411</v>
      </c>
      <c r="B413" s="33" t="s">
        <v>733</v>
      </c>
      <c r="C413" s="33">
        <v>67</v>
      </c>
      <c r="D413" s="33">
        <v>355</v>
      </c>
      <c r="E413" s="33">
        <v>9.8999996185302734</v>
      </c>
      <c r="F413" s="33">
        <v>13.199999809265137</v>
      </c>
      <c r="G413" s="33">
        <v>1.2999999523162842</v>
      </c>
      <c r="H413" s="33">
        <v>0</v>
      </c>
      <c r="I413" s="33">
        <v>72.599998474121094</v>
      </c>
      <c r="J413" s="33">
        <v>0</v>
      </c>
      <c r="K413" s="33">
        <v>0</v>
      </c>
      <c r="L413" s="33">
        <v>0.10000000149011612</v>
      </c>
      <c r="M413" s="33">
        <v>0</v>
      </c>
      <c r="N413" s="33">
        <v>24.700000762939453</v>
      </c>
      <c r="O413" s="33">
        <v>17.5</v>
      </c>
      <c r="P413" s="33">
        <v>54</v>
      </c>
      <c r="Q413" s="33">
        <v>0.20000000298023224</v>
      </c>
      <c r="R413" s="34" t="s">
        <v>732</v>
      </c>
      <c r="S413" s="33">
        <v>0</v>
      </c>
      <c r="T413" s="35">
        <v>0</v>
      </c>
    </row>
    <row r="414" spans="1:20">
      <c r="A414" s="31">
        <v>412</v>
      </c>
      <c r="B414" s="33" t="s">
        <v>734</v>
      </c>
      <c r="C414" s="33">
        <v>43</v>
      </c>
      <c r="D414" s="33">
        <v>627</v>
      </c>
      <c r="E414" s="33">
        <v>5.1999998092651367</v>
      </c>
      <c r="F414" s="33">
        <v>14.899999618530273</v>
      </c>
      <c r="G414" s="33">
        <v>58.799999237060547</v>
      </c>
      <c r="H414" s="33">
        <v>9.5</v>
      </c>
      <c r="I414" s="33">
        <v>9.6000003814697266</v>
      </c>
      <c r="J414" s="33">
        <v>5</v>
      </c>
      <c r="K414" s="33">
        <v>0.15000000596046448</v>
      </c>
      <c r="L414" s="33">
        <v>0.14000000059604645</v>
      </c>
      <c r="M414" s="33">
        <v>0.89999997615814209</v>
      </c>
      <c r="N414" s="33">
        <v>43.209999084472656</v>
      </c>
      <c r="O414" s="33">
        <v>6.4000000953674316</v>
      </c>
      <c r="P414" s="33">
        <v>56</v>
      </c>
      <c r="Q414" s="33">
        <v>2.7000000476837158</v>
      </c>
      <c r="R414" s="34" t="s">
        <v>732</v>
      </c>
      <c r="S414" s="33">
        <v>1</v>
      </c>
      <c r="T414" s="35">
        <v>0</v>
      </c>
    </row>
    <row r="415" spans="1:20">
      <c r="A415" s="31">
        <v>413</v>
      </c>
      <c r="B415" s="33" t="s">
        <v>735</v>
      </c>
      <c r="C415" s="33">
        <v>43</v>
      </c>
      <c r="D415" s="33">
        <v>327</v>
      </c>
      <c r="E415" s="33">
        <v>49.799999237060547</v>
      </c>
      <c r="F415" s="33">
        <v>12.800000190734863</v>
      </c>
      <c r="G415" s="33">
        <v>29.899999618530273</v>
      </c>
      <c r="H415" s="33">
        <v>4.3000001907348633</v>
      </c>
      <c r="I415" s="33">
        <v>1.7999999523162842</v>
      </c>
      <c r="J415" s="33">
        <v>0</v>
      </c>
      <c r="K415" s="33">
        <v>7.0000000298023224E-2</v>
      </c>
      <c r="L415" s="33">
        <v>0.14000000059604645</v>
      </c>
      <c r="M415" s="33">
        <v>1.3999999761581421</v>
      </c>
      <c r="N415" s="33">
        <v>41.169998168945313</v>
      </c>
      <c r="O415" s="33">
        <v>0</v>
      </c>
      <c r="P415" s="33">
        <v>0</v>
      </c>
      <c r="Q415" s="33">
        <v>0</v>
      </c>
      <c r="R415" s="34" t="s">
        <v>732</v>
      </c>
      <c r="S415" s="33">
        <v>10</v>
      </c>
      <c r="T415" s="35">
        <v>0</v>
      </c>
    </row>
    <row r="416" spans="1:20">
      <c r="A416" s="31">
        <v>414</v>
      </c>
      <c r="B416" s="33" t="s">
        <v>736</v>
      </c>
      <c r="C416" s="33">
        <v>53</v>
      </c>
      <c r="D416" s="33">
        <v>298</v>
      </c>
      <c r="E416" s="33">
        <v>48.299999237060547</v>
      </c>
      <c r="F416" s="33">
        <v>12.100000381469727</v>
      </c>
      <c r="G416" s="33">
        <v>25.399999618530273</v>
      </c>
      <c r="H416" s="33">
        <v>7.6999998092651367</v>
      </c>
      <c r="I416" s="33">
        <v>5.1999998092651367</v>
      </c>
      <c r="J416" s="33">
        <v>2</v>
      </c>
      <c r="K416" s="33">
        <v>0</v>
      </c>
      <c r="L416" s="33">
        <v>3.9999999105930328E-2</v>
      </c>
      <c r="M416" s="33">
        <v>14.100000381469727</v>
      </c>
      <c r="N416" s="33">
        <v>2.9300000667572021</v>
      </c>
      <c r="O416" s="33">
        <v>3.7000000476837158</v>
      </c>
      <c r="P416" s="33">
        <v>8</v>
      </c>
      <c r="Q416" s="33">
        <v>3.4000000953674316</v>
      </c>
      <c r="R416" s="34" t="s">
        <v>732</v>
      </c>
      <c r="S416" s="33">
        <v>14</v>
      </c>
      <c r="T416" s="35">
        <v>0</v>
      </c>
    </row>
    <row r="417" spans="1:20">
      <c r="A417" s="31">
        <v>415</v>
      </c>
      <c r="B417" s="33" t="s">
        <v>737</v>
      </c>
      <c r="C417" s="33">
        <v>71</v>
      </c>
      <c r="D417" s="33">
        <v>589</v>
      </c>
      <c r="E417" s="33">
        <v>4.0999999046325684</v>
      </c>
      <c r="F417" s="33">
        <v>21.899999618530273</v>
      </c>
      <c r="G417" s="33">
        <v>48</v>
      </c>
      <c r="H417" s="33">
        <v>6.3000001907348633</v>
      </c>
      <c r="I417" s="33">
        <v>17.299999237060547</v>
      </c>
      <c r="J417" s="33">
        <v>10</v>
      </c>
      <c r="K417" s="33">
        <v>0.12999999523162842</v>
      </c>
      <c r="L417" s="33">
        <v>0.11999999731779099</v>
      </c>
      <c r="M417" s="33">
        <v>18.899999618530273</v>
      </c>
      <c r="N417" s="33">
        <v>12.939999580383301</v>
      </c>
      <c r="O417" s="33">
        <v>34.799999237060547</v>
      </c>
      <c r="P417" s="33">
        <v>47</v>
      </c>
      <c r="Q417" s="33">
        <v>1.5</v>
      </c>
      <c r="R417" s="34" t="s">
        <v>732</v>
      </c>
      <c r="S417" s="33">
        <v>0</v>
      </c>
      <c r="T417" s="35">
        <v>0</v>
      </c>
    </row>
    <row r="418" spans="1:20">
      <c r="A418" s="31">
        <v>416</v>
      </c>
      <c r="B418" s="33" t="s">
        <v>738</v>
      </c>
      <c r="C418" s="33">
        <v>100</v>
      </c>
      <c r="D418" s="33">
        <v>329</v>
      </c>
      <c r="E418" s="33">
        <v>52.400001525878906</v>
      </c>
      <c r="F418" s="33">
        <v>9</v>
      </c>
      <c r="G418" s="33">
        <v>29.600000381469727</v>
      </c>
      <c r="H418" s="33">
        <v>0</v>
      </c>
      <c r="I418" s="33">
        <v>6.6999998092651367</v>
      </c>
      <c r="J418" s="33">
        <v>0</v>
      </c>
      <c r="K418" s="33">
        <v>0.14000000059604645</v>
      </c>
      <c r="L418" s="33">
        <v>7.9999998211860657E-2</v>
      </c>
      <c r="M418" s="33">
        <v>3.0999999046325684</v>
      </c>
      <c r="N418" s="33">
        <v>0.20999999344348907</v>
      </c>
      <c r="O418" s="33">
        <v>723.20001220703125</v>
      </c>
      <c r="P418" s="33">
        <v>2</v>
      </c>
      <c r="Q418" s="33">
        <v>2.0999999046325684</v>
      </c>
      <c r="R418" s="34" t="s">
        <v>739</v>
      </c>
      <c r="S418" s="33">
        <v>0</v>
      </c>
      <c r="T418" s="35">
        <v>72</v>
      </c>
    </row>
    <row r="419" spans="1:20">
      <c r="A419" s="31">
        <v>417</v>
      </c>
      <c r="B419" s="33" t="s">
        <v>740</v>
      </c>
      <c r="C419" s="33">
        <v>100</v>
      </c>
      <c r="D419" s="33">
        <v>267</v>
      </c>
      <c r="E419" s="33">
        <v>54.900001525878906</v>
      </c>
      <c r="F419" s="33">
        <v>12.899999618530273</v>
      </c>
      <c r="G419" s="33">
        <v>20.100000381469727</v>
      </c>
      <c r="H419" s="33">
        <v>0</v>
      </c>
      <c r="I419" s="33">
        <v>8.6000003814697266</v>
      </c>
      <c r="J419" s="33">
        <v>0</v>
      </c>
      <c r="K419" s="33">
        <v>0.67000001668930054</v>
      </c>
      <c r="L419" s="33">
        <v>7.0000000298023224E-2</v>
      </c>
      <c r="M419" s="33">
        <v>10</v>
      </c>
      <c r="N419" s="33">
        <v>0</v>
      </c>
      <c r="O419" s="33">
        <v>1099.0999755859375</v>
      </c>
      <c r="P419" s="33">
        <v>24</v>
      </c>
      <c r="Q419" s="33">
        <v>1.5</v>
      </c>
      <c r="R419" s="34" t="s">
        <v>739</v>
      </c>
      <c r="S419" s="33">
        <v>0</v>
      </c>
      <c r="T419" s="35">
        <v>0</v>
      </c>
    </row>
    <row r="420" spans="1:20">
      <c r="A420" s="31">
        <v>418</v>
      </c>
      <c r="B420" s="33" t="s">
        <v>741</v>
      </c>
      <c r="C420" s="33">
        <v>100</v>
      </c>
      <c r="D420" s="33">
        <v>272</v>
      </c>
      <c r="E420" s="33">
        <v>57</v>
      </c>
      <c r="F420" s="33">
        <v>12</v>
      </c>
      <c r="G420" s="33">
        <v>22.899999618530273</v>
      </c>
      <c r="H420" s="33">
        <v>0</v>
      </c>
      <c r="I420" s="33">
        <v>4.5999999046325684</v>
      </c>
      <c r="J420" s="33">
        <v>0</v>
      </c>
      <c r="K420" s="33">
        <v>0.23999999463558197</v>
      </c>
      <c r="L420" s="33">
        <v>5.9999998658895493E-2</v>
      </c>
      <c r="M420" s="33">
        <v>7.4000000953674316</v>
      </c>
      <c r="N420" s="33">
        <v>0</v>
      </c>
      <c r="O420" s="33">
        <v>1370.4000244140625</v>
      </c>
      <c r="P420" s="33">
        <v>67</v>
      </c>
      <c r="Q420" s="33">
        <v>3.0999999046325684</v>
      </c>
      <c r="R420" s="34" t="s">
        <v>739</v>
      </c>
      <c r="S420" s="33">
        <v>0</v>
      </c>
      <c r="T420" s="35">
        <v>72</v>
      </c>
    </row>
    <row r="421" spans="1:20">
      <c r="A421" s="31">
        <v>419</v>
      </c>
      <c r="B421" s="33" t="s">
        <v>742</v>
      </c>
      <c r="C421" s="33">
        <v>100</v>
      </c>
      <c r="D421" s="33">
        <v>278</v>
      </c>
      <c r="E421" s="33">
        <v>55.099998474121094</v>
      </c>
      <c r="F421" s="33">
        <v>12.5</v>
      </c>
      <c r="G421" s="33">
        <v>22.799999237060547</v>
      </c>
      <c r="H421" s="33">
        <v>0</v>
      </c>
      <c r="I421" s="33">
        <v>5.8000001907348633</v>
      </c>
      <c r="J421" s="33">
        <v>20</v>
      </c>
      <c r="K421" s="33">
        <v>0.64999997615814209</v>
      </c>
      <c r="L421" s="33">
        <v>5.9999998658895493E-2</v>
      </c>
      <c r="M421" s="33">
        <v>10.699999809265137</v>
      </c>
      <c r="N421" s="33">
        <v>0</v>
      </c>
      <c r="O421" s="33">
        <v>1143.199951171875</v>
      </c>
      <c r="P421" s="33">
        <v>26</v>
      </c>
      <c r="Q421" s="33">
        <v>2.2000000476837158</v>
      </c>
      <c r="R421" s="34" t="s">
        <v>739</v>
      </c>
      <c r="S421" s="33">
        <v>0</v>
      </c>
      <c r="T421" s="35">
        <v>61</v>
      </c>
    </row>
    <row r="422" spans="1:20">
      <c r="A422" s="31">
        <v>420</v>
      </c>
      <c r="B422" s="33" t="s">
        <v>743</v>
      </c>
      <c r="C422" s="33">
        <v>100</v>
      </c>
      <c r="D422" s="33">
        <v>290</v>
      </c>
      <c r="E422" s="33">
        <v>49.799999237060547</v>
      </c>
      <c r="F422" s="33">
        <v>13.100000381469727</v>
      </c>
      <c r="G422" s="33">
        <v>19.600000381469727</v>
      </c>
      <c r="H422" s="33">
        <v>0</v>
      </c>
      <c r="I422" s="33">
        <v>15.300000190734863</v>
      </c>
      <c r="J422" s="33">
        <v>0</v>
      </c>
      <c r="K422" s="33">
        <v>0.25999999046325684</v>
      </c>
      <c r="L422" s="33">
        <v>9.0000003576278687E-2</v>
      </c>
      <c r="M422" s="33">
        <v>3</v>
      </c>
      <c r="N422" s="33">
        <v>1.1100000143051147</v>
      </c>
      <c r="O422" s="33">
        <v>0</v>
      </c>
      <c r="P422" s="33">
        <v>12</v>
      </c>
      <c r="Q422" s="33">
        <v>3.2000000476837158</v>
      </c>
      <c r="R422" s="34" t="s">
        <v>739</v>
      </c>
      <c r="S422" s="33">
        <v>0</v>
      </c>
      <c r="T422" s="35">
        <v>61</v>
      </c>
    </row>
    <row r="423" spans="1:20">
      <c r="A423" s="31">
        <v>421</v>
      </c>
      <c r="B423" s="33" t="s">
        <v>744</v>
      </c>
      <c r="C423" s="33">
        <v>100</v>
      </c>
      <c r="D423" s="33">
        <v>283</v>
      </c>
      <c r="E423" s="33">
        <v>55.799999237060547</v>
      </c>
      <c r="F423" s="33">
        <v>12.399999618530273</v>
      </c>
      <c r="G423" s="33">
        <v>23.299999237060547</v>
      </c>
      <c r="H423" s="33">
        <v>0</v>
      </c>
      <c r="I423" s="33">
        <v>5.9000000953674316</v>
      </c>
      <c r="J423" s="33">
        <v>0</v>
      </c>
      <c r="K423" s="33">
        <v>0.11999999731779099</v>
      </c>
      <c r="L423" s="33">
        <v>9.0000003576278687E-2</v>
      </c>
      <c r="M423" s="33">
        <v>12.600000381469727</v>
      </c>
      <c r="N423" s="33">
        <v>0</v>
      </c>
      <c r="O423" s="33">
        <v>618</v>
      </c>
      <c r="P423" s="33">
        <v>18</v>
      </c>
      <c r="Q423" s="33">
        <v>3.5</v>
      </c>
      <c r="R423" s="34" t="s">
        <v>739</v>
      </c>
      <c r="S423" s="33">
        <v>0</v>
      </c>
      <c r="T423" s="35">
        <v>47</v>
      </c>
    </row>
    <row r="424" spans="1:20">
      <c r="A424" s="31">
        <v>422</v>
      </c>
      <c r="B424" s="33" t="s">
        <v>745</v>
      </c>
      <c r="C424" s="33">
        <v>100</v>
      </c>
      <c r="D424" s="33">
        <v>433</v>
      </c>
      <c r="E424" s="33">
        <v>33.5</v>
      </c>
      <c r="F424" s="33">
        <v>18</v>
      </c>
      <c r="G424" s="33">
        <v>37.299999237060547</v>
      </c>
      <c r="H424" s="33">
        <v>0</v>
      </c>
      <c r="I424" s="33">
        <v>6.4000000953674316</v>
      </c>
      <c r="J424" s="33">
        <v>0</v>
      </c>
      <c r="K424" s="33">
        <v>0.41999998688697815</v>
      </c>
      <c r="L424" s="33">
        <v>7.0000000298023224E-2</v>
      </c>
      <c r="M424" s="33">
        <v>5.6999998092651367</v>
      </c>
      <c r="N424" s="33">
        <v>0</v>
      </c>
      <c r="O424" s="33">
        <v>1477.9000244140625</v>
      </c>
      <c r="P424" s="33">
        <v>5</v>
      </c>
      <c r="Q424" s="33">
        <v>2.7999999523162842</v>
      </c>
      <c r="R424" s="34" t="s">
        <v>739</v>
      </c>
      <c r="S424" s="33">
        <v>0</v>
      </c>
      <c r="T424" s="35">
        <v>94</v>
      </c>
    </row>
    <row r="425" spans="1:20">
      <c r="A425" s="31">
        <v>423</v>
      </c>
      <c r="B425" s="33" t="s">
        <v>746</v>
      </c>
      <c r="C425" s="33">
        <v>100</v>
      </c>
      <c r="D425" s="33">
        <v>260</v>
      </c>
      <c r="E425" s="33">
        <v>51.400001525878906</v>
      </c>
      <c r="F425" s="33">
        <v>10.199999809265137</v>
      </c>
      <c r="G425" s="33">
        <v>15.300000190734863</v>
      </c>
      <c r="H425" s="33">
        <v>0</v>
      </c>
      <c r="I425" s="33">
        <v>20.299999237060547</v>
      </c>
      <c r="J425" s="33">
        <v>0</v>
      </c>
      <c r="K425" s="33">
        <v>5.000000074505806E-2</v>
      </c>
      <c r="L425" s="33">
        <v>0.10999999940395355</v>
      </c>
      <c r="M425" s="33">
        <v>11.300000190734863</v>
      </c>
      <c r="N425" s="33">
        <v>0.40999999642372131</v>
      </c>
      <c r="O425" s="33">
        <v>781.29998779296875</v>
      </c>
      <c r="P425" s="33">
        <v>22</v>
      </c>
      <c r="Q425" s="33">
        <v>4.6999998092651367</v>
      </c>
      <c r="R425" s="34" t="s">
        <v>739</v>
      </c>
      <c r="S425" s="33">
        <v>0</v>
      </c>
      <c r="T425" s="35">
        <v>23</v>
      </c>
    </row>
    <row r="426" spans="1:20">
      <c r="A426" s="31">
        <v>424</v>
      </c>
      <c r="B426" s="33" t="s">
        <v>747</v>
      </c>
      <c r="C426" s="33">
        <v>100</v>
      </c>
      <c r="D426" s="33">
        <v>212</v>
      </c>
      <c r="E426" s="33">
        <v>57.400001525878906</v>
      </c>
      <c r="F426" s="33">
        <v>14</v>
      </c>
      <c r="G426" s="33">
        <v>10.399999618530273</v>
      </c>
      <c r="H426" s="33">
        <v>0</v>
      </c>
      <c r="I426" s="33">
        <v>15.600000381469727</v>
      </c>
      <c r="J426" s="33">
        <v>5</v>
      </c>
      <c r="K426" s="33">
        <v>0.25999999046325684</v>
      </c>
      <c r="L426" s="33">
        <v>0.43000000715255737</v>
      </c>
      <c r="M426" s="33">
        <v>2.2999999523162842</v>
      </c>
      <c r="N426" s="33">
        <v>0.70999997854232788</v>
      </c>
      <c r="O426" s="33">
        <v>771.20001220703125</v>
      </c>
      <c r="P426" s="33">
        <v>9</v>
      </c>
      <c r="Q426" s="33">
        <v>4.5</v>
      </c>
      <c r="R426" s="34" t="s">
        <v>739</v>
      </c>
      <c r="S426" s="33">
        <v>0</v>
      </c>
      <c r="T426" s="35">
        <v>57</v>
      </c>
    </row>
    <row r="427" spans="1:20">
      <c r="A427" s="31">
        <v>425</v>
      </c>
      <c r="B427" s="33" t="s">
        <v>748</v>
      </c>
      <c r="C427" s="33">
        <v>100</v>
      </c>
      <c r="D427" s="33">
        <v>584</v>
      </c>
      <c r="E427" s="33">
        <v>8.3999996185302734</v>
      </c>
      <c r="F427" s="33">
        <v>22</v>
      </c>
      <c r="G427" s="33">
        <v>48.299999237060547</v>
      </c>
      <c r="H427" s="33">
        <v>0</v>
      </c>
      <c r="I427" s="33">
        <v>15.300000190734863</v>
      </c>
      <c r="J427" s="33">
        <v>0</v>
      </c>
      <c r="K427" s="33">
        <v>3.9999999105930328E-2</v>
      </c>
      <c r="L427" s="33">
        <v>0.11999999731779099</v>
      </c>
      <c r="M427" s="33">
        <v>3.7999999523162842</v>
      </c>
      <c r="N427" s="33">
        <v>0</v>
      </c>
      <c r="O427" s="33">
        <v>1420</v>
      </c>
      <c r="P427" s="33">
        <v>24</v>
      </c>
      <c r="Q427" s="33">
        <v>3.2000000476837158</v>
      </c>
      <c r="R427" s="34" t="s">
        <v>739</v>
      </c>
      <c r="S427" s="33">
        <v>0</v>
      </c>
      <c r="T427" s="35">
        <v>88</v>
      </c>
    </row>
    <row r="428" spans="1:20">
      <c r="A428" s="31">
        <v>426</v>
      </c>
      <c r="B428" s="33" t="s">
        <v>749</v>
      </c>
      <c r="C428" s="33">
        <v>100</v>
      </c>
      <c r="D428" s="33">
        <v>402</v>
      </c>
      <c r="E428" s="33">
        <v>30.399999618530273</v>
      </c>
      <c r="F428" s="33">
        <v>12.300000190734863</v>
      </c>
      <c r="G428" s="33">
        <v>26.5</v>
      </c>
      <c r="H428" s="33">
        <v>0</v>
      </c>
      <c r="I428" s="33">
        <v>28.5</v>
      </c>
      <c r="J428" s="33">
        <v>10</v>
      </c>
      <c r="K428" s="33">
        <v>0.20000000298023224</v>
      </c>
      <c r="L428" s="33">
        <v>0.10000000149011612</v>
      </c>
      <c r="M428" s="33">
        <v>3.0999999046325684</v>
      </c>
      <c r="N428" s="33">
        <v>9.0000003576278687E-2</v>
      </c>
      <c r="O428" s="33">
        <v>759</v>
      </c>
      <c r="P428" s="33">
        <v>5</v>
      </c>
      <c r="Q428" s="33">
        <v>2.7999999523162842</v>
      </c>
      <c r="R428" s="34" t="s">
        <v>739</v>
      </c>
      <c r="S428" s="33">
        <v>0</v>
      </c>
      <c r="T428" s="35">
        <v>38</v>
      </c>
    </row>
    <row r="429" spans="1:20">
      <c r="A429" s="31">
        <v>427</v>
      </c>
      <c r="B429" s="33" t="s">
        <v>750</v>
      </c>
      <c r="C429" s="33">
        <v>100</v>
      </c>
      <c r="D429" s="33">
        <v>297</v>
      </c>
      <c r="E429" s="33">
        <v>52.5</v>
      </c>
      <c r="F429" s="33">
        <v>7.5</v>
      </c>
      <c r="G429" s="33">
        <v>25.399999618530273</v>
      </c>
      <c r="H429" s="33">
        <v>0</v>
      </c>
      <c r="I429" s="33">
        <v>9.5</v>
      </c>
      <c r="J429" s="33">
        <v>5</v>
      </c>
      <c r="K429" s="33">
        <v>5.9999998658895493E-2</v>
      </c>
      <c r="L429" s="33">
        <v>0.15000000596046448</v>
      </c>
      <c r="M429" s="33">
        <v>1</v>
      </c>
      <c r="N429" s="33">
        <v>0.27000001072883606</v>
      </c>
      <c r="O429" s="33">
        <v>561.5</v>
      </c>
      <c r="P429" s="33">
        <v>13</v>
      </c>
      <c r="Q429" s="33">
        <v>1.8999999761581421</v>
      </c>
      <c r="R429" s="34" t="s">
        <v>739</v>
      </c>
      <c r="S429" s="33">
        <v>0</v>
      </c>
      <c r="T429" s="35">
        <v>51</v>
      </c>
    </row>
    <row r="430" spans="1:20">
      <c r="A430" s="31">
        <v>428</v>
      </c>
      <c r="B430" s="33" t="s">
        <v>751</v>
      </c>
      <c r="C430" s="33">
        <v>100</v>
      </c>
      <c r="D430" s="33">
        <v>261</v>
      </c>
      <c r="E430" s="33">
        <v>52.400001525878906</v>
      </c>
      <c r="F430" s="33">
        <v>2.9000000953674316</v>
      </c>
      <c r="G430" s="33">
        <v>16.600000381469727</v>
      </c>
      <c r="H430" s="33">
        <v>0</v>
      </c>
      <c r="I430" s="33">
        <v>24.899999618530273</v>
      </c>
      <c r="J430" s="33">
        <v>65</v>
      </c>
      <c r="K430" s="33">
        <v>0.10000000149011612</v>
      </c>
      <c r="L430" s="33">
        <v>0.70999997854232788</v>
      </c>
      <c r="M430" s="33">
        <v>0.40000000596046448</v>
      </c>
      <c r="N430" s="33">
        <v>0.18000000715255737</v>
      </c>
      <c r="O430" s="33">
        <v>552.79998779296875</v>
      </c>
      <c r="P430" s="33">
        <v>2</v>
      </c>
      <c r="Q430" s="33">
        <v>4.6999998092651367</v>
      </c>
      <c r="R430" s="34" t="s">
        <v>739</v>
      </c>
      <c r="S430" s="33">
        <v>0</v>
      </c>
      <c r="T430" s="35">
        <v>47</v>
      </c>
    </row>
    <row r="431" spans="1:20">
      <c r="A431" s="31">
        <v>429</v>
      </c>
      <c r="B431" s="33" t="s">
        <v>752</v>
      </c>
      <c r="C431" s="33">
        <v>100</v>
      </c>
      <c r="D431" s="33">
        <v>508</v>
      </c>
      <c r="E431" s="33">
        <v>19.200000762939453</v>
      </c>
      <c r="F431" s="33">
        <v>24.100000381469727</v>
      </c>
      <c r="G431" s="33">
        <v>40.700000762939453</v>
      </c>
      <c r="H431" s="33">
        <v>0</v>
      </c>
      <c r="I431" s="33">
        <v>11.199999809265137</v>
      </c>
      <c r="J431" s="33">
        <v>0</v>
      </c>
      <c r="K431" s="33">
        <v>0.47999998927116394</v>
      </c>
      <c r="L431" s="33">
        <v>0.10999999940395355</v>
      </c>
      <c r="M431" s="33">
        <v>4.4000000953674316</v>
      </c>
      <c r="N431" s="33">
        <v>1.0499999523162842</v>
      </c>
      <c r="O431" s="33">
        <v>2309.199951171875</v>
      </c>
      <c r="P431" s="33">
        <v>14</v>
      </c>
      <c r="Q431" s="33">
        <v>5.8000001907348633</v>
      </c>
      <c r="R431" s="34" t="s">
        <v>739</v>
      </c>
      <c r="S431" s="33">
        <v>0</v>
      </c>
      <c r="T431" s="35">
        <v>82</v>
      </c>
    </row>
    <row r="432" spans="1:20">
      <c r="A432" s="31">
        <v>430</v>
      </c>
      <c r="B432" s="33" t="s">
        <v>753</v>
      </c>
      <c r="C432" s="33">
        <v>100</v>
      </c>
      <c r="D432" s="33">
        <v>280</v>
      </c>
      <c r="E432" s="33">
        <v>56.200000762939453</v>
      </c>
      <c r="F432" s="33">
        <v>11.800000190734863</v>
      </c>
      <c r="G432" s="33">
        <v>23.200000762939453</v>
      </c>
      <c r="H432" s="33">
        <v>0</v>
      </c>
      <c r="I432" s="33">
        <v>6</v>
      </c>
      <c r="J432" s="33">
        <v>158</v>
      </c>
      <c r="K432" s="33">
        <v>0.27000001072883606</v>
      </c>
      <c r="L432" s="33">
        <v>0.14000000059604645</v>
      </c>
      <c r="M432" s="33">
        <v>2.5999999046325684</v>
      </c>
      <c r="N432" s="33">
        <v>0.17000000178813934</v>
      </c>
      <c r="O432" s="33">
        <v>682.20001220703125</v>
      </c>
      <c r="P432" s="33">
        <v>10</v>
      </c>
      <c r="Q432" s="33">
        <v>2.2000000476837158</v>
      </c>
      <c r="R432" s="34" t="s">
        <v>739</v>
      </c>
      <c r="S432" s="33">
        <v>0</v>
      </c>
      <c r="T432" s="35">
        <v>72</v>
      </c>
    </row>
    <row r="433" spans="1:20">
      <c r="A433" s="31">
        <v>431</v>
      </c>
      <c r="B433" s="33" t="s">
        <v>754</v>
      </c>
      <c r="C433" s="33">
        <v>100</v>
      </c>
      <c r="D433" s="33">
        <v>295</v>
      </c>
      <c r="E433" s="33">
        <v>56.400001525878906</v>
      </c>
      <c r="F433" s="33">
        <v>11.300000190734863</v>
      </c>
      <c r="G433" s="33">
        <v>26.299999237060547</v>
      </c>
      <c r="H433" s="33">
        <v>0</v>
      </c>
      <c r="I433" s="33">
        <v>3.2000000476837158</v>
      </c>
      <c r="J433" s="33">
        <v>0</v>
      </c>
      <c r="K433" s="33">
        <v>0.15999999642372131</v>
      </c>
      <c r="L433" s="33">
        <v>7.0000000298023224E-2</v>
      </c>
      <c r="M433" s="33">
        <v>13.399999618530273</v>
      </c>
      <c r="N433" s="33">
        <v>0</v>
      </c>
      <c r="O433" s="33">
        <v>648.20001220703125</v>
      </c>
      <c r="P433" s="33">
        <v>20</v>
      </c>
      <c r="Q433" s="33">
        <v>1.1000000238418579</v>
      </c>
      <c r="R433" s="34" t="s">
        <v>739</v>
      </c>
      <c r="S433" s="33">
        <v>0</v>
      </c>
      <c r="T433" s="35">
        <v>59</v>
      </c>
    </row>
    <row r="434" spans="1:20">
      <c r="A434" s="31">
        <v>432</v>
      </c>
      <c r="B434" s="33" t="s">
        <v>755</v>
      </c>
      <c r="C434" s="33">
        <v>100</v>
      </c>
      <c r="D434" s="33">
        <v>290</v>
      </c>
      <c r="E434" s="33">
        <v>60.700000762939453</v>
      </c>
      <c r="F434" s="33">
        <v>7.9000000953674316</v>
      </c>
      <c r="G434" s="33">
        <v>28.100000381469727</v>
      </c>
      <c r="H434" s="33">
        <v>0</v>
      </c>
      <c r="I434" s="33">
        <v>1.2999999523162842</v>
      </c>
      <c r="J434" s="33">
        <v>0</v>
      </c>
      <c r="K434" s="33">
        <v>0.23000000417232513</v>
      </c>
      <c r="L434" s="33">
        <v>0.18000000715255737</v>
      </c>
      <c r="M434" s="33">
        <v>1.8999999761581421</v>
      </c>
      <c r="N434" s="33">
        <v>0.85000002384185791</v>
      </c>
      <c r="O434" s="33">
        <v>874.29998779296875</v>
      </c>
      <c r="P434" s="33">
        <v>6</v>
      </c>
      <c r="Q434" s="33">
        <v>0.60000002384185791</v>
      </c>
      <c r="R434" s="34" t="s">
        <v>739</v>
      </c>
      <c r="S434" s="33">
        <v>0</v>
      </c>
      <c r="T434" s="35">
        <v>0</v>
      </c>
    </row>
    <row r="435" spans="1:20">
      <c r="A435" s="31">
        <v>433</v>
      </c>
      <c r="B435" s="33" t="s">
        <v>756</v>
      </c>
      <c r="C435" s="33">
        <v>100</v>
      </c>
      <c r="D435" s="33">
        <v>279</v>
      </c>
      <c r="E435" s="33">
        <v>49.200000762939453</v>
      </c>
      <c r="F435" s="33">
        <v>23.799999237060547</v>
      </c>
      <c r="G435" s="33">
        <v>16.899999618530273</v>
      </c>
      <c r="H435" s="33">
        <v>0</v>
      </c>
      <c r="I435" s="33">
        <v>7.9000000953674316</v>
      </c>
      <c r="J435" s="33">
        <v>16</v>
      </c>
      <c r="K435" s="33">
        <v>0.6600000262260437</v>
      </c>
      <c r="L435" s="33">
        <v>0.23000000417232513</v>
      </c>
      <c r="M435" s="33">
        <v>7</v>
      </c>
      <c r="N435" s="33">
        <v>0.68000000715255737</v>
      </c>
      <c r="O435" s="33">
        <v>818.79998779296875</v>
      </c>
      <c r="P435" s="33">
        <v>8</v>
      </c>
      <c r="Q435" s="33">
        <v>2.5999999046325684</v>
      </c>
      <c r="R435" s="34" t="s">
        <v>739</v>
      </c>
      <c r="S435" s="33">
        <v>0</v>
      </c>
      <c r="T435" s="35">
        <v>68</v>
      </c>
    </row>
    <row r="436" spans="1:20">
      <c r="A436" s="31">
        <v>434</v>
      </c>
      <c r="B436" s="33" t="s">
        <v>757</v>
      </c>
      <c r="C436" s="33">
        <v>100</v>
      </c>
      <c r="D436" s="33">
        <v>117</v>
      </c>
      <c r="E436" s="33">
        <v>73.900001525878906</v>
      </c>
      <c r="F436" s="33">
        <v>16.200000762939453</v>
      </c>
      <c r="G436" s="33">
        <v>5</v>
      </c>
      <c r="H436" s="33">
        <v>0</v>
      </c>
      <c r="I436" s="33">
        <v>1.8999999761581421</v>
      </c>
      <c r="J436" s="33">
        <v>0</v>
      </c>
      <c r="K436" s="33">
        <v>0.5</v>
      </c>
      <c r="L436" s="33">
        <v>0.20000000298023224</v>
      </c>
      <c r="M436" s="33">
        <v>17.399999618530273</v>
      </c>
      <c r="N436" s="33">
        <v>0.15000000596046448</v>
      </c>
      <c r="O436" s="33">
        <v>424.5</v>
      </c>
      <c r="P436" s="33">
        <v>1</v>
      </c>
      <c r="Q436" s="33">
        <v>3</v>
      </c>
      <c r="R436" s="34" t="s">
        <v>739</v>
      </c>
      <c r="S436" s="33">
        <v>0</v>
      </c>
      <c r="T436" s="35">
        <v>45</v>
      </c>
    </row>
    <row r="437" spans="1:20">
      <c r="A437" s="31">
        <v>435</v>
      </c>
      <c r="B437" s="33" t="s">
        <v>758</v>
      </c>
      <c r="C437" s="33">
        <v>100</v>
      </c>
      <c r="D437" s="33">
        <v>336</v>
      </c>
      <c r="E437" s="33">
        <v>44.5</v>
      </c>
      <c r="F437" s="33">
        <v>17.700000762939453</v>
      </c>
      <c r="G437" s="33">
        <v>27.600000381469727</v>
      </c>
      <c r="H437" s="33">
        <v>0</v>
      </c>
      <c r="I437" s="33">
        <v>4.1999998092651367</v>
      </c>
      <c r="J437" s="33">
        <v>31</v>
      </c>
      <c r="K437" s="33">
        <v>0.37000000476837158</v>
      </c>
      <c r="L437" s="33">
        <v>0.10999999940395355</v>
      </c>
      <c r="M437" s="33">
        <v>10.399999618530273</v>
      </c>
      <c r="N437" s="33">
        <v>1.5099999904632568</v>
      </c>
      <c r="O437" s="33">
        <v>471.89999389648438</v>
      </c>
      <c r="P437" s="33">
        <v>47</v>
      </c>
      <c r="Q437" s="33">
        <v>2</v>
      </c>
      <c r="R437" s="34" t="s">
        <v>739</v>
      </c>
      <c r="S437" s="33">
        <v>0</v>
      </c>
      <c r="T437" s="35">
        <v>62</v>
      </c>
    </row>
    <row r="438" spans="1:20">
      <c r="A438" s="31">
        <v>436</v>
      </c>
      <c r="B438" s="33" t="s">
        <v>759</v>
      </c>
      <c r="C438" s="33">
        <v>80</v>
      </c>
      <c r="D438" s="33">
        <v>116</v>
      </c>
      <c r="E438" s="33">
        <v>76</v>
      </c>
      <c r="F438" s="33">
        <v>16.799999237060547</v>
      </c>
      <c r="G438" s="33">
        <v>4.5999999046325684</v>
      </c>
      <c r="H438" s="33">
        <v>0</v>
      </c>
      <c r="I438" s="33">
        <v>1.7999999523162842</v>
      </c>
      <c r="J438" s="33">
        <v>157</v>
      </c>
      <c r="K438" s="33">
        <v>0.34000000357627869</v>
      </c>
      <c r="L438" s="33">
        <v>0.20000000298023224</v>
      </c>
      <c r="M438" s="33">
        <v>3.5</v>
      </c>
      <c r="N438" s="33">
        <v>1.3999999761581421</v>
      </c>
      <c r="O438" s="33">
        <v>47.400001525878906</v>
      </c>
      <c r="P438" s="33">
        <v>52</v>
      </c>
      <c r="Q438" s="33">
        <v>2.9000000953674316</v>
      </c>
      <c r="R438" s="34" t="s">
        <v>739</v>
      </c>
      <c r="S438" s="33">
        <v>0</v>
      </c>
      <c r="T438" s="35">
        <v>62</v>
      </c>
    </row>
    <row r="439" spans="1:20">
      <c r="A439" s="31">
        <v>437</v>
      </c>
      <c r="B439" s="33" t="s">
        <v>760</v>
      </c>
      <c r="C439" s="33">
        <v>100</v>
      </c>
      <c r="D439" s="33">
        <v>330</v>
      </c>
      <c r="E439" s="33">
        <v>47.900001525878906</v>
      </c>
      <c r="F439" s="33">
        <v>16</v>
      </c>
      <c r="G439" s="33">
        <v>27.399999618530273</v>
      </c>
      <c r="H439" s="33">
        <v>0</v>
      </c>
      <c r="I439" s="33">
        <v>4.9000000953674316</v>
      </c>
      <c r="J439" s="33">
        <v>46</v>
      </c>
      <c r="K439" s="33">
        <v>0.2800000011920929</v>
      </c>
      <c r="L439" s="33">
        <v>9.0000003576278687E-2</v>
      </c>
      <c r="M439" s="33">
        <v>8.6000003814697266</v>
      </c>
      <c r="N439" s="33">
        <v>0.80000001192092896</v>
      </c>
      <c r="O439" s="33">
        <v>1086.699951171875</v>
      </c>
      <c r="P439" s="33">
        <v>3</v>
      </c>
      <c r="Q439" s="33">
        <v>2.2000000476837158</v>
      </c>
      <c r="R439" s="34" t="s">
        <v>739</v>
      </c>
      <c r="S439" s="33">
        <v>0</v>
      </c>
      <c r="T439" s="35">
        <v>120</v>
      </c>
    </row>
    <row r="440" spans="1:20">
      <c r="A440" s="31">
        <v>438</v>
      </c>
      <c r="B440" s="33" t="s">
        <v>761</v>
      </c>
      <c r="C440" s="33">
        <v>100</v>
      </c>
      <c r="D440" s="33">
        <v>318</v>
      </c>
      <c r="E440" s="33">
        <v>48.700000762939453</v>
      </c>
      <c r="F440" s="33">
        <v>16.399999618530273</v>
      </c>
      <c r="G440" s="33">
        <v>28</v>
      </c>
      <c r="H440" s="33">
        <v>0</v>
      </c>
      <c r="I440" s="33">
        <v>0</v>
      </c>
      <c r="J440" s="33">
        <v>20</v>
      </c>
      <c r="K440" s="33">
        <v>0.50999999046325684</v>
      </c>
      <c r="L440" s="33">
        <v>0.18000000715255737</v>
      </c>
      <c r="M440" s="33">
        <v>4.8000001907348633</v>
      </c>
      <c r="N440" s="33">
        <v>0.18000000715255737</v>
      </c>
      <c r="O440" s="33">
        <v>233.39999389648438</v>
      </c>
      <c r="P440" s="33">
        <v>9</v>
      </c>
      <c r="Q440" s="33">
        <v>2.0999999046325684</v>
      </c>
      <c r="R440" s="34" t="s">
        <v>739</v>
      </c>
      <c r="S440" s="33">
        <v>0</v>
      </c>
      <c r="T440" s="35">
        <v>98</v>
      </c>
    </row>
    <row r="441" spans="1:20">
      <c r="A441" s="31">
        <v>439</v>
      </c>
      <c r="B441" s="33" t="s">
        <v>762</v>
      </c>
      <c r="C441" s="33">
        <v>100</v>
      </c>
      <c r="D441" s="33">
        <v>529</v>
      </c>
      <c r="E441" s="33">
        <v>24.600000381469727</v>
      </c>
      <c r="F441" s="33">
        <v>12.399999618530273</v>
      </c>
      <c r="G441" s="33">
        <v>50.400001525878906</v>
      </c>
      <c r="H441" s="33">
        <v>0</v>
      </c>
      <c r="I441" s="33">
        <v>6.4000000953674316</v>
      </c>
      <c r="J441" s="33">
        <v>0</v>
      </c>
      <c r="K441" s="33">
        <v>0.17000000178813934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4" t="s">
        <v>739</v>
      </c>
      <c r="S441" s="33">
        <v>0</v>
      </c>
      <c r="T441" s="35">
        <v>166</v>
      </c>
    </row>
    <row r="442" spans="1:20">
      <c r="A442" s="31">
        <v>440</v>
      </c>
      <c r="B442" s="33" t="s">
        <v>763</v>
      </c>
      <c r="C442" s="33">
        <v>100</v>
      </c>
      <c r="D442" s="33">
        <v>246</v>
      </c>
      <c r="E442" s="33">
        <v>50.700000762939453</v>
      </c>
      <c r="F442" s="33">
        <v>31.399999618530273</v>
      </c>
      <c r="G442" s="33">
        <v>11.899999618530273</v>
      </c>
      <c r="H442" s="33">
        <v>0</v>
      </c>
      <c r="I442" s="33">
        <v>3.2000000476837158</v>
      </c>
      <c r="J442" s="33">
        <v>11</v>
      </c>
      <c r="K442" s="33">
        <v>5.000000074505806E-2</v>
      </c>
      <c r="L442" s="33">
        <v>0.2199999988079071</v>
      </c>
      <c r="M442" s="33">
        <v>4.4000000953674316</v>
      </c>
      <c r="N442" s="33">
        <v>1.25</v>
      </c>
      <c r="O442" s="33">
        <v>869.20001220703125</v>
      </c>
      <c r="P442" s="33">
        <v>20</v>
      </c>
      <c r="Q442" s="33">
        <v>4</v>
      </c>
      <c r="R442" s="34" t="s">
        <v>739</v>
      </c>
      <c r="S442" s="33">
        <v>0</v>
      </c>
      <c r="T442" s="35">
        <v>116</v>
      </c>
    </row>
    <row r="443" spans="1:20">
      <c r="A443" s="31">
        <v>441</v>
      </c>
      <c r="B443" s="33" t="s">
        <v>764</v>
      </c>
      <c r="C443" s="33">
        <v>100</v>
      </c>
      <c r="D443" s="33">
        <v>246</v>
      </c>
      <c r="E443" s="33">
        <v>50.700000762939453</v>
      </c>
      <c r="F443" s="33">
        <v>31.399999618530273</v>
      </c>
      <c r="G443" s="33">
        <v>11.899999618530273</v>
      </c>
      <c r="H443" s="33">
        <v>0</v>
      </c>
      <c r="I443" s="33">
        <v>3.2000000476837158</v>
      </c>
      <c r="J443" s="33">
        <v>11</v>
      </c>
      <c r="K443" s="33">
        <v>5.000000074505806E-2</v>
      </c>
      <c r="L443" s="33">
        <v>0.2199999988079071</v>
      </c>
      <c r="M443" s="33">
        <v>4.4000000953674316</v>
      </c>
      <c r="N443" s="33">
        <v>1.25</v>
      </c>
      <c r="O443" s="33">
        <v>869.20001220703125</v>
      </c>
      <c r="P443" s="33">
        <v>20</v>
      </c>
      <c r="Q443" s="33">
        <v>4</v>
      </c>
      <c r="R443" s="34" t="s">
        <v>739</v>
      </c>
      <c r="S443" s="33">
        <v>0</v>
      </c>
      <c r="T443" s="35">
        <v>76</v>
      </c>
    </row>
    <row r="444" spans="1:20">
      <c r="A444" s="31">
        <v>442</v>
      </c>
      <c r="B444" s="33" t="s">
        <v>765</v>
      </c>
      <c r="C444" s="33">
        <v>100</v>
      </c>
      <c r="D444" s="33">
        <v>272</v>
      </c>
      <c r="E444" s="33">
        <v>45.700000762939453</v>
      </c>
      <c r="F444" s="33">
        <v>25.399999618530273</v>
      </c>
      <c r="G444" s="33">
        <v>13.699999809265137</v>
      </c>
      <c r="H444" s="33">
        <v>0</v>
      </c>
      <c r="I444" s="33">
        <v>11.800000190734863</v>
      </c>
      <c r="J444" s="33">
        <v>0</v>
      </c>
      <c r="K444" s="33">
        <v>7.0000000298023224E-2</v>
      </c>
      <c r="L444" s="33">
        <v>5.9999998658895493E-2</v>
      </c>
      <c r="M444" s="33">
        <v>8.3000001907348633</v>
      </c>
      <c r="N444" s="33">
        <v>1.2799999713897705</v>
      </c>
      <c r="O444" s="33">
        <v>937.79998779296875</v>
      </c>
      <c r="P444" s="33">
        <v>43</v>
      </c>
      <c r="Q444" s="33">
        <v>4.0999999046325684</v>
      </c>
      <c r="R444" s="34" t="s">
        <v>739</v>
      </c>
      <c r="S444" s="33">
        <v>0</v>
      </c>
      <c r="T444" s="35">
        <v>92</v>
      </c>
    </row>
    <row r="445" spans="1:20">
      <c r="A445" s="31">
        <v>443</v>
      </c>
      <c r="B445" s="33" t="s">
        <v>766</v>
      </c>
      <c r="C445" s="33">
        <v>96</v>
      </c>
      <c r="D445" s="33">
        <v>549</v>
      </c>
      <c r="E445" s="33">
        <v>24</v>
      </c>
      <c r="F445" s="33">
        <v>15.5</v>
      </c>
      <c r="G445" s="33">
        <v>50.400001525878906</v>
      </c>
      <c r="H445" s="33">
        <v>0</v>
      </c>
      <c r="I445" s="33">
        <v>8.3999996185302734</v>
      </c>
      <c r="J445" s="33">
        <v>4</v>
      </c>
      <c r="K445" s="33">
        <v>7.0000000298023224E-2</v>
      </c>
      <c r="L445" s="33">
        <v>0.14000000059604645</v>
      </c>
      <c r="M445" s="33">
        <v>2.5</v>
      </c>
      <c r="N445" s="33">
        <v>0.49000000953674316</v>
      </c>
      <c r="O445" s="33">
        <v>257.39999389648438</v>
      </c>
      <c r="P445" s="33">
        <v>9</v>
      </c>
      <c r="Q445" s="33">
        <v>1.5</v>
      </c>
      <c r="R445" s="34" t="s">
        <v>739</v>
      </c>
      <c r="S445" s="33">
        <v>0</v>
      </c>
      <c r="T445" s="35">
        <v>92</v>
      </c>
    </row>
    <row r="446" spans="1:20">
      <c r="A446" s="31">
        <v>444</v>
      </c>
      <c r="B446" s="33" t="s">
        <v>767</v>
      </c>
      <c r="C446" s="33">
        <v>100</v>
      </c>
      <c r="D446" s="33">
        <v>181</v>
      </c>
      <c r="E446" s="33">
        <v>63.099998474121094</v>
      </c>
      <c r="F446" s="33">
        <v>22.299999237060547</v>
      </c>
      <c r="G446" s="33">
        <v>9</v>
      </c>
      <c r="H446" s="33">
        <v>0</v>
      </c>
      <c r="I446" s="33">
        <v>2.5999999046325684</v>
      </c>
      <c r="J446" s="33">
        <v>0</v>
      </c>
      <c r="K446" s="33">
        <v>0.89999997615814209</v>
      </c>
      <c r="L446" s="33">
        <v>0.10999999940395355</v>
      </c>
      <c r="M446" s="33">
        <v>4.5</v>
      </c>
      <c r="N446" s="33">
        <v>0.10999999940395355</v>
      </c>
      <c r="O446" s="33">
        <v>51.200000762939453</v>
      </c>
      <c r="P446" s="33">
        <v>2</v>
      </c>
      <c r="Q446" s="33">
        <v>2.4000000953674316</v>
      </c>
      <c r="R446" s="34" t="s">
        <v>739</v>
      </c>
      <c r="S446" s="33">
        <v>0</v>
      </c>
      <c r="T446" s="35">
        <v>46</v>
      </c>
    </row>
    <row r="447" spans="1:20">
      <c r="A447" s="31">
        <v>445</v>
      </c>
      <c r="B447" s="33" t="s">
        <v>768</v>
      </c>
      <c r="C447" s="33">
        <v>100</v>
      </c>
      <c r="D447" s="33">
        <v>498</v>
      </c>
      <c r="E447" s="33">
        <v>31.100000381469727</v>
      </c>
      <c r="F447" s="33">
        <v>11.800000190734863</v>
      </c>
      <c r="G447" s="33">
        <v>48.799999237060547</v>
      </c>
      <c r="H447" s="33">
        <v>0</v>
      </c>
      <c r="I447" s="33">
        <v>2.9000000953674316</v>
      </c>
      <c r="J447" s="33">
        <v>96</v>
      </c>
      <c r="K447" s="33">
        <v>0</v>
      </c>
      <c r="L447" s="33">
        <v>0</v>
      </c>
      <c r="M447" s="33">
        <v>0</v>
      </c>
      <c r="N447" s="33">
        <v>6.2300000190734863</v>
      </c>
      <c r="O447" s="33">
        <v>763.9000244140625</v>
      </c>
      <c r="P447" s="33">
        <v>22</v>
      </c>
      <c r="Q447" s="33">
        <v>7.5</v>
      </c>
      <c r="R447" s="34" t="s">
        <v>739</v>
      </c>
      <c r="S447" s="33">
        <v>0</v>
      </c>
      <c r="T447" s="35">
        <v>123</v>
      </c>
    </row>
    <row r="448" spans="1:20">
      <c r="A448" s="31">
        <v>446</v>
      </c>
      <c r="B448" s="33" t="s">
        <v>769</v>
      </c>
      <c r="C448" s="33">
        <v>100</v>
      </c>
      <c r="D448" s="33">
        <v>587</v>
      </c>
      <c r="E448" s="33">
        <v>10.899999618530273</v>
      </c>
      <c r="F448" s="33">
        <v>13.199999809265137</v>
      </c>
      <c r="G448" s="33">
        <v>48.900001525878906</v>
      </c>
      <c r="H448" s="33">
        <v>0</v>
      </c>
      <c r="I448" s="33">
        <v>23.600000381469727</v>
      </c>
      <c r="J448" s="33">
        <v>0</v>
      </c>
      <c r="K448" s="33">
        <v>0.23000000417232513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4" t="s">
        <v>739</v>
      </c>
      <c r="S448" s="33">
        <v>0</v>
      </c>
      <c r="T448" s="35">
        <v>135</v>
      </c>
    </row>
    <row r="449" spans="1:20">
      <c r="A449" s="31">
        <v>447</v>
      </c>
      <c r="B449" s="33" t="s">
        <v>770</v>
      </c>
      <c r="C449" s="33">
        <v>100</v>
      </c>
      <c r="D449" s="33">
        <v>246</v>
      </c>
      <c r="E449" s="33">
        <v>47.799999237060547</v>
      </c>
      <c r="F449" s="33">
        <v>26.100000381469727</v>
      </c>
      <c r="G449" s="33">
        <v>10.600000381469727</v>
      </c>
      <c r="H449" s="33">
        <v>0</v>
      </c>
      <c r="I449" s="33">
        <v>11.5</v>
      </c>
      <c r="J449" s="33">
        <v>0</v>
      </c>
      <c r="K449" s="33">
        <v>2.9999999329447746E-2</v>
      </c>
      <c r="L449" s="33">
        <v>0.5</v>
      </c>
      <c r="M449" s="33">
        <v>3.4000000953674316</v>
      </c>
      <c r="N449" s="33">
        <v>7.2600002288818359</v>
      </c>
      <c r="O449" s="33">
        <v>8991.599609375</v>
      </c>
      <c r="P449" s="33">
        <v>14</v>
      </c>
      <c r="Q449" s="33">
        <v>6.5999999046325684</v>
      </c>
      <c r="R449" s="34" t="s">
        <v>739</v>
      </c>
      <c r="S449" s="33">
        <v>0</v>
      </c>
      <c r="T449" s="35">
        <v>100</v>
      </c>
    </row>
    <row r="450" spans="1:20">
      <c r="A450" s="31">
        <v>448</v>
      </c>
      <c r="B450" s="33" t="s">
        <v>771</v>
      </c>
      <c r="C450" s="33">
        <v>100</v>
      </c>
      <c r="D450" s="33">
        <v>143</v>
      </c>
      <c r="E450" s="33">
        <v>60.400001525878906</v>
      </c>
      <c r="F450" s="33">
        <v>29.700000762939453</v>
      </c>
      <c r="G450" s="33">
        <v>0.80000001192092896</v>
      </c>
      <c r="H450" s="33">
        <v>0</v>
      </c>
      <c r="I450" s="33">
        <v>4.3000001907348633</v>
      </c>
      <c r="J450" s="33">
        <v>0</v>
      </c>
      <c r="K450" s="33">
        <v>0</v>
      </c>
      <c r="L450" s="33">
        <v>0</v>
      </c>
      <c r="M450" s="33">
        <v>0</v>
      </c>
      <c r="N450" s="33">
        <v>0.56999999284744263</v>
      </c>
      <c r="O450" s="33">
        <v>698.0999755859375</v>
      </c>
      <c r="P450" s="33">
        <v>51</v>
      </c>
      <c r="Q450" s="33">
        <v>6.8000001907348633</v>
      </c>
      <c r="R450" s="34" t="s">
        <v>739</v>
      </c>
      <c r="S450" s="33">
        <v>0</v>
      </c>
      <c r="T450" s="35">
        <v>186</v>
      </c>
    </row>
    <row r="451" spans="1:20">
      <c r="A451" s="31">
        <v>449</v>
      </c>
      <c r="B451" s="33" t="s">
        <v>772</v>
      </c>
      <c r="C451" s="33">
        <v>100</v>
      </c>
      <c r="D451" s="33">
        <v>186</v>
      </c>
      <c r="E451" s="33">
        <v>51.799999237060547</v>
      </c>
      <c r="F451" s="33">
        <v>39</v>
      </c>
      <c r="G451" s="33">
        <v>2.2999999523162842</v>
      </c>
      <c r="H451" s="33">
        <v>0</v>
      </c>
      <c r="I451" s="33">
        <v>2.2999999523162842</v>
      </c>
      <c r="J451" s="33">
        <v>0</v>
      </c>
      <c r="K451" s="33">
        <v>5.000000074505806E-2</v>
      </c>
      <c r="L451" s="33">
        <v>0</v>
      </c>
      <c r="M451" s="33">
        <v>0</v>
      </c>
      <c r="N451" s="33">
        <v>0</v>
      </c>
      <c r="O451" s="33">
        <v>0</v>
      </c>
      <c r="P451" s="33">
        <v>0</v>
      </c>
      <c r="Q451" s="33">
        <v>0</v>
      </c>
      <c r="R451" s="34" t="s">
        <v>739</v>
      </c>
      <c r="S451" s="33">
        <v>0</v>
      </c>
      <c r="T451" s="35">
        <v>356</v>
      </c>
    </row>
    <row r="452" spans="1:20">
      <c r="A452" s="31">
        <v>450</v>
      </c>
      <c r="B452" s="33" t="s">
        <v>773</v>
      </c>
      <c r="C452" s="33">
        <v>100</v>
      </c>
      <c r="D452" s="33">
        <v>116</v>
      </c>
      <c r="E452" s="33">
        <v>72.199996948242188</v>
      </c>
      <c r="F452" s="33">
        <v>25.600000381469727</v>
      </c>
      <c r="G452" s="33">
        <v>1.3999999761581421</v>
      </c>
      <c r="H452" s="33">
        <v>0</v>
      </c>
      <c r="I452" s="33">
        <v>0.20000000298023224</v>
      </c>
      <c r="J452" s="33">
        <v>9</v>
      </c>
      <c r="K452" s="33">
        <v>9.9999997764825821E-3</v>
      </c>
      <c r="L452" s="33">
        <v>0</v>
      </c>
      <c r="M452" s="33">
        <v>0</v>
      </c>
      <c r="N452" s="33">
        <v>0</v>
      </c>
      <c r="O452" s="33">
        <v>210.30000305175781</v>
      </c>
      <c r="P452" s="33">
        <v>36</v>
      </c>
      <c r="Q452" s="33">
        <v>4</v>
      </c>
      <c r="R452" s="34" t="s">
        <v>739</v>
      </c>
      <c r="S452" s="33">
        <v>0</v>
      </c>
      <c r="T452" s="35">
        <v>55</v>
      </c>
    </row>
    <row r="453" spans="1:20">
      <c r="A453" s="31">
        <v>451</v>
      </c>
      <c r="B453" s="33" t="s">
        <v>774</v>
      </c>
      <c r="C453" s="33">
        <v>100</v>
      </c>
      <c r="D453" s="33">
        <v>310</v>
      </c>
      <c r="E453" s="33">
        <v>21.899999618530273</v>
      </c>
      <c r="F453" s="33">
        <v>72.800003051757813</v>
      </c>
      <c r="G453" s="33">
        <v>2</v>
      </c>
      <c r="H453" s="33">
        <v>0</v>
      </c>
      <c r="I453" s="33">
        <v>0.30000001192092896</v>
      </c>
      <c r="J453" s="33">
        <v>26</v>
      </c>
      <c r="K453" s="33">
        <v>2.9999999329447746E-2</v>
      </c>
      <c r="L453" s="33">
        <v>0</v>
      </c>
      <c r="M453" s="33">
        <v>0</v>
      </c>
      <c r="N453" s="33">
        <v>0</v>
      </c>
      <c r="O453" s="33">
        <v>170.60000610351563</v>
      </c>
      <c r="P453" s="33">
        <v>152</v>
      </c>
      <c r="Q453" s="33">
        <v>0.30000001192092896</v>
      </c>
      <c r="R453" s="34" t="s">
        <v>739</v>
      </c>
      <c r="S453" s="33">
        <v>0</v>
      </c>
      <c r="T453" s="35">
        <v>360</v>
      </c>
    </row>
    <row r="454" spans="1:20">
      <c r="A454" s="31">
        <v>452</v>
      </c>
      <c r="B454" s="33" t="s">
        <v>775</v>
      </c>
      <c r="C454" s="33">
        <v>100</v>
      </c>
      <c r="D454" s="33">
        <v>116</v>
      </c>
      <c r="E454" s="33">
        <v>73.800003051757813</v>
      </c>
      <c r="F454" s="33">
        <v>21.5</v>
      </c>
      <c r="G454" s="33">
        <v>3.2000000476837158</v>
      </c>
      <c r="H454" s="33">
        <v>0</v>
      </c>
      <c r="I454" s="33">
        <v>0.40000000596046448</v>
      </c>
      <c r="J454" s="33">
        <v>72</v>
      </c>
      <c r="K454" s="33">
        <v>2.9999999329447746E-2</v>
      </c>
      <c r="L454" s="33">
        <v>0.15999999642372131</v>
      </c>
      <c r="M454" s="33">
        <v>2.5</v>
      </c>
      <c r="N454" s="33">
        <v>2.7599999904632568</v>
      </c>
      <c r="O454" s="33">
        <v>46.900001525878906</v>
      </c>
      <c r="P454" s="33">
        <v>2</v>
      </c>
      <c r="Q454" s="33">
        <v>4.3000001907348633</v>
      </c>
      <c r="R454" s="34" t="s">
        <v>739</v>
      </c>
      <c r="S454" s="33">
        <v>0</v>
      </c>
      <c r="T454" s="35">
        <v>74</v>
      </c>
    </row>
    <row r="455" spans="1:20">
      <c r="A455" s="31">
        <v>453</v>
      </c>
      <c r="B455" s="33" t="s">
        <v>776</v>
      </c>
      <c r="C455" s="33">
        <v>100</v>
      </c>
      <c r="D455" s="33">
        <v>251</v>
      </c>
      <c r="E455" s="33">
        <v>57.700000762939453</v>
      </c>
      <c r="F455" s="33">
        <v>32.299999237060547</v>
      </c>
      <c r="G455" s="33">
        <v>13.5</v>
      </c>
      <c r="H455" s="33">
        <v>0</v>
      </c>
      <c r="I455" s="33">
        <v>0</v>
      </c>
      <c r="J455" s="33">
        <v>25</v>
      </c>
      <c r="K455" s="33">
        <v>0</v>
      </c>
      <c r="L455" s="33">
        <v>0.10000000149011612</v>
      </c>
      <c r="M455" s="33">
        <v>0</v>
      </c>
      <c r="N455" s="33">
        <v>0.38999998569488525</v>
      </c>
      <c r="O455" s="33">
        <v>207.39999389648438</v>
      </c>
      <c r="P455" s="33">
        <v>13</v>
      </c>
      <c r="Q455" s="33">
        <v>8.3000001907348633</v>
      </c>
      <c r="R455" s="34" t="s">
        <v>739</v>
      </c>
      <c r="S455" s="33">
        <v>0</v>
      </c>
      <c r="T455" s="35">
        <v>0</v>
      </c>
    </row>
    <row r="456" spans="1:20">
      <c r="A456" s="31">
        <v>454</v>
      </c>
      <c r="B456" s="33" t="s">
        <v>777</v>
      </c>
      <c r="C456" s="33">
        <v>100</v>
      </c>
      <c r="D456" s="33">
        <v>186</v>
      </c>
      <c r="E456" s="33">
        <v>57.5</v>
      </c>
      <c r="F456" s="33">
        <v>24.600000381469727</v>
      </c>
      <c r="G456" s="33">
        <v>4.8000001907348633</v>
      </c>
      <c r="H456" s="33">
        <v>0</v>
      </c>
      <c r="I456" s="33">
        <v>11</v>
      </c>
      <c r="J456" s="33">
        <v>0</v>
      </c>
      <c r="K456" s="33">
        <v>9.9999997764825821E-3</v>
      </c>
      <c r="L456" s="33">
        <v>0.10000000149011612</v>
      </c>
      <c r="M456" s="33">
        <v>2.2000000476837158</v>
      </c>
      <c r="N456" s="33">
        <v>0</v>
      </c>
      <c r="O456" s="33">
        <v>881.4000244140625</v>
      </c>
      <c r="P456" s="33">
        <v>14</v>
      </c>
      <c r="Q456" s="33">
        <v>3</v>
      </c>
      <c r="R456" s="34" t="s">
        <v>739</v>
      </c>
      <c r="S456" s="33">
        <v>0</v>
      </c>
      <c r="T456" s="35">
        <v>208</v>
      </c>
    </row>
    <row r="457" spans="1:20">
      <c r="A457" s="31">
        <v>455</v>
      </c>
      <c r="B457" s="33" t="s">
        <v>778</v>
      </c>
      <c r="C457" s="33">
        <v>100</v>
      </c>
      <c r="D457" s="33">
        <v>122</v>
      </c>
      <c r="E457" s="33">
        <v>74.099998474121094</v>
      </c>
      <c r="F457" s="33">
        <v>20.100000381469727</v>
      </c>
      <c r="G457" s="33">
        <v>4.5999999046325684</v>
      </c>
      <c r="H457" s="33">
        <v>0</v>
      </c>
      <c r="I457" s="33">
        <v>0.10000000149011612</v>
      </c>
      <c r="J457" s="33">
        <v>28</v>
      </c>
      <c r="K457" s="33">
        <v>5.9999998658895493E-2</v>
      </c>
      <c r="L457" s="33">
        <v>0.25</v>
      </c>
      <c r="M457" s="33">
        <v>2.2000000476837158</v>
      </c>
      <c r="N457" s="33">
        <v>1.4199999570846558</v>
      </c>
      <c r="O457" s="33">
        <v>115.80000305175781</v>
      </c>
      <c r="P457" s="33">
        <v>5</v>
      </c>
      <c r="Q457" s="33">
        <v>5.0999999046325684</v>
      </c>
      <c r="R457" s="34" t="s">
        <v>739</v>
      </c>
      <c r="S457" s="33">
        <v>0</v>
      </c>
      <c r="T457" s="35">
        <v>84</v>
      </c>
    </row>
    <row r="458" spans="1:20">
      <c r="A458" s="31">
        <v>456</v>
      </c>
      <c r="B458" s="33" t="s">
        <v>779</v>
      </c>
      <c r="C458" s="33">
        <v>100</v>
      </c>
      <c r="D458" s="33">
        <v>104</v>
      </c>
      <c r="E458" s="33">
        <v>76.300003051757813</v>
      </c>
      <c r="F458" s="33">
        <v>18.899999618530273</v>
      </c>
      <c r="G458" s="33">
        <v>2.7000000476837158</v>
      </c>
      <c r="H458" s="33">
        <v>0</v>
      </c>
      <c r="I458" s="33">
        <v>1</v>
      </c>
      <c r="J458" s="33">
        <v>32</v>
      </c>
      <c r="K458" s="33">
        <v>0.2199999988079071</v>
      </c>
      <c r="L458" s="33">
        <v>0.28999999165534973</v>
      </c>
      <c r="M458" s="33">
        <v>2.9000000953674316</v>
      </c>
      <c r="N458" s="33">
        <v>1.9900000095367432</v>
      </c>
      <c r="O458" s="33">
        <v>66.199996948242188</v>
      </c>
      <c r="P458" s="33">
        <v>25</v>
      </c>
      <c r="Q458" s="33">
        <v>11.899999618530273</v>
      </c>
      <c r="R458" s="34" t="s">
        <v>739</v>
      </c>
      <c r="S458" s="33">
        <v>0</v>
      </c>
      <c r="T458" s="35">
        <v>119</v>
      </c>
    </row>
    <row r="459" spans="1:20">
      <c r="A459" s="31">
        <v>457</v>
      </c>
      <c r="B459" s="33" t="s">
        <v>780</v>
      </c>
      <c r="C459" s="33">
        <v>100</v>
      </c>
      <c r="D459" s="33">
        <v>66</v>
      </c>
      <c r="E459" s="33">
        <v>85.900001525878906</v>
      </c>
      <c r="F459" s="33">
        <v>11</v>
      </c>
      <c r="G459" s="33">
        <v>2.2999999523162842</v>
      </c>
      <c r="H459" s="33">
        <v>0</v>
      </c>
      <c r="I459" s="33">
        <v>0.40000000596046448</v>
      </c>
      <c r="J459" s="33">
        <v>0</v>
      </c>
      <c r="K459" s="33">
        <v>2.9999999329447746E-2</v>
      </c>
      <c r="L459" s="33">
        <v>7.9999998211860657E-2</v>
      </c>
      <c r="M459" s="33">
        <v>1.2000000476837158</v>
      </c>
      <c r="N459" s="33">
        <v>0</v>
      </c>
      <c r="O459" s="33">
        <v>28</v>
      </c>
      <c r="P459" s="33">
        <v>12</v>
      </c>
      <c r="Q459" s="33">
        <v>2</v>
      </c>
      <c r="R459" s="34" t="s">
        <v>739</v>
      </c>
      <c r="S459" s="33">
        <v>0</v>
      </c>
      <c r="T459" s="35">
        <v>124</v>
      </c>
    </row>
    <row r="460" spans="1:20">
      <c r="A460" s="31">
        <v>458</v>
      </c>
      <c r="B460" s="33" t="s">
        <v>781</v>
      </c>
      <c r="C460" s="33">
        <v>100</v>
      </c>
      <c r="D460" s="33">
        <v>72</v>
      </c>
      <c r="E460" s="33">
        <v>83.400001525878906</v>
      </c>
      <c r="F460" s="33">
        <v>14.5</v>
      </c>
      <c r="G460" s="33">
        <v>1.6000000238418579</v>
      </c>
      <c r="H460" s="33">
        <v>0</v>
      </c>
      <c r="I460" s="33">
        <v>0</v>
      </c>
      <c r="J460" s="33">
        <v>2</v>
      </c>
      <c r="K460" s="33">
        <v>2.9999999329447746E-2</v>
      </c>
      <c r="L460" s="33">
        <v>0.12999999523162842</v>
      </c>
      <c r="M460" s="33">
        <v>2.5</v>
      </c>
      <c r="N460" s="33">
        <v>0.50999999046325684</v>
      </c>
      <c r="O460" s="33">
        <v>60.599998474121094</v>
      </c>
      <c r="P460" s="33">
        <v>40</v>
      </c>
      <c r="Q460" s="33">
        <v>1.7999999523162842</v>
      </c>
      <c r="R460" s="34" t="s">
        <v>739</v>
      </c>
      <c r="S460" s="33">
        <v>0</v>
      </c>
      <c r="T460" s="35">
        <v>104</v>
      </c>
    </row>
    <row r="461" spans="1:20">
      <c r="A461" s="31">
        <v>459</v>
      </c>
      <c r="B461" s="33" t="s">
        <v>782</v>
      </c>
      <c r="C461" s="33">
        <v>100</v>
      </c>
      <c r="D461" s="33">
        <v>94</v>
      </c>
      <c r="E461" s="33">
        <v>78.599998474121094</v>
      </c>
      <c r="F461" s="33">
        <v>16.5</v>
      </c>
      <c r="G461" s="33">
        <v>2.5</v>
      </c>
      <c r="H461" s="33">
        <v>0</v>
      </c>
      <c r="I461" s="33">
        <v>1.5</v>
      </c>
      <c r="J461" s="33">
        <v>12</v>
      </c>
      <c r="K461" s="33">
        <v>3.9999999105930328E-2</v>
      </c>
      <c r="L461" s="33">
        <v>0.20999999344348907</v>
      </c>
      <c r="M461" s="33">
        <v>3.4000000953674316</v>
      </c>
      <c r="N461" s="33">
        <v>0.34000000357627869</v>
      </c>
      <c r="O461" s="33">
        <v>154.80000305175781</v>
      </c>
      <c r="P461" s="33">
        <v>8</v>
      </c>
      <c r="Q461" s="33">
        <v>11.699999809265137</v>
      </c>
      <c r="R461" s="34" t="s">
        <v>739</v>
      </c>
      <c r="S461" s="33">
        <v>0</v>
      </c>
      <c r="T461" s="35">
        <v>306</v>
      </c>
    </row>
    <row r="462" spans="1:20">
      <c r="A462" s="31">
        <v>460</v>
      </c>
      <c r="B462" s="33" t="s">
        <v>783</v>
      </c>
      <c r="C462" s="33">
        <v>100</v>
      </c>
      <c r="D462" s="33">
        <v>139</v>
      </c>
      <c r="E462" s="33">
        <v>68.699996948242188</v>
      </c>
      <c r="F462" s="33">
        <v>19.799999237060547</v>
      </c>
      <c r="G462" s="33">
        <v>3.9000000953674316</v>
      </c>
      <c r="H462" s="33">
        <v>0</v>
      </c>
      <c r="I462" s="33">
        <v>6.1999998092651367</v>
      </c>
      <c r="J462" s="33">
        <v>20220</v>
      </c>
      <c r="K462" s="33">
        <v>0.15999999642372131</v>
      </c>
      <c r="L462" s="33">
        <v>1.2999999523162842</v>
      </c>
      <c r="M462" s="33">
        <v>11.899999618530273</v>
      </c>
      <c r="N462" s="33">
        <v>0.12999999523162842</v>
      </c>
      <c r="O462" s="33">
        <v>45</v>
      </c>
      <c r="P462" s="33">
        <v>4</v>
      </c>
      <c r="Q462" s="33">
        <v>6.5999999046325684</v>
      </c>
      <c r="R462" s="34" t="s">
        <v>739</v>
      </c>
      <c r="S462" s="33">
        <v>0</v>
      </c>
      <c r="T462" s="35">
        <v>297</v>
      </c>
    </row>
    <row r="463" spans="1:20">
      <c r="A463" s="31">
        <v>461</v>
      </c>
      <c r="B463" s="33" t="s">
        <v>784</v>
      </c>
      <c r="C463" s="33">
        <v>100</v>
      </c>
      <c r="D463" s="33">
        <v>149</v>
      </c>
      <c r="E463" s="33">
        <v>75.099998474121094</v>
      </c>
      <c r="F463" s="33">
        <v>12.5</v>
      </c>
      <c r="G463" s="33">
        <v>11</v>
      </c>
      <c r="H463" s="33">
        <v>0</v>
      </c>
      <c r="I463" s="33">
        <v>0.10000000149011612</v>
      </c>
      <c r="J463" s="33">
        <v>0</v>
      </c>
      <c r="K463" s="33">
        <v>0.15000000596046448</v>
      </c>
      <c r="L463" s="33">
        <v>0.25</v>
      </c>
      <c r="M463" s="33">
        <v>4</v>
      </c>
      <c r="N463" s="33">
        <v>0</v>
      </c>
      <c r="O463" s="33">
        <v>185.60000610351563</v>
      </c>
      <c r="P463" s="33">
        <v>583</v>
      </c>
      <c r="Q463" s="33">
        <v>4.6999998092651367</v>
      </c>
      <c r="R463" s="34" t="s">
        <v>739</v>
      </c>
      <c r="S463" s="33">
        <v>0</v>
      </c>
      <c r="T463" s="35">
        <v>2447</v>
      </c>
    </row>
    <row r="464" spans="1:20">
      <c r="A464" s="31">
        <v>462</v>
      </c>
      <c r="B464" s="33" t="s">
        <v>785</v>
      </c>
      <c r="C464" s="33">
        <v>100</v>
      </c>
      <c r="D464" s="33">
        <v>190</v>
      </c>
      <c r="E464" s="33">
        <v>68.099998474121094</v>
      </c>
      <c r="F464" s="33">
        <v>18.100000381469727</v>
      </c>
      <c r="G464" s="33">
        <v>13.399999618530273</v>
      </c>
      <c r="H464" s="33">
        <v>0</v>
      </c>
      <c r="I464" s="33">
        <v>0</v>
      </c>
      <c r="J464" s="33">
        <v>9</v>
      </c>
      <c r="K464" s="33">
        <v>2.9999999329447746E-2</v>
      </c>
      <c r="L464" s="33">
        <v>0.10999999940395355</v>
      </c>
      <c r="M464" s="33">
        <v>7.4000000953674316</v>
      </c>
      <c r="N464" s="33">
        <v>0.2199999988079071</v>
      </c>
      <c r="O464" s="33">
        <v>57.400001525878906</v>
      </c>
      <c r="P464" s="33">
        <v>8</v>
      </c>
      <c r="Q464" s="33">
        <v>3.2000000476837158</v>
      </c>
      <c r="R464" s="34" t="s">
        <v>739</v>
      </c>
      <c r="S464" s="33">
        <v>0</v>
      </c>
      <c r="T464" s="35">
        <v>84</v>
      </c>
    </row>
    <row r="465" spans="1:20">
      <c r="A465" s="31">
        <v>463</v>
      </c>
      <c r="B465" s="33" t="s">
        <v>786</v>
      </c>
      <c r="C465" s="33">
        <v>100</v>
      </c>
      <c r="D465" s="33">
        <v>123</v>
      </c>
      <c r="E465" s="33">
        <v>75.099998474121094</v>
      </c>
      <c r="F465" s="33">
        <v>18.600000381469727</v>
      </c>
      <c r="G465" s="33">
        <v>5.4000000953674316</v>
      </c>
      <c r="H465" s="33">
        <v>0</v>
      </c>
      <c r="I465" s="33">
        <v>0</v>
      </c>
      <c r="J465" s="33">
        <v>7</v>
      </c>
      <c r="K465" s="33">
        <v>5.9999998658895493E-2</v>
      </c>
      <c r="L465" s="33">
        <v>0.12999999523162842</v>
      </c>
      <c r="M465" s="33">
        <v>3.0999999046325684</v>
      </c>
      <c r="N465" s="33">
        <v>0.37000000476837158</v>
      </c>
      <c r="O465" s="33">
        <v>66.599998474121094</v>
      </c>
      <c r="P465" s="33">
        <v>19</v>
      </c>
      <c r="Q465" s="33">
        <v>2.7000000476837158</v>
      </c>
      <c r="R465" s="34" t="s">
        <v>739</v>
      </c>
      <c r="S465" s="33">
        <v>0</v>
      </c>
      <c r="T465" s="35">
        <v>84</v>
      </c>
    </row>
    <row r="466" spans="1:20">
      <c r="A466" s="31">
        <v>464</v>
      </c>
      <c r="B466" s="33" t="s">
        <v>787</v>
      </c>
      <c r="C466" s="33">
        <v>100</v>
      </c>
      <c r="D466" s="33">
        <v>98</v>
      </c>
      <c r="E466" s="33">
        <v>77.099998474121094</v>
      </c>
      <c r="F466" s="33">
        <v>19.799999237060547</v>
      </c>
      <c r="G466" s="33">
        <v>2</v>
      </c>
      <c r="H466" s="33">
        <v>0</v>
      </c>
      <c r="I466" s="33">
        <v>0.10000000149011612</v>
      </c>
      <c r="J466" s="33">
        <v>2</v>
      </c>
      <c r="K466" s="33">
        <v>1.9999999552965164E-2</v>
      </c>
      <c r="L466" s="33">
        <v>0.18000000715255737</v>
      </c>
      <c r="M466" s="33">
        <v>5.6999998092651367</v>
      </c>
      <c r="N466" s="33">
        <v>0.81000000238418579</v>
      </c>
      <c r="O466" s="33">
        <v>30.600000381469727</v>
      </c>
      <c r="P466" s="33">
        <v>7</v>
      </c>
      <c r="Q466" s="33">
        <v>2.0999999046325684</v>
      </c>
      <c r="R466" s="34" t="s">
        <v>739</v>
      </c>
      <c r="S466" s="33">
        <v>0</v>
      </c>
      <c r="T466" s="35">
        <v>58</v>
      </c>
    </row>
    <row r="467" spans="1:20">
      <c r="A467" s="31">
        <v>465</v>
      </c>
      <c r="B467" s="33" t="s">
        <v>788</v>
      </c>
      <c r="C467" s="33">
        <v>94</v>
      </c>
      <c r="D467" s="33">
        <v>93</v>
      </c>
      <c r="E467" s="33">
        <v>78.099998474121094</v>
      </c>
      <c r="F467" s="33">
        <v>18</v>
      </c>
      <c r="G467" s="33">
        <v>1.7999999523162842</v>
      </c>
      <c r="H467" s="33">
        <v>0</v>
      </c>
      <c r="I467" s="33">
        <v>1.1000000238418579</v>
      </c>
      <c r="J467" s="33">
        <v>3</v>
      </c>
      <c r="K467" s="33">
        <v>1.9999999552965164E-2</v>
      </c>
      <c r="L467" s="33">
        <v>0.18000000715255737</v>
      </c>
      <c r="M467" s="33">
        <v>3.7000000476837158</v>
      </c>
      <c r="N467" s="33">
        <v>0.74000000953674316</v>
      </c>
      <c r="O467" s="33">
        <v>70.599998474121094</v>
      </c>
      <c r="P467" s="33">
        <v>6</v>
      </c>
      <c r="Q467" s="33">
        <v>2.2999999523162842</v>
      </c>
      <c r="R467" s="34" t="s">
        <v>739</v>
      </c>
      <c r="S467" s="33">
        <v>0</v>
      </c>
      <c r="T467" s="35">
        <v>58</v>
      </c>
    </row>
    <row r="468" spans="1:20">
      <c r="A468" s="31">
        <v>466</v>
      </c>
      <c r="B468" s="33" t="s">
        <v>789</v>
      </c>
      <c r="C468" s="33">
        <v>95</v>
      </c>
      <c r="D468" s="33">
        <v>100</v>
      </c>
      <c r="E468" s="33">
        <v>76.599998474121094</v>
      </c>
      <c r="F468" s="33">
        <v>18.399999618530273</v>
      </c>
      <c r="G468" s="33">
        <v>2.0999999046325684</v>
      </c>
      <c r="H468" s="33">
        <v>0</v>
      </c>
      <c r="I468" s="33">
        <v>1.7999999523162842</v>
      </c>
      <c r="J468" s="33">
        <v>2</v>
      </c>
      <c r="K468" s="33">
        <v>1.9999999552965164E-2</v>
      </c>
      <c r="L468" s="33">
        <v>0.18000000715255737</v>
      </c>
      <c r="M468" s="33">
        <v>4.0999999046325684</v>
      </c>
      <c r="N468" s="33">
        <v>0.41999998688697815</v>
      </c>
      <c r="O468" s="33">
        <v>61.200000762939453</v>
      </c>
      <c r="P468" s="33">
        <v>6</v>
      </c>
      <c r="Q468" s="33">
        <v>3</v>
      </c>
      <c r="R468" s="34" t="s">
        <v>739</v>
      </c>
      <c r="S468" s="33">
        <v>0</v>
      </c>
      <c r="T468" s="35">
        <v>58</v>
      </c>
    </row>
    <row r="469" spans="1:20">
      <c r="A469" s="31">
        <v>467</v>
      </c>
      <c r="B469" s="33" t="s">
        <v>790</v>
      </c>
      <c r="C469" s="33">
        <v>100</v>
      </c>
      <c r="D469" s="33">
        <v>95</v>
      </c>
      <c r="E469" s="33">
        <v>78</v>
      </c>
      <c r="F469" s="33">
        <v>15.699999809265137</v>
      </c>
      <c r="G469" s="33">
        <v>2.4000000953674316</v>
      </c>
      <c r="H469" s="33">
        <v>0</v>
      </c>
      <c r="I469" s="33">
        <v>2.7000000476837158</v>
      </c>
      <c r="J469" s="33">
        <v>2</v>
      </c>
      <c r="K469" s="33">
        <v>1.9999999552965164E-2</v>
      </c>
      <c r="L469" s="33">
        <v>0.18999999761581421</v>
      </c>
      <c r="M469" s="33">
        <v>3.9000000953674316</v>
      </c>
      <c r="N469" s="33">
        <v>0.70999997854232788</v>
      </c>
      <c r="O469" s="33">
        <v>54.599998474121094</v>
      </c>
      <c r="P469" s="33">
        <v>7</v>
      </c>
      <c r="Q469" s="33">
        <v>1.6000000238418579</v>
      </c>
      <c r="R469" s="34" t="s">
        <v>739</v>
      </c>
      <c r="S469" s="33">
        <v>0</v>
      </c>
      <c r="T469" s="35">
        <v>58</v>
      </c>
    </row>
    <row r="470" spans="1:20">
      <c r="A470" s="31">
        <v>468</v>
      </c>
      <c r="B470" s="33" t="s">
        <v>791</v>
      </c>
      <c r="C470" s="33">
        <v>100</v>
      </c>
      <c r="D470" s="33">
        <v>106</v>
      </c>
      <c r="E470" s="33">
        <v>75.199996948242188</v>
      </c>
      <c r="F470" s="33">
        <v>20.200000762939453</v>
      </c>
      <c r="G470" s="33">
        <v>2.2999999523162842</v>
      </c>
      <c r="H470" s="33">
        <v>0</v>
      </c>
      <c r="I470" s="33">
        <v>1.2000000476837158</v>
      </c>
      <c r="J470" s="33">
        <v>6</v>
      </c>
      <c r="K470" s="33">
        <v>7.0000000298023224E-2</v>
      </c>
      <c r="L470" s="33">
        <v>0.12999999523162842</v>
      </c>
      <c r="M470" s="33">
        <v>6.3000001907348633</v>
      </c>
      <c r="N470" s="33">
        <v>0.34999999403953552</v>
      </c>
      <c r="O470" s="33">
        <v>53.599998474121094</v>
      </c>
      <c r="P470" s="33">
        <v>9</v>
      </c>
      <c r="Q470" s="33">
        <v>2.7999999523162842</v>
      </c>
      <c r="R470" s="34" t="s">
        <v>739</v>
      </c>
      <c r="S470" s="33">
        <v>0</v>
      </c>
      <c r="T470" s="35">
        <v>58</v>
      </c>
    </row>
    <row r="471" spans="1:20">
      <c r="A471" s="31">
        <v>469</v>
      </c>
      <c r="B471" s="33" t="s">
        <v>792</v>
      </c>
      <c r="C471" s="33">
        <v>100</v>
      </c>
      <c r="D471" s="33">
        <v>550</v>
      </c>
      <c r="E471" s="33">
        <v>9.3000001907348633</v>
      </c>
      <c r="F471" s="33">
        <v>45.599998474121094</v>
      </c>
      <c r="G471" s="33">
        <v>40</v>
      </c>
      <c r="H471" s="33">
        <v>0</v>
      </c>
      <c r="I471" s="33">
        <v>1.8999999761581421</v>
      </c>
      <c r="J471" s="33">
        <v>0</v>
      </c>
      <c r="K471" s="33">
        <v>5.9999998658895493E-2</v>
      </c>
      <c r="L471" s="33">
        <v>0.25999999046325684</v>
      </c>
      <c r="M471" s="33">
        <v>15.199999809265137</v>
      </c>
      <c r="N471" s="33">
        <v>0</v>
      </c>
      <c r="O471" s="33">
        <v>412.39999389648438</v>
      </c>
      <c r="P471" s="33">
        <v>43</v>
      </c>
      <c r="Q471" s="33">
        <v>15.600000381469727</v>
      </c>
      <c r="R471" s="34" t="s">
        <v>739</v>
      </c>
      <c r="S471" s="33">
        <v>0</v>
      </c>
      <c r="T471" s="35">
        <v>120</v>
      </c>
    </row>
    <row r="472" spans="1:20">
      <c r="A472" s="31">
        <v>470</v>
      </c>
      <c r="B472" s="33" t="s">
        <v>793</v>
      </c>
      <c r="C472" s="33">
        <v>100</v>
      </c>
      <c r="D472" s="33">
        <v>445</v>
      </c>
      <c r="E472" s="33">
        <v>2.7000000476837158</v>
      </c>
      <c r="F472" s="33">
        <v>8.1999998092651367</v>
      </c>
      <c r="G472" s="33">
        <v>15.699999809265137</v>
      </c>
      <c r="H472" s="33">
        <v>0</v>
      </c>
      <c r="I472" s="33">
        <v>67.699996948242188</v>
      </c>
      <c r="J472" s="33">
        <v>90</v>
      </c>
      <c r="K472" s="33">
        <v>3.9999999105930328E-2</v>
      </c>
      <c r="L472" s="33">
        <v>0.10999999940395355</v>
      </c>
      <c r="M472" s="33">
        <v>0.89999997615814209</v>
      </c>
      <c r="N472" s="33">
        <v>18.239999771118164</v>
      </c>
      <c r="O472" s="33">
        <v>1945.699951171875</v>
      </c>
      <c r="P472" s="33">
        <v>76</v>
      </c>
      <c r="Q472" s="33">
        <v>4.5999999046325684</v>
      </c>
      <c r="R472" s="34" t="s">
        <v>739</v>
      </c>
      <c r="S472" s="33">
        <v>0</v>
      </c>
      <c r="T472" s="35">
        <v>169</v>
      </c>
    </row>
    <row r="473" spans="1:20">
      <c r="A473" s="31">
        <v>471</v>
      </c>
      <c r="B473" s="33" t="s">
        <v>794</v>
      </c>
      <c r="C473" s="33">
        <v>100</v>
      </c>
      <c r="D473" s="33">
        <v>196</v>
      </c>
      <c r="E473" s="33">
        <v>66.699996948242188</v>
      </c>
      <c r="F473" s="33">
        <v>17</v>
      </c>
      <c r="G473" s="33">
        <v>13.300000190734863</v>
      </c>
      <c r="H473" s="33">
        <v>0</v>
      </c>
      <c r="I473" s="33">
        <v>2</v>
      </c>
      <c r="J473" s="33">
        <v>8</v>
      </c>
      <c r="K473" s="33">
        <v>0.10000000149011612</v>
      </c>
      <c r="L473" s="33">
        <v>0.15999999642372131</v>
      </c>
      <c r="M473" s="33">
        <v>3.5999999046325684</v>
      </c>
      <c r="N473" s="33">
        <v>0.55000001192092896</v>
      </c>
      <c r="O473" s="33">
        <v>58.400001525878906</v>
      </c>
      <c r="P473" s="33">
        <v>6</v>
      </c>
      <c r="Q473" s="33">
        <v>3.0999999046325684</v>
      </c>
      <c r="R473" s="34" t="s">
        <v>739</v>
      </c>
      <c r="S473" s="33">
        <v>0</v>
      </c>
      <c r="T473" s="35">
        <v>92</v>
      </c>
    </row>
    <row r="474" spans="1:20">
      <c r="A474" s="31">
        <v>472</v>
      </c>
      <c r="B474" s="33" t="s">
        <v>795</v>
      </c>
      <c r="C474" s="33">
        <v>89</v>
      </c>
      <c r="D474" s="33">
        <v>94</v>
      </c>
      <c r="E474" s="33">
        <v>78.300003051757813</v>
      </c>
      <c r="F474" s="33">
        <v>15.600000381469727</v>
      </c>
      <c r="G474" s="33">
        <v>2.4000000953674316</v>
      </c>
      <c r="H474" s="33">
        <v>0</v>
      </c>
      <c r="I474" s="33">
        <v>2.5999999046325684</v>
      </c>
      <c r="J474" s="33">
        <v>88</v>
      </c>
      <c r="K474" s="33">
        <v>0.23999999463558197</v>
      </c>
      <c r="L474" s="33">
        <v>0.85000002384185791</v>
      </c>
      <c r="M474" s="33">
        <v>7.6999998092651367</v>
      </c>
      <c r="N474" s="33">
        <v>0.18999999761581421</v>
      </c>
      <c r="O474" s="33">
        <v>180.80000305175781</v>
      </c>
      <c r="P474" s="33">
        <v>8</v>
      </c>
      <c r="Q474" s="33">
        <v>9.3999996185302734</v>
      </c>
      <c r="R474" s="34" t="s">
        <v>739</v>
      </c>
      <c r="S474" s="33">
        <v>0</v>
      </c>
      <c r="T474" s="35">
        <v>295</v>
      </c>
    </row>
    <row r="475" spans="1:20">
      <c r="A475" s="31">
        <v>473</v>
      </c>
      <c r="B475" s="33" t="s">
        <v>796</v>
      </c>
      <c r="C475" s="33">
        <v>100</v>
      </c>
      <c r="D475" s="33">
        <v>151</v>
      </c>
      <c r="E475" s="33">
        <v>62</v>
      </c>
      <c r="F475" s="33">
        <v>38.400001525878906</v>
      </c>
      <c r="G475" s="33">
        <v>0.5</v>
      </c>
      <c r="H475" s="33">
        <v>0</v>
      </c>
      <c r="I475" s="33">
        <v>0</v>
      </c>
      <c r="J475" s="33">
        <v>0</v>
      </c>
      <c r="K475" s="33">
        <v>7.0000000298023224E-2</v>
      </c>
      <c r="L475" s="33">
        <v>0.12999999523162842</v>
      </c>
      <c r="M475" s="33">
        <v>0.69999998807907104</v>
      </c>
      <c r="N475" s="33">
        <v>0</v>
      </c>
      <c r="O475" s="33">
        <v>153.60000610351563</v>
      </c>
      <c r="P475" s="33">
        <v>5</v>
      </c>
      <c r="Q475" s="33">
        <v>3.2000000476837158</v>
      </c>
      <c r="R475" s="34" t="s">
        <v>739</v>
      </c>
      <c r="S475" s="33">
        <v>0</v>
      </c>
      <c r="T475" s="35">
        <v>0</v>
      </c>
    </row>
    <row r="476" spans="1:20">
      <c r="A476" s="31">
        <v>474</v>
      </c>
      <c r="B476" s="33" t="s">
        <v>797</v>
      </c>
      <c r="C476" s="33">
        <v>100</v>
      </c>
      <c r="D476" s="33">
        <v>147</v>
      </c>
      <c r="E476" s="33">
        <v>64</v>
      </c>
      <c r="F476" s="33">
        <v>35.200000762939453</v>
      </c>
      <c r="G476" s="33">
        <v>0.60000002384185791</v>
      </c>
      <c r="H476" s="33">
        <v>0</v>
      </c>
      <c r="I476" s="33">
        <v>0.10000000149011612</v>
      </c>
      <c r="J476" s="33">
        <v>0</v>
      </c>
      <c r="K476" s="33">
        <v>0</v>
      </c>
      <c r="L476" s="33">
        <v>0</v>
      </c>
      <c r="M476" s="33">
        <v>0</v>
      </c>
      <c r="N476" s="33">
        <v>0</v>
      </c>
      <c r="O476" s="33">
        <v>99.300003051757813</v>
      </c>
      <c r="P476" s="33">
        <v>13</v>
      </c>
      <c r="Q476" s="33">
        <v>1.7000000476837158</v>
      </c>
      <c r="R476" s="34" t="s">
        <v>739</v>
      </c>
      <c r="S476" s="33">
        <v>0</v>
      </c>
      <c r="T476" s="35">
        <v>51</v>
      </c>
    </row>
    <row r="477" spans="1:20">
      <c r="A477" s="31">
        <v>475</v>
      </c>
      <c r="B477" s="33" t="s">
        <v>798</v>
      </c>
      <c r="C477" s="33">
        <v>100</v>
      </c>
      <c r="D477" s="33">
        <v>106</v>
      </c>
      <c r="E477" s="33">
        <v>77.199996948242188</v>
      </c>
      <c r="F477" s="33">
        <v>15.399999618530273</v>
      </c>
      <c r="G477" s="33">
        <v>3.5</v>
      </c>
      <c r="H477" s="33">
        <v>0</v>
      </c>
      <c r="I477" s="33">
        <v>3.0999999046325684</v>
      </c>
      <c r="J477" s="33">
        <v>17</v>
      </c>
      <c r="K477" s="33">
        <v>0.25999999046325684</v>
      </c>
      <c r="L477" s="33">
        <v>0.38999998569488525</v>
      </c>
      <c r="M477" s="33">
        <v>6.8000001907348633</v>
      </c>
      <c r="N477" s="33">
        <v>0.18999999761581421</v>
      </c>
      <c r="O477" s="33">
        <v>47.900001525878906</v>
      </c>
      <c r="P477" s="33">
        <v>4</v>
      </c>
      <c r="Q477" s="33">
        <v>5.9000000953674316</v>
      </c>
      <c r="R477" s="34" t="s">
        <v>739</v>
      </c>
      <c r="S477" s="33">
        <v>0</v>
      </c>
      <c r="T477" s="35">
        <v>115</v>
      </c>
    </row>
    <row r="478" spans="1:20">
      <c r="A478" s="31">
        <v>476</v>
      </c>
      <c r="B478" s="33" t="s">
        <v>799</v>
      </c>
      <c r="C478" s="33">
        <v>100</v>
      </c>
      <c r="D478" s="33">
        <v>52</v>
      </c>
      <c r="E478" s="33">
        <v>86.099998474121094</v>
      </c>
      <c r="F478" s="33">
        <v>12.600000381469727</v>
      </c>
      <c r="G478" s="33">
        <v>0</v>
      </c>
      <c r="H478" s="33">
        <v>0</v>
      </c>
      <c r="I478" s="33">
        <v>0.5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4" t="s">
        <v>739</v>
      </c>
      <c r="S478" s="33">
        <v>0</v>
      </c>
      <c r="T478" s="35">
        <v>71</v>
      </c>
    </row>
    <row r="479" spans="1:20">
      <c r="A479" s="31">
        <v>477</v>
      </c>
      <c r="B479" s="33" t="s">
        <v>800</v>
      </c>
      <c r="C479" s="33">
        <v>100</v>
      </c>
      <c r="D479" s="33">
        <v>102</v>
      </c>
      <c r="E479" s="33">
        <v>76.199996948242188</v>
      </c>
      <c r="F479" s="33">
        <v>19.700000762939453</v>
      </c>
      <c r="G479" s="33">
        <v>2.2000000476837158</v>
      </c>
      <c r="H479" s="33">
        <v>0</v>
      </c>
      <c r="I479" s="33">
        <v>0.89999997615814209</v>
      </c>
      <c r="J479" s="33">
        <v>212</v>
      </c>
      <c r="K479" s="33">
        <v>0.10999999940395355</v>
      </c>
      <c r="L479" s="33">
        <v>0.10000000149011612</v>
      </c>
      <c r="M479" s="33">
        <v>5.8000001907348633</v>
      </c>
      <c r="N479" s="33">
        <v>0.41999998688697815</v>
      </c>
      <c r="O479" s="33">
        <v>45.099998474121094</v>
      </c>
      <c r="P479" s="33">
        <v>12</v>
      </c>
      <c r="Q479" s="33">
        <v>2</v>
      </c>
      <c r="R479" s="34" t="s">
        <v>739</v>
      </c>
      <c r="S479" s="33">
        <v>0</v>
      </c>
      <c r="T479" s="35">
        <v>59</v>
      </c>
    </row>
    <row r="480" spans="1:20">
      <c r="A480" s="31">
        <v>478</v>
      </c>
      <c r="B480" s="33" t="s">
        <v>801</v>
      </c>
      <c r="C480" s="33">
        <v>100</v>
      </c>
      <c r="D480" s="33">
        <v>84</v>
      </c>
      <c r="E480" s="33">
        <v>80.599998474121094</v>
      </c>
      <c r="F480" s="33">
        <v>16.600000381469727</v>
      </c>
      <c r="G480" s="33">
        <v>2</v>
      </c>
      <c r="H480" s="33">
        <v>0</v>
      </c>
      <c r="I480" s="33">
        <v>0</v>
      </c>
      <c r="J480" s="33">
        <v>0</v>
      </c>
      <c r="K480" s="33">
        <v>0.20999999344348907</v>
      </c>
      <c r="L480" s="33">
        <v>0</v>
      </c>
      <c r="M480" s="33">
        <v>0</v>
      </c>
      <c r="N480" s="33">
        <v>0</v>
      </c>
      <c r="O480" s="33">
        <v>88.300003051757813</v>
      </c>
      <c r="P480" s="33">
        <v>23</v>
      </c>
      <c r="Q480" s="33">
        <v>7.4000000953674316</v>
      </c>
      <c r="R480" s="34" t="s">
        <v>739</v>
      </c>
      <c r="S480" s="33">
        <v>0</v>
      </c>
      <c r="T480" s="35">
        <v>0</v>
      </c>
    </row>
    <row r="481" spans="1:20">
      <c r="A481" s="31">
        <v>479</v>
      </c>
      <c r="B481" s="33" t="s">
        <v>802</v>
      </c>
      <c r="C481" s="33">
        <v>100</v>
      </c>
      <c r="D481" s="33">
        <v>166</v>
      </c>
      <c r="E481" s="33">
        <v>70.099998474121094</v>
      </c>
      <c r="F481" s="33">
        <v>16.700000762939453</v>
      </c>
      <c r="G481" s="33">
        <v>11</v>
      </c>
      <c r="H481" s="33">
        <v>0</v>
      </c>
      <c r="I481" s="33">
        <v>0.10000000149011612</v>
      </c>
      <c r="J481" s="33">
        <v>0</v>
      </c>
      <c r="K481" s="33">
        <v>3.9999999105930328E-2</v>
      </c>
      <c r="L481" s="33">
        <v>9.0000003576278687E-2</v>
      </c>
      <c r="M481" s="33">
        <v>6.5</v>
      </c>
      <c r="N481" s="33">
        <v>1.2200000286102295</v>
      </c>
      <c r="O481" s="33">
        <v>609.4000244140625</v>
      </c>
      <c r="P481" s="33">
        <v>66</v>
      </c>
      <c r="Q481" s="33">
        <v>2.7000000476837158</v>
      </c>
      <c r="R481" s="34" t="s">
        <v>739</v>
      </c>
      <c r="S481" s="33">
        <v>0</v>
      </c>
      <c r="T481" s="35">
        <v>84</v>
      </c>
    </row>
    <row r="482" spans="1:20">
      <c r="A482" s="31">
        <v>480</v>
      </c>
      <c r="B482" s="33" t="s">
        <v>803</v>
      </c>
      <c r="C482" s="33">
        <v>100</v>
      </c>
      <c r="D482" s="33">
        <v>181</v>
      </c>
      <c r="E482" s="33">
        <v>50.5</v>
      </c>
      <c r="F482" s="33">
        <v>9.3000001907348633</v>
      </c>
      <c r="G482" s="33">
        <v>0.5</v>
      </c>
      <c r="H482" s="33">
        <v>0</v>
      </c>
      <c r="I482" s="33">
        <v>34.700000762939453</v>
      </c>
      <c r="J482" s="33">
        <v>4</v>
      </c>
      <c r="K482" s="33">
        <v>9.9999997764825821E-3</v>
      </c>
      <c r="L482" s="33">
        <v>0.31000000238418579</v>
      </c>
      <c r="M482" s="33">
        <v>0.10000000149011612</v>
      </c>
      <c r="N482" s="33">
        <v>0.31999999284744263</v>
      </c>
      <c r="O482" s="33">
        <v>294.39999389648438</v>
      </c>
      <c r="P482" s="33">
        <v>36</v>
      </c>
      <c r="Q482" s="33">
        <v>4.6999998092651367</v>
      </c>
      <c r="R482" s="34" t="s">
        <v>739</v>
      </c>
      <c r="S482" s="33">
        <v>0</v>
      </c>
      <c r="T482" s="35">
        <v>0</v>
      </c>
    </row>
    <row r="483" spans="1:20">
      <c r="A483" s="31">
        <v>481</v>
      </c>
      <c r="B483" s="33" t="s">
        <v>804</v>
      </c>
      <c r="C483" s="33">
        <v>100</v>
      </c>
      <c r="D483" s="33">
        <v>229</v>
      </c>
      <c r="E483" s="33">
        <v>59.900001525878906</v>
      </c>
      <c r="F483" s="33">
        <v>9.3999996185302734</v>
      </c>
      <c r="G483" s="33">
        <v>15.899999618530273</v>
      </c>
      <c r="H483" s="33">
        <v>0</v>
      </c>
      <c r="I483" s="33">
        <v>12</v>
      </c>
      <c r="J483" s="33">
        <v>0</v>
      </c>
      <c r="K483" s="33">
        <v>0.23999999463558197</v>
      </c>
      <c r="L483" s="33">
        <v>5.000000074505806E-2</v>
      </c>
      <c r="M483" s="33">
        <v>11.100000381469727</v>
      </c>
      <c r="N483" s="33">
        <v>0</v>
      </c>
      <c r="O483" s="33">
        <v>981.9000244140625</v>
      </c>
      <c r="P483" s="33">
        <v>57</v>
      </c>
      <c r="Q483" s="33">
        <v>0</v>
      </c>
      <c r="R483" s="34" t="s">
        <v>739</v>
      </c>
      <c r="S483" s="33">
        <v>0</v>
      </c>
      <c r="T483" s="35">
        <v>56</v>
      </c>
    </row>
    <row r="484" spans="1:20">
      <c r="A484" s="31">
        <v>482</v>
      </c>
      <c r="B484" s="33" t="s">
        <v>805</v>
      </c>
      <c r="C484" s="33">
        <v>100</v>
      </c>
      <c r="D484" s="33">
        <v>385</v>
      </c>
      <c r="E484" s="33">
        <v>40.400001525878906</v>
      </c>
      <c r="F484" s="33">
        <v>16.5</v>
      </c>
      <c r="G484" s="33">
        <v>36</v>
      </c>
      <c r="H484" s="33">
        <v>0</v>
      </c>
      <c r="I484" s="33">
        <v>0</v>
      </c>
      <c r="J484" s="33">
        <v>20</v>
      </c>
      <c r="K484" s="33">
        <v>0.76999998092651367</v>
      </c>
      <c r="L484" s="33">
        <v>0.20999999344348907</v>
      </c>
      <c r="M484" s="33">
        <v>3.5</v>
      </c>
      <c r="N484" s="33">
        <v>0.10000000149011612</v>
      </c>
      <c r="O484" s="33">
        <v>195.60000610351563</v>
      </c>
      <c r="P484" s="33">
        <v>10</v>
      </c>
      <c r="Q484" s="33">
        <v>2.5999999046325684</v>
      </c>
      <c r="R484" s="34" t="s">
        <v>739</v>
      </c>
      <c r="S484" s="33">
        <v>0</v>
      </c>
      <c r="T484" s="35">
        <v>72</v>
      </c>
    </row>
    <row r="485" spans="1:20">
      <c r="A485" s="31">
        <v>483</v>
      </c>
      <c r="B485" s="33" t="s">
        <v>806</v>
      </c>
      <c r="C485" s="33">
        <v>100</v>
      </c>
      <c r="D485" s="33">
        <v>225</v>
      </c>
      <c r="E485" s="33">
        <v>57.799999237060547</v>
      </c>
      <c r="F485" s="33">
        <v>7.1999998092651367</v>
      </c>
      <c r="G485" s="33">
        <v>14.199999809265137</v>
      </c>
      <c r="H485" s="33">
        <v>0</v>
      </c>
      <c r="I485" s="33">
        <v>17.200000762939453</v>
      </c>
      <c r="J485" s="33">
        <v>6</v>
      </c>
      <c r="K485" s="33">
        <v>0.10000000149011612</v>
      </c>
      <c r="L485" s="33">
        <v>0.10000000149011612</v>
      </c>
      <c r="M485" s="33">
        <v>0.80000001192092896</v>
      </c>
      <c r="N485" s="33">
        <v>0.23999999463558197</v>
      </c>
      <c r="O485" s="33">
        <v>872.0999755859375</v>
      </c>
      <c r="P485" s="33">
        <v>8</v>
      </c>
      <c r="Q485" s="33">
        <v>3.5999999046325684</v>
      </c>
      <c r="R485" s="34" t="s">
        <v>739</v>
      </c>
      <c r="S485" s="33">
        <v>0</v>
      </c>
      <c r="T485" s="35">
        <v>51</v>
      </c>
    </row>
    <row r="486" spans="1:20">
      <c r="A486" s="31">
        <v>484</v>
      </c>
      <c r="B486" s="33" t="s">
        <v>807</v>
      </c>
      <c r="C486" s="33">
        <v>100</v>
      </c>
      <c r="D486" s="33">
        <v>70</v>
      </c>
      <c r="E486" s="33">
        <v>84.699996948242188</v>
      </c>
      <c r="F486" s="33">
        <v>13.399999618530273</v>
      </c>
      <c r="G486" s="33">
        <v>2.4000000953674316</v>
      </c>
      <c r="H486" s="33">
        <v>0</v>
      </c>
      <c r="I486" s="33">
        <v>0</v>
      </c>
      <c r="J486" s="33">
        <v>0</v>
      </c>
      <c r="K486" s="33">
        <v>0</v>
      </c>
      <c r="L486" s="33">
        <v>0.14000000059604645</v>
      </c>
      <c r="M486" s="33">
        <v>1.7999999523162842</v>
      </c>
      <c r="N486" s="33">
        <v>0</v>
      </c>
      <c r="O486" s="33">
        <v>79</v>
      </c>
      <c r="P486" s="33">
        <v>25</v>
      </c>
      <c r="Q486" s="33">
        <v>1.8999999761581421</v>
      </c>
      <c r="R486" s="34" t="s">
        <v>739</v>
      </c>
      <c r="S486" s="33">
        <v>0</v>
      </c>
      <c r="T486" s="35">
        <v>150</v>
      </c>
    </row>
    <row r="487" spans="1:20">
      <c r="A487" s="31">
        <v>485</v>
      </c>
      <c r="B487" s="33" t="s">
        <v>808</v>
      </c>
      <c r="C487" s="33">
        <v>100</v>
      </c>
      <c r="D487" s="33">
        <v>87</v>
      </c>
      <c r="E487" s="33">
        <v>81.699996948242188</v>
      </c>
      <c r="F487" s="33">
        <v>12.199999809265137</v>
      </c>
      <c r="G487" s="33">
        <v>3.4000000953674316</v>
      </c>
      <c r="H487" s="33">
        <v>0</v>
      </c>
      <c r="I487" s="33">
        <v>1.7999999523162842</v>
      </c>
      <c r="J487" s="33">
        <v>23</v>
      </c>
      <c r="K487" s="33">
        <v>2.9999999329447746E-2</v>
      </c>
      <c r="L487" s="33">
        <v>0.17000000178813934</v>
      </c>
      <c r="M487" s="33">
        <v>1.7999999523162842</v>
      </c>
      <c r="N487" s="33">
        <v>0.33000001311302185</v>
      </c>
      <c r="O487" s="33">
        <v>66</v>
      </c>
      <c r="P487" s="33">
        <v>38</v>
      </c>
      <c r="Q487" s="33">
        <v>1.3999999761581421</v>
      </c>
      <c r="R487" s="34" t="s">
        <v>739</v>
      </c>
      <c r="S487" s="33">
        <v>0</v>
      </c>
      <c r="T487" s="35">
        <v>124</v>
      </c>
    </row>
    <row r="488" spans="1:20">
      <c r="A488" s="31">
        <v>486</v>
      </c>
      <c r="B488" s="33" t="s">
        <v>809</v>
      </c>
      <c r="C488" s="33">
        <v>100</v>
      </c>
      <c r="D488" s="33">
        <v>96</v>
      </c>
      <c r="E488" s="33">
        <v>77.699996948242188</v>
      </c>
      <c r="F488" s="33">
        <v>16.200000762939453</v>
      </c>
      <c r="G488" s="33">
        <v>2.4000000953674316</v>
      </c>
      <c r="H488" s="33">
        <v>0</v>
      </c>
      <c r="I488" s="33">
        <v>2.5</v>
      </c>
      <c r="J488" s="33">
        <v>0</v>
      </c>
      <c r="K488" s="33">
        <v>5.000000074505806E-2</v>
      </c>
      <c r="L488" s="33">
        <v>0.14000000059604645</v>
      </c>
      <c r="M488" s="33">
        <v>1.1000000238418579</v>
      </c>
      <c r="N488" s="33">
        <v>1.4299999475479126</v>
      </c>
      <c r="O488" s="33">
        <v>146.19999694824219</v>
      </c>
      <c r="P488" s="33">
        <v>12</v>
      </c>
      <c r="Q488" s="33">
        <v>7.8000001907348633</v>
      </c>
      <c r="R488" s="34" t="s">
        <v>739</v>
      </c>
      <c r="S488" s="33">
        <v>0</v>
      </c>
      <c r="T488" s="35">
        <v>319</v>
      </c>
    </row>
    <row r="489" spans="1:20">
      <c r="A489" s="31">
        <v>487</v>
      </c>
      <c r="B489" s="33" t="s">
        <v>810</v>
      </c>
      <c r="C489" s="33">
        <v>100</v>
      </c>
      <c r="D489" s="33">
        <v>134</v>
      </c>
      <c r="E489" s="33">
        <v>69.699996948242188</v>
      </c>
      <c r="F489" s="33">
        <v>17.899999618530273</v>
      </c>
      <c r="G489" s="33">
        <v>3.5999999046325684</v>
      </c>
      <c r="H489" s="33">
        <v>0</v>
      </c>
      <c r="I489" s="33">
        <v>7.4000000953674316</v>
      </c>
      <c r="J489" s="33">
        <v>20972</v>
      </c>
      <c r="K489" s="33">
        <v>0.20999999344348907</v>
      </c>
      <c r="L489" s="33">
        <v>1.75</v>
      </c>
      <c r="M489" s="33">
        <v>22.100000381469727</v>
      </c>
      <c r="N489" s="33">
        <v>29.930000305175781</v>
      </c>
      <c r="O489" s="33">
        <v>123</v>
      </c>
      <c r="P489" s="33">
        <v>8</v>
      </c>
      <c r="Q489" s="33">
        <v>7.5</v>
      </c>
      <c r="R489" s="34" t="s">
        <v>739</v>
      </c>
      <c r="S489" s="33">
        <v>0</v>
      </c>
      <c r="T489" s="35">
        <v>349</v>
      </c>
    </row>
    <row r="490" spans="1:20">
      <c r="A490" s="31">
        <v>488</v>
      </c>
      <c r="B490" s="33" t="s">
        <v>811</v>
      </c>
      <c r="C490" s="33">
        <v>100</v>
      </c>
      <c r="D490" s="33">
        <v>143</v>
      </c>
      <c r="E490" s="33">
        <v>69.5</v>
      </c>
      <c r="F490" s="33">
        <v>23.200000762939453</v>
      </c>
      <c r="G490" s="33">
        <v>5</v>
      </c>
      <c r="H490" s="33">
        <v>0</v>
      </c>
      <c r="I490" s="33">
        <v>1.2000000476837158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4" t="s">
        <v>739</v>
      </c>
      <c r="S490" s="33">
        <v>0</v>
      </c>
      <c r="T490" s="35">
        <v>349</v>
      </c>
    </row>
    <row r="491" spans="1:20">
      <c r="A491" s="31">
        <v>489</v>
      </c>
      <c r="B491" s="33" t="s">
        <v>812</v>
      </c>
      <c r="C491" s="33">
        <v>100</v>
      </c>
      <c r="D491" s="33">
        <v>142</v>
      </c>
      <c r="E491" s="33">
        <v>76.300003051757813</v>
      </c>
      <c r="F491" s="33">
        <v>11.300000190734863</v>
      </c>
      <c r="G491" s="33">
        <v>10.699999809265137</v>
      </c>
      <c r="H491" s="33">
        <v>0</v>
      </c>
      <c r="I491" s="33">
        <v>0.10000000149011612</v>
      </c>
      <c r="J491" s="33">
        <v>0</v>
      </c>
      <c r="K491" s="33">
        <v>0.17000000178813934</v>
      </c>
      <c r="L491" s="33">
        <v>0.27000001072883606</v>
      </c>
      <c r="M491" s="33">
        <v>3.5</v>
      </c>
      <c r="N491" s="33">
        <v>0</v>
      </c>
      <c r="O491" s="33">
        <v>151.80000305175781</v>
      </c>
      <c r="P491" s="33">
        <v>61</v>
      </c>
      <c r="Q491" s="33">
        <v>0</v>
      </c>
      <c r="R491" s="34" t="s">
        <v>739</v>
      </c>
      <c r="S491" s="33">
        <v>0</v>
      </c>
      <c r="T491" s="35">
        <v>2004</v>
      </c>
    </row>
    <row r="492" spans="1:20">
      <c r="A492" s="31">
        <v>490</v>
      </c>
      <c r="B492" s="33" t="s">
        <v>813</v>
      </c>
      <c r="C492" s="33">
        <v>90</v>
      </c>
      <c r="D492" s="33">
        <v>198</v>
      </c>
      <c r="E492" s="33">
        <v>66.900001525878906</v>
      </c>
      <c r="F492" s="33">
        <v>19</v>
      </c>
      <c r="G492" s="33">
        <v>14.100000381469727</v>
      </c>
      <c r="H492" s="33">
        <v>0</v>
      </c>
      <c r="I492" s="33">
        <v>0</v>
      </c>
      <c r="J492" s="33">
        <v>22</v>
      </c>
      <c r="K492" s="33">
        <v>5.000000074505806E-2</v>
      </c>
      <c r="L492" s="33">
        <v>0.14000000059604645</v>
      </c>
      <c r="M492" s="33">
        <v>4.5</v>
      </c>
      <c r="N492" s="33">
        <v>0.25999999046325684</v>
      </c>
      <c r="O492" s="33">
        <v>80.599998474121094</v>
      </c>
      <c r="P492" s="33">
        <v>6</v>
      </c>
      <c r="Q492" s="33">
        <v>2.2999999523162842</v>
      </c>
      <c r="R492" s="34" t="s">
        <v>739</v>
      </c>
      <c r="S492" s="33">
        <v>0</v>
      </c>
      <c r="T492" s="35">
        <v>92</v>
      </c>
    </row>
    <row r="493" spans="1:20">
      <c r="A493" s="31">
        <v>491</v>
      </c>
      <c r="B493" s="33" t="s">
        <v>814</v>
      </c>
      <c r="C493" s="33">
        <v>90</v>
      </c>
      <c r="D493" s="33">
        <v>118</v>
      </c>
      <c r="E493" s="33">
        <v>74.199996948242188</v>
      </c>
      <c r="F493" s="33">
        <v>20.5</v>
      </c>
      <c r="G493" s="33">
        <v>3.9000000953674316</v>
      </c>
      <c r="H493" s="33">
        <v>0</v>
      </c>
      <c r="I493" s="33">
        <v>0.20000000298023224</v>
      </c>
      <c r="J493" s="33">
        <v>11</v>
      </c>
      <c r="K493" s="33">
        <v>0.15000000596046448</v>
      </c>
      <c r="L493" s="33">
        <v>0.15999999642372131</v>
      </c>
      <c r="M493" s="33">
        <v>5.1999998092651367</v>
      </c>
      <c r="N493" s="33">
        <v>0.31000000238418579</v>
      </c>
      <c r="O493" s="33">
        <v>69.400001525878906</v>
      </c>
      <c r="P493" s="33">
        <v>9</v>
      </c>
      <c r="Q493" s="33">
        <v>3.9000000953674316</v>
      </c>
      <c r="R493" s="34" t="s">
        <v>739</v>
      </c>
      <c r="S493" s="33">
        <v>0</v>
      </c>
      <c r="T493" s="35">
        <v>60</v>
      </c>
    </row>
    <row r="494" spans="1:20">
      <c r="A494" s="31">
        <v>492</v>
      </c>
      <c r="B494" s="33" t="s">
        <v>815</v>
      </c>
      <c r="C494" s="33">
        <v>100</v>
      </c>
      <c r="D494" s="33">
        <v>293</v>
      </c>
      <c r="E494" s="33">
        <v>56.400001525878906</v>
      </c>
      <c r="F494" s="33">
        <v>8.6999998092651367</v>
      </c>
      <c r="G494" s="33">
        <v>24.5</v>
      </c>
      <c r="H494" s="33">
        <v>0</v>
      </c>
      <c r="I494" s="33">
        <v>9.3999996185302734</v>
      </c>
      <c r="J494" s="33">
        <v>0</v>
      </c>
      <c r="K494" s="33">
        <v>5.9999998658895493E-2</v>
      </c>
      <c r="L494" s="33">
        <v>0.11999999731779099</v>
      </c>
      <c r="M494" s="33">
        <v>4.6999998092651367</v>
      </c>
      <c r="N494" s="33">
        <v>0</v>
      </c>
      <c r="O494" s="33">
        <v>160.60000610351563</v>
      </c>
      <c r="P494" s="33">
        <v>135</v>
      </c>
      <c r="Q494" s="33">
        <v>13.699999809265137</v>
      </c>
      <c r="R494" s="34" t="s">
        <v>739</v>
      </c>
      <c r="S494" s="33">
        <v>0</v>
      </c>
      <c r="T494" s="35">
        <v>148</v>
      </c>
    </row>
    <row r="495" spans="1:20">
      <c r="A495" s="31">
        <v>493</v>
      </c>
      <c r="B495" s="33" t="s">
        <v>816</v>
      </c>
      <c r="C495" s="33">
        <v>100</v>
      </c>
      <c r="D495" s="33">
        <v>285</v>
      </c>
      <c r="E495" s="33">
        <v>58.400001525878906</v>
      </c>
      <c r="F495" s="33">
        <v>12.600000381469727</v>
      </c>
      <c r="G495" s="33">
        <v>24.399999618530273</v>
      </c>
      <c r="H495" s="33">
        <v>0</v>
      </c>
      <c r="I495" s="33">
        <v>3.7999999523162842</v>
      </c>
      <c r="J495" s="33">
        <v>0</v>
      </c>
      <c r="K495" s="33">
        <v>1.9999999552965164E-2</v>
      </c>
      <c r="L495" s="33">
        <v>0.11999999731779099</v>
      </c>
      <c r="M495" s="33">
        <v>4.4000000953674316</v>
      </c>
      <c r="N495" s="33">
        <v>0</v>
      </c>
      <c r="O495" s="33">
        <v>122.19999694824219</v>
      </c>
      <c r="P495" s="33">
        <v>17</v>
      </c>
      <c r="Q495" s="33">
        <v>5.1999998092651367</v>
      </c>
      <c r="R495" s="34" t="s">
        <v>739</v>
      </c>
      <c r="S495" s="33">
        <v>0</v>
      </c>
      <c r="T495" s="35">
        <v>148</v>
      </c>
    </row>
    <row r="496" spans="1:20">
      <c r="A496" s="31">
        <v>494</v>
      </c>
      <c r="B496" s="33" t="s">
        <v>817</v>
      </c>
      <c r="C496" s="33">
        <v>77</v>
      </c>
      <c r="D496" s="33">
        <v>102</v>
      </c>
      <c r="E496" s="33">
        <v>78.800003051757813</v>
      </c>
      <c r="F496" s="33">
        <v>15.5</v>
      </c>
      <c r="G496" s="33">
        <v>4</v>
      </c>
      <c r="H496" s="33">
        <v>0</v>
      </c>
      <c r="I496" s="33">
        <v>0.89999997615814209</v>
      </c>
      <c r="J496" s="33">
        <v>8</v>
      </c>
      <c r="K496" s="33">
        <v>5.9999998658895493E-2</v>
      </c>
      <c r="L496" s="33">
        <v>0.2199999988079071</v>
      </c>
      <c r="M496" s="33">
        <v>4.8000001907348633</v>
      </c>
      <c r="N496" s="33">
        <v>0.37000000476837158</v>
      </c>
      <c r="O496" s="33">
        <v>90.599998474121094</v>
      </c>
      <c r="P496" s="33">
        <v>11</v>
      </c>
      <c r="Q496" s="33">
        <v>1.7000000476837158</v>
      </c>
      <c r="R496" s="34" t="s">
        <v>739</v>
      </c>
      <c r="S496" s="33">
        <v>0</v>
      </c>
      <c r="T496" s="35">
        <v>60</v>
      </c>
    </row>
    <row r="497" spans="1:20">
      <c r="A497" s="31">
        <v>495</v>
      </c>
      <c r="B497" s="33" t="s">
        <v>818</v>
      </c>
      <c r="C497" s="33">
        <v>100</v>
      </c>
      <c r="D497" s="33">
        <v>94</v>
      </c>
      <c r="E497" s="33">
        <v>78.099998474121094</v>
      </c>
      <c r="F497" s="33">
        <v>17.100000381469727</v>
      </c>
      <c r="G497" s="33">
        <v>2</v>
      </c>
      <c r="H497" s="33">
        <v>0</v>
      </c>
      <c r="I497" s="33">
        <v>2</v>
      </c>
      <c r="J497" s="33">
        <v>6</v>
      </c>
      <c r="K497" s="33">
        <v>5.000000074505806E-2</v>
      </c>
      <c r="L497" s="33">
        <v>0.28999999165534973</v>
      </c>
      <c r="M497" s="33">
        <v>5.1999998092651367</v>
      </c>
      <c r="N497" s="33">
        <v>0.52999997138977051</v>
      </c>
      <c r="O497" s="33">
        <v>92.099998474121094</v>
      </c>
      <c r="P497" s="33">
        <v>14</v>
      </c>
      <c r="Q497" s="33">
        <v>1.7000000476837158</v>
      </c>
      <c r="R497" s="34" t="s">
        <v>739</v>
      </c>
      <c r="S497" s="33">
        <v>0</v>
      </c>
      <c r="T497" s="35">
        <v>60</v>
      </c>
    </row>
    <row r="498" spans="1:20">
      <c r="A498" s="31">
        <v>496</v>
      </c>
      <c r="B498" s="33" t="s">
        <v>819</v>
      </c>
      <c r="C498" s="33">
        <v>74</v>
      </c>
      <c r="D498" s="33">
        <v>109</v>
      </c>
      <c r="E498" s="33">
        <v>79.099998474121094</v>
      </c>
      <c r="F498" s="33">
        <v>20.899999618530273</v>
      </c>
      <c r="G498" s="33">
        <v>2.7999999523162842</v>
      </c>
      <c r="H498" s="33">
        <v>0</v>
      </c>
      <c r="I498" s="33">
        <v>0</v>
      </c>
      <c r="J498" s="33">
        <v>7</v>
      </c>
      <c r="K498" s="33">
        <v>5.9999998658895493E-2</v>
      </c>
      <c r="L498" s="33">
        <v>0.25</v>
      </c>
      <c r="M498" s="33">
        <v>3.9000000953674316</v>
      </c>
      <c r="N498" s="33">
        <v>0.44999998807907104</v>
      </c>
      <c r="O498" s="33">
        <v>79.099998474121094</v>
      </c>
      <c r="P498" s="33">
        <v>15</v>
      </c>
      <c r="Q498" s="33">
        <v>2.0999999046325684</v>
      </c>
      <c r="R498" s="34" t="s">
        <v>739</v>
      </c>
      <c r="S498" s="33">
        <v>0</v>
      </c>
      <c r="T498" s="35">
        <v>71</v>
      </c>
    </row>
    <row r="499" spans="1:20">
      <c r="A499" s="31">
        <v>497</v>
      </c>
      <c r="B499" s="33" t="s">
        <v>820</v>
      </c>
      <c r="C499" s="33">
        <v>71</v>
      </c>
      <c r="D499" s="33">
        <v>111</v>
      </c>
      <c r="E499" s="33">
        <v>78.300003051757813</v>
      </c>
      <c r="F499" s="33">
        <v>19.700000762939453</v>
      </c>
      <c r="G499" s="33">
        <v>3.5999999046325684</v>
      </c>
      <c r="H499" s="33">
        <v>0</v>
      </c>
      <c r="I499" s="33">
        <v>0</v>
      </c>
      <c r="J499" s="33">
        <v>11</v>
      </c>
      <c r="K499" s="33">
        <v>5.9999998658895493E-2</v>
      </c>
      <c r="L499" s="33">
        <v>0.23999999463558197</v>
      </c>
      <c r="M499" s="33">
        <v>4.8000001907348633</v>
      </c>
      <c r="N499" s="33">
        <v>0.49000000953674316</v>
      </c>
      <c r="O499" s="33">
        <v>92</v>
      </c>
      <c r="P499" s="33">
        <v>12</v>
      </c>
      <c r="Q499" s="33">
        <v>1.5</v>
      </c>
      <c r="R499" s="34" t="s">
        <v>739</v>
      </c>
      <c r="S499" s="33">
        <v>0</v>
      </c>
      <c r="T499" s="35">
        <v>60</v>
      </c>
    </row>
    <row r="500" spans="1:20">
      <c r="A500" s="31">
        <v>498</v>
      </c>
      <c r="B500" s="33" t="s">
        <v>821</v>
      </c>
      <c r="C500" s="33">
        <v>100</v>
      </c>
      <c r="D500" s="33">
        <v>99</v>
      </c>
      <c r="E500" s="33">
        <v>75.300003051757813</v>
      </c>
      <c r="F500" s="33">
        <v>21.299999237060547</v>
      </c>
      <c r="G500" s="33">
        <v>1.1000000238418579</v>
      </c>
      <c r="H500" s="33">
        <v>0</v>
      </c>
      <c r="I500" s="33">
        <v>1</v>
      </c>
      <c r="J500" s="33">
        <v>0</v>
      </c>
      <c r="K500" s="33">
        <v>7.9999998211860657E-2</v>
      </c>
      <c r="L500" s="33">
        <v>0.14000000059604645</v>
      </c>
      <c r="M500" s="33">
        <v>5.5999999046325684</v>
      </c>
      <c r="N500" s="33">
        <v>0</v>
      </c>
      <c r="O500" s="33">
        <v>41.700000762939453</v>
      </c>
      <c r="P500" s="33">
        <v>9</v>
      </c>
      <c r="Q500" s="33">
        <v>4.5</v>
      </c>
      <c r="R500" s="34" t="s">
        <v>739</v>
      </c>
      <c r="S500" s="33">
        <v>0</v>
      </c>
      <c r="T500" s="35">
        <v>60</v>
      </c>
    </row>
    <row r="501" spans="1:20">
      <c r="A501" s="31">
        <v>499</v>
      </c>
      <c r="B501" s="33" t="s">
        <v>822</v>
      </c>
      <c r="C501" s="33">
        <v>100</v>
      </c>
      <c r="D501" s="33">
        <v>215</v>
      </c>
      <c r="E501" s="33">
        <v>61.700000762939453</v>
      </c>
      <c r="F501" s="33">
        <v>23.200000762939453</v>
      </c>
      <c r="G501" s="33">
        <v>13.800000190734863</v>
      </c>
      <c r="H501" s="33">
        <v>0</v>
      </c>
      <c r="I501" s="33">
        <v>0</v>
      </c>
      <c r="J501" s="33">
        <v>18</v>
      </c>
      <c r="K501" s="33">
        <v>9.9999997764825821E-3</v>
      </c>
      <c r="L501" s="33">
        <v>0.20000000298023224</v>
      </c>
      <c r="M501" s="33">
        <v>3.7000000476837158</v>
      </c>
      <c r="N501" s="33">
        <v>0.33000001311302185</v>
      </c>
      <c r="O501" s="33">
        <v>408</v>
      </c>
      <c r="P501" s="33">
        <v>13</v>
      </c>
      <c r="Q501" s="33">
        <v>1.8999999761581421</v>
      </c>
      <c r="R501" s="34" t="s">
        <v>739</v>
      </c>
      <c r="S501" s="33">
        <v>0</v>
      </c>
      <c r="T501" s="35">
        <v>88</v>
      </c>
    </row>
    <row r="502" spans="1:20">
      <c r="A502" s="31">
        <v>500</v>
      </c>
      <c r="B502" s="33" t="s">
        <v>823</v>
      </c>
      <c r="C502" s="33">
        <v>81</v>
      </c>
      <c r="D502" s="33">
        <v>109</v>
      </c>
      <c r="E502" s="33">
        <v>77.599998474121094</v>
      </c>
      <c r="F502" s="33">
        <v>17.200000762939453</v>
      </c>
      <c r="G502" s="33">
        <v>4.5</v>
      </c>
      <c r="H502" s="33">
        <v>0</v>
      </c>
      <c r="I502" s="33">
        <v>0</v>
      </c>
      <c r="J502" s="33">
        <v>16</v>
      </c>
      <c r="K502" s="33">
        <v>3.9999999105930328E-2</v>
      </c>
      <c r="L502" s="33">
        <v>0.2199999988079071</v>
      </c>
      <c r="M502" s="33">
        <v>4</v>
      </c>
      <c r="N502" s="33">
        <v>0.43000000715255737</v>
      </c>
      <c r="O502" s="33">
        <v>81.900001525878906</v>
      </c>
      <c r="P502" s="33">
        <v>12</v>
      </c>
      <c r="Q502" s="33">
        <v>2.2999999523162842</v>
      </c>
      <c r="R502" s="34" t="s">
        <v>739</v>
      </c>
      <c r="S502" s="33">
        <v>0</v>
      </c>
      <c r="T502" s="35">
        <v>60</v>
      </c>
    </row>
    <row r="503" spans="1:20">
      <c r="A503" s="31">
        <v>501</v>
      </c>
      <c r="B503" s="33" t="s">
        <v>824</v>
      </c>
      <c r="C503" s="33">
        <v>100</v>
      </c>
      <c r="D503" s="33">
        <v>217</v>
      </c>
      <c r="E503" s="33">
        <v>57.400001525878906</v>
      </c>
      <c r="F503" s="33">
        <v>18.299999237060547</v>
      </c>
      <c r="G503" s="33">
        <v>11.5</v>
      </c>
      <c r="H503" s="33">
        <v>0</v>
      </c>
      <c r="I503" s="33">
        <v>10</v>
      </c>
      <c r="J503" s="33">
        <v>40</v>
      </c>
      <c r="K503" s="33">
        <v>3.9999999105930328E-2</v>
      </c>
      <c r="L503" s="33">
        <v>0.40999999642372131</v>
      </c>
      <c r="M503" s="33">
        <v>4.6999998092651367</v>
      </c>
      <c r="N503" s="33">
        <v>6.559999942779541</v>
      </c>
      <c r="O503" s="33">
        <v>580.79998779296875</v>
      </c>
      <c r="P503" s="33">
        <v>38</v>
      </c>
      <c r="Q503" s="33">
        <v>4.1999998092651367</v>
      </c>
      <c r="R503" s="34" t="s">
        <v>739</v>
      </c>
      <c r="S503" s="33">
        <v>0</v>
      </c>
      <c r="T503" s="35">
        <v>93</v>
      </c>
    </row>
    <row r="504" spans="1:20">
      <c r="A504" s="31">
        <v>502</v>
      </c>
      <c r="B504" s="33" t="s">
        <v>825</v>
      </c>
      <c r="C504" s="33">
        <v>100</v>
      </c>
      <c r="D504" s="33">
        <v>234</v>
      </c>
      <c r="E504" s="33">
        <v>52.799999237060547</v>
      </c>
      <c r="F504" s="33">
        <v>26.399999618530273</v>
      </c>
      <c r="G504" s="33">
        <v>11.600000381469727</v>
      </c>
      <c r="H504" s="33">
        <v>0</v>
      </c>
      <c r="I504" s="33">
        <v>6</v>
      </c>
      <c r="J504" s="33">
        <v>42</v>
      </c>
      <c r="K504" s="33">
        <v>2.9999999329447746E-2</v>
      </c>
      <c r="L504" s="33">
        <v>0.31999999284744263</v>
      </c>
      <c r="M504" s="33">
        <v>5.8000001907348633</v>
      </c>
      <c r="N504" s="33">
        <v>1.7999999523162842</v>
      </c>
      <c r="O504" s="33">
        <v>796.29998779296875</v>
      </c>
      <c r="P504" s="33">
        <v>52</v>
      </c>
      <c r="Q504" s="33">
        <v>6.6999998092651367</v>
      </c>
      <c r="R504" s="34" t="s">
        <v>739</v>
      </c>
      <c r="S504" s="33">
        <v>0</v>
      </c>
      <c r="T504" s="35">
        <v>109</v>
      </c>
    </row>
    <row r="505" spans="1:20">
      <c r="A505" s="31">
        <v>503</v>
      </c>
      <c r="B505" s="33" t="s">
        <v>826</v>
      </c>
      <c r="C505" s="33">
        <v>100</v>
      </c>
      <c r="D505" s="33">
        <v>588</v>
      </c>
      <c r="E505" s="33">
        <v>9.1000003814697266</v>
      </c>
      <c r="F505" s="33">
        <v>28.200000762939453</v>
      </c>
      <c r="G505" s="33">
        <v>46.700000762939453</v>
      </c>
      <c r="H505" s="33">
        <v>0</v>
      </c>
      <c r="I505" s="33">
        <v>13.699999809265137</v>
      </c>
      <c r="J505" s="33">
        <v>0</v>
      </c>
      <c r="K505" s="33">
        <v>0.14000000059604645</v>
      </c>
      <c r="L505" s="33">
        <v>0.25999999046325684</v>
      </c>
      <c r="M505" s="33">
        <v>10.600000381469727</v>
      </c>
      <c r="N505" s="33">
        <v>0</v>
      </c>
      <c r="O505" s="33">
        <v>184</v>
      </c>
      <c r="P505" s="33">
        <v>77</v>
      </c>
      <c r="Q505" s="33">
        <v>10.100000381469727</v>
      </c>
      <c r="R505" s="34" t="s">
        <v>739</v>
      </c>
      <c r="S505" s="33">
        <v>0</v>
      </c>
      <c r="T505" s="35">
        <v>166</v>
      </c>
    </row>
    <row r="506" spans="1:20">
      <c r="A506" s="31">
        <v>504</v>
      </c>
      <c r="B506" s="33" t="s">
        <v>827</v>
      </c>
      <c r="C506" s="33">
        <v>100</v>
      </c>
      <c r="D506" s="33">
        <v>225</v>
      </c>
      <c r="E506" s="33">
        <v>60.900001525878906</v>
      </c>
      <c r="F506" s="33">
        <v>19.399999618530273</v>
      </c>
      <c r="G506" s="33">
        <v>14.199999809265137</v>
      </c>
      <c r="H506" s="33">
        <v>0</v>
      </c>
      <c r="I506" s="33">
        <v>4.8000001907348633</v>
      </c>
      <c r="J506" s="33">
        <v>0</v>
      </c>
      <c r="K506" s="33">
        <v>0</v>
      </c>
      <c r="L506" s="33">
        <v>0.23000000417232513</v>
      </c>
      <c r="M506" s="33">
        <v>3</v>
      </c>
      <c r="N506" s="33">
        <v>0</v>
      </c>
      <c r="O506" s="33">
        <v>0</v>
      </c>
      <c r="P506" s="33">
        <v>0</v>
      </c>
      <c r="Q506" s="33">
        <v>0</v>
      </c>
      <c r="R506" s="34" t="s">
        <v>739</v>
      </c>
      <c r="S506" s="33">
        <v>0</v>
      </c>
      <c r="T506" s="35">
        <v>148</v>
      </c>
    </row>
    <row r="507" spans="1:20">
      <c r="A507" s="31">
        <v>505</v>
      </c>
      <c r="B507" s="33" t="s">
        <v>828</v>
      </c>
      <c r="C507" s="33">
        <v>100</v>
      </c>
      <c r="D507" s="33">
        <v>90</v>
      </c>
      <c r="E507" s="33">
        <v>79.199996948242188</v>
      </c>
      <c r="F507" s="33">
        <v>16.700000762939453</v>
      </c>
      <c r="G507" s="33">
        <v>2.5</v>
      </c>
      <c r="H507" s="33">
        <v>0</v>
      </c>
      <c r="I507" s="33">
        <v>0.10000000149011612</v>
      </c>
      <c r="J507" s="33">
        <v>152</v>
      </c>
      <c r="K507" s="33">
        <v>0.30000001192092896</v>
      </c>
      <c r="L507" s="33">
        <v>1.7799999713897705</v>
      </c>
      <c r="M507" s="33">
        <v>8.8000001907348633</v>
      </c>
      <c r="N507" s="33">
        <v>0</v>
      </c>
      <c r="O507" s="33">
        <v>195.19999694824219</v>
      </c>
      <c r="P507" s="33">
        <v>9</v>
      </c>
      <c r="Q507" s="33">
        <v>5.1999998092651367</v>
      </c>
      <c r="R507" s="34" t="s">
        <v>739</v>
      </c>
      <c r="S507" s="33">
        <v>0</v>
      </c>
      <c r="T507" s="35">
        <v>289</v>
      </c>
    </row>
    <row r="508" spans="1:20">
      <c r="A508" s="31">
        <v>506</v>
      </c>
      <c r="B508" s="33" t="s">
        <v>829</v>
      </c>
      <c r="C508" s="33">
        <v>100</v>
      </c>
      <c r="D508" s="33">
        <v>166</v>
      </c>
      <c r="E508" s="33">
        <v>71.800003051757813</v>
      </c>
      <c r="F508" s="33">
        <v>15.899999618530273</v>
      </c>
      <c r="G508" s="33">
        <v>11.300000190734863</v>
      </c>
      <c r="H508" s="33">
        <v>0</v>
      </c>
      <c r="I508" s="33">
        <v>0.10000000149011612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4" t="s">
        <v>739</v>
      </c>
      <c r="S508" s="33">
        <v>0</v>
      </c>
      <c r="T508" s="35">
        <v>289</v>
      </c>
    </row>
    <row r="509" spans="1:20">
      <c r="A509" s="31">
        <v>507</v>
      </c>
      <c r="B509" s="33" t="s">
        <v>830</v>
      </c>
      <c r="C509" s="33">
        <v>100</v>
      </c>
      <c r="D509" s="33">
        <v>177</v>
      </c>
      <c r="E509" s="33">
        <v>62.799999237060547</v>
      </c>
      <c r="F509" s="33">
        <v>38.799999237060547</v>
      </c>
      <c r="G509" s="33">
        <v>2.4000000953674316</v>
      </c>
      <c r="H509" s="33">
        <v>0</v>
      </c>
      <c r="I509" s="33">
        <v>0</v>
      </c>
      <c r="J509" s="33">
        <v>0</v>
      </c>
      <c r="K509" s="33">
        <v>0</v>
      </c>
      <c r="L509" s="33">
        <v>0.10000000149011612</v>
      </c>
      <c r="M509" s="33">
        <v>1.2000000476837158</v>
      </c>
      <c r="N509" s="33">
        <v>0</v>
      </c>
      <c r="O509" s="33">
        <v>149.69999694824219</v>
      </c>
      <c r="P509" s="33">
        <v>16</v>
      </c>
      <c r="Q509" s="33">
        <v>3.0999999046325684</v>
      </c>
      <c r="R509" s="34" t="s">
        <v>739</v>
      </c>
      <c r="S509" s="33">
        <v>0</v>
      </c>
      <c r="T509" s="35">
        <v>58</v>
      </c>
    </row>
    <row r="510" spans="1:20">
      <c r="A510" s="31">
        <v>508</v>
      </c>
      <c r="B510" s="33" t="s">
        <v>831</v>
      </c>
      <c r="C510" s="33">
        <v>100</v>
      </c>
      <c r="D510" s="33">
        <v>113</v>
      </c>
      <c r="E510" s="33">
        <v>77.699996948242188</v>
      </c>
      <c r="F510" s="33">
        <v>13.800000190734863</v>
      </c>
      <c r="G510" s="33">
        <v>5.5</v>
      </c>
      <c r="H510" s="33">
        <v>0</v>
      </c>
      <c r="I510" s="33">
        <v>2</v>
      </c>
      <c r="J510" s="33">
        <v>16</v>
      </c>
      <c r="K510" s="33">
        <v>0.2800000011920929</v>
      </c>
      <c r="L510" s="33">
        <v>0.40000000596046448</v>
      </c>
      <c r="M510" s="33">
        <v>5.5999999046325684</v>
      </c>
      <c r="N510" s="33">
        <v>1.75</v>
      </c>
      <c r="O510" s="33">
        <v>100.80000305175781</v>
      </c>
      <c r="P510" s="33">
        <v>10</v>
      </c>
      <c r="Q510" s="33">
        <v>4</v>
      </c>
      <c r="R510" s="34" t="s">
        <v>739</v>
      </c>
      <c r="S510" s="33">
        <v>0</v>
      </c>
      <c r="T510" s="35">
        <v>104</v>
      </c>
    </row>
    <row r="511" spans="1:20">
      <c r="A511" s="31">
        <v>509</v>
      </c>
      <c r="B511" s="33" t="s">
        <v>832</v>
      </c>
      <c r="C511" s="33">
        <v>100</v>
      </c>
      <c r="D511" s="33">
        <v>86</v>
      </c>
      <c r="E511" s="33">
        <v>79.800003051757813</v>
      </c>
      <c r="F511" s="33">
        <v>17</v>
      </c>
      <c r="G511" s="33">
        <v>1.8999999761581421</v>
      </c>
      <c r="H511" s="33">
        <v>0</v>
      </c>
      <c r="I511" s="33">
        <v>0.20000000298023224</v>
      </c>
      <c r="J511" s="33">
        <v>0</v>
      </c>
      <c r="K511" s="33">
        <v>0</v>
      </c>
      <c r="L511" s="33">
        <v>0</v>
      </c>
      <c r="M511" s="33">
        <v>0</v>
      </c>
      <c r="N511" s="33">
        <v>0</v>
      </c>
      <c r="O511" s="33">
        <v>0</v>
      </c>
      <c r="P511" s="33">
        <v>0</v>
      </c>
      <c r="Q511" s="33">
        <v>0</v>
      </c>
      <c r="R511" s="34" t="s">
        <v>739</v>
      </c>
      <c r="S511" s="33">
        <v>0</v>
      </c>
      <c r="T511" s="35">
        <v>104</v>
      </c>
    </row>
    <row r="512" spans="1:20">
      <c r="A512" s="31">
        <v>510</v>
      </c>
      <c r="B512" s="33" t="s">
        <v>833</v>
      </c>
      <c r="C512" s="33">
        <v>100</v>
      </c>
      <c r="D512" s="33">
        <v>57</v>
      </c>
      <c r="E512" s="33">
        <v>85</v>
      </c>
      <c r="F512" s="33">
        <v>6.8000001907348633</v>
      </c>
      <c r="G512" s="33">
        <v>0.20000000298023224</v>
      </c>
      <c r="H512" s="33">
        <v>0</v>
      </c>
      <c r="I512" s="33">
        <v>6.9000000953674316</v>
      </c>
      <c r="J512" s="33">
        <v>0</v>
      </c>
      <c r="K512" s="33">
        <v>3.9999999105930328E-2</v>
      </c>
      <c r="L512" s="33">
        <v>9.0000003576278687E-2</v>
      </c>
      <c r="M512" s="33">
        <v>0.20000000298023224</v>
      </c>
      <c r="N512" s="33">
        <v>0</v>
      </c>
      <c r="O512" s="33">
        <v>0</v>
      </c>
      <c r="P512" s="33">
        <v>0</v>
      </c>
      <c r="Q512" s="33">
        <v>0</v>
      </c>
      <c r="R512" s="34" t="s">
        <v>739</v>
      </c>
      <c r="S512" s="33">
        <v>0</v>
      </c>
      <c r="T512" s="35">
        <v>92</v>
      </c>
    </row>
    <row r="513" spans="1:20">
      <c r="A513" s="31">
        <v>511</v>
      </c>
      <c r="B513" s="33" t="s">
        <v>834</v>
      </c>
      <c r="C513" s="33">
        <v>100</v>
      </c>
      <c r="D513" s="33">
        <v>138</v>
      </c>
      <c r="E513" s="33">
        <v>70.900001525878906</v>
      </c>
      <c r="F513" s="33">
        <v>18.399999618530273</v>
      </c>
      <c r="G513" s="33">
        <v>6.5</v>
      </c>
      <c r="H513" s="33">
        <v>0</v>
      </c>
      <c r="I513" s="33">
        <v>1.6000000238418579</v>
      </c>
      <c r="J513" s="33">
        <v>1</v>
      </c>
      <c r="K513" s="33">
        <v>0.61000001430511475</v>
      </c>
      <c r="L513" s="33">
        <v>0.12999999523162842</v>
      </c>
      <c r="M513" s="33">
        <v>20.399999618530273</v>
      </c>
      <c r="N513" s="33">
        <v>0.18999999761581421</v>
      </c>
      <c r="O513" s="33">
        <v>373.39999389648438</v>
      </c>
      <c r="P513" s="33">
        <v>3</v>
      </c>
      <c r="Q513" s="33">
        <v>1.3999999761581421</v>
      </c>
      <c r="R513" s="34" t="s">
        <v>739</v>
      </c>
      <c r="S513" s="33">
        <v>0</v>
      </c>
      <c r="T513" s="35">
        <v>54</v>
      </c>
    </row>
    <row r="514" spans="1:20">
      <c r="A514" s="31">
        <v>512</v>
      </c>
      <c r="B514" s="33" t="s">
        <v>835</v>
      </c>
      <c r="C514" s="33">
        <v>100</v>
      </c>
      <c r="D514" s="33">
        <v>215</v>
      </c>
      <c r="E514" s="33">
        <v>63.599998474121094</v>
      </c>
      <c r="F514" s="33">
        <v>6.6999998092651367</v>
      </c>
      <c r="G514" s="33">
        <v>17.299999237060547</v>
      </c>
      <c r="H514" s="33">
        <v>0</v>
      </c>
      <c r="I514" s="33">
        <v>8.1000003814697266</v>
      </c>
      <c r="J514" s="33">
        <v>0</v>
      </c>
      <c r="K514" s="33">
        <v>9.0000003576278687E-2</v>
      </c>
      <c r="L514" s="33">
        <v>3.9999999105930328E-2</v>
      </c>
      <c r="M514" s="33">
        <v>5.4000000953674316</v>
      </c>
      <c r="N514" s="33">
        <v>0.67000001668930054</v>
      </c>
      <c r="O514" s="33">
        <v>572.29998779296875</v>
      </c>
      <c r="P514" s="33">
        <v>34</v>
      </c>
      <c r="Q514" s="33">
        <v>1.3999999761581421</v>
      </c>
      <c r="R514" s="34" t="s">
        <v>739</v>
      </c>
      <c r="S514" s="33">
        <v>0</v>
      </c>
      <c r="T514" s="35">
        <v>120</v>
      </c>
    </row>
    <row r="515" spans="1:20">
      <c r="A515" s="31">
        <v>513</v>
      </c>
      <c r="B515" s="33" t="s">
        <v>836</v>
      </c>
      <c r="C515" s="33">
        <v>100</v>
      </c>
      <c r="D515" s="33">
        <v>191</v>
      </c>
      <c r="E515" s="33">
        <v>74.800003051757813</v>
      </c>
      <c r="F515" s="33">
        <v>6.9000000953674316</v>
      </c>
      <c r="G515" s="33">
        <v>18.700000762939453</v>
      </c>
      <c r="H515" s="33">
        <v>0</v>
      </c>
      <c r="I515" s="33">
        <v>0</v>
      </c>
      <c r="J515" s="33">
        <v>7</v>
      </c>
      <c r="K515" s="33">
        <v>5.9999998658895493E-2</v>
      </c>
      <c r="L515" s="33">
        <v>0.10999999940395355</v>
      </c>
      <c r="M515" s="33">
        <v>1.8999999761581421</v>
      </c>
      <c r="N515" s="33">
        <v>0.5</v>
      </c>
      <c r="O515" s="33">
        <v>116.30000305175781</v>
      </c>
      <c r="P515" s="33">
        <v>10</v>
      </c>
      <c r="Q515" s="33">
        <v>1</v>
      </c>
      <c r="R515" s="34" t="s">
        <v>739</v>
      </c>
      <c r="S515" s="33">
        <v>0</v>
      </c>
      <c r="T515" s="35">
        <v>137</v>
      </c>
    </row>
    <row r="516" spans="1:20">
      <c r="A516" s="31">
        <v>514</v>
      </c>
      <c r="B516" s="33" t="s">
        <v>837</v>
      </c>
      <c r="C516" s="33">
        <v>100</v>
      </c>
      <c r="D516" s="33">
        <v>336</v>
      </c>
      <c r="E516" s="33">
        <v>16.299999237060547</v>
      </c>
      <c r="F516" s="33">
        <v>44.200000762939453</v>
      </c>
      <c r="G516" s="33">
        <v>6.4000000953674316</v>
      </c>
      <c r="H516" s="33">
        <v>0</v>
      </c>
      <c r="I516" s="33">
        <v>25.299999237060547</v>
      </c>
      <c r="J516" s="33">
        <v>3582</v>
      </c>
      <c r="K516" s="33">
        <v>0.40999999642372131</v>
      </c>
      <c r="L516" s="33">
        <v>2.5</v>
      </c>
      <c r="M516" s="33">
        <v>11</v>
      </c>
      <c r="N516" s="33">
        <v>0</v>
      </c>
      <c r="O516" s="33">
        <v>3625</v>
      </c>
      <c r="P516" s="33">
        <v>12</v>
      </c>
      <c r="Q516" s="33">
        <v>181.30000305175781</v>
      </c>
      <c r="R516" s="34" t="s">
        <v>739</v>
      </c>
      <c r="S516" s="33">
        <v>0</v>
      </c>
      <c r="T516" s="35">
        <v>1017</v>
      </c>
    </row>
    <row r="517" spans="1:20">
      <c r="A517" s="31">
        <v>515</v>
      </c>
      <c r="B517" s="33" t="s">
        <v>838</v>
      </c>
      <c r="C517" s="33">
        <v>68</v>
      </c>
      <c r="D517" s="33">
        <v>264</v>
      </c>
      <c r="E517" s="33">
        <v>58.799999237060547</v>
      </c>
      <c r="F517" s="33">
        <v>18.299999237060547</v>
      </c>
      <c r="G517" s="33">
        <v>20.399999618530273</v>
      </c>
      <c r="H517" s="33">
        <v>0</v>
      </c>
      <c r="I517" s="33">
        <v>1.7000000476837158</v>
      </c>
      <c r="J517" s="33">
        <v>12</v>
      </c>
      <c r="K517" s="33">
        <v>0.80000001192092896</v>
      </c>
      <c r="L517" s="33">
        <v>0.15000000596046448</v>
      </c>
      <c r="M517" s="33">
        <v>5.3000001907348633</v>
      </c>
      <c r="N517" s="33">
        <v>0.10999999940395355</v>
      </c>
      <c r="O517" s="33">
        <v>44.5</v>
      </c>
      <c r="P517" s="33">
        <v>8</v>
      </c>
      <c r="Q517" s="33">
        <v>0.80000001192092896</v>
      </c>
      <c r="R517" s="34" t="s">
        <v>739</v>
      </c>
      <c r="S517" s="33">
        <v>0</v>
      </c>
      <c r="T517" s="35">
        <v>165</v>
      </c>
    </row>
    <row r="518" spans="1:20">
      <c r="A518" s="31">
        <v>516</v>
      </c>
      <c r="B518" s="33" t="s">
        <v>839</v>
      </c>
      <c r="C518" s="33">
        <v>96</v>
      </c>
      <c r="D518" s="33">
        <v>110</v>
      </c>
      <c r="E518" s="33">
        <v>78.199996948242188</v>
      </c>
      <c r="F518" s="33">
        <v>15.199999809265137</v>
      </c>
      <c r="G518" s="33">
        <v>5.0999999046325684</v>
      </c>
      <c r="H518" s="33">
        <v>0</v>
      </c>
      <c r="I518" s="33">
        <v>0.69999998807907104</v>
      </c>
      <c r="J518" s="33">
        <v>3</v>
      </c>
      <c r="K518" s="33">
        <v>7.0000000298023224E-2</v>
      </c>
      <c r="L518" s="33">
        <v>0.15999999642372131</v>
      </c>
      <c r="M518" s="33">
        <v>3.7000000476837158</v>
      </c>
      <c r="N518" s="33">
        <v>0.31999999284744263</v>
      </c>
      <c r="O518" s="33">
        <v>75.099998474121094</v>
      </c>
      <c r="P518" s="33">
        <v>11</v>
      </c>
      <c r="Q518" s="33">
        <v>2.4000000953674316</v>
      </c>
      <c r="R518" s="34" t="s">
        <v>739</v>
      </c>
      <c r="S518" s="33">
        <v>0</v>
      </c>
      <c r="T518" s="35">
        <v>165</v>
      </c>
    </row>
    <row r="519" spans="1:20">
      <c r="A519" s="31">
        <v>517</v>
      </c>
      <c r="B519" s="33" t="s">
        <v>840</v>
      </c>
      <c r="C519" s="33">
        <v>100</v>
      </c>
      <c r="D519" s="33">
        <v>190</v>
      </c>
      <c r="E519" s="33">
        <v>69.400001525878906</v>
      </c>
      <c r="F519" s="33">
        <v>22.5</v>
      </c>
      <c r="G519" s="33">
        <v>11.100000381469727</v>
      </c>
      <c r="H519" s="33">
        <v>0</v>
      </c>
      <c r="I519" s="33">
        <v>0</v>
      </c>
      <c r="J519" s="33">
        <v>0</v>
      </c>
      <c r="K519" s="33">
        <v>5.000000074505806E-2</v>
      </c>
      <c r="L519" s="33">
        <v>0.11999999731779099</v>
      </c>
      <c r="M519" s="33">
        <v>3.5</v>
      </c>
      <c r="N519" s="33">
        <v>0.85000002384185791</v>
      </c>
      <c r="O519" s="33">
        <v>68.199996948242188</v>
      </c>
      <c r="P519" s="33">
        <v>6</v>
      </c>
      <c r="Q519" s="33">
        <v>1.2999999523162842</v>
      </c>
      <c r="R519" s="34" t="s">
        <v>739</v>
      </c>
      <c r="S519" s="33">
        <v>0</v>
      </c>
      <c r="T519" s="35">
        <v>92</v>
      </c>
    </row>
    <row r="520" spans="1:20">
      <c r="A520" s="31">
        <v>518</v>
      </c>
      <c r="B520" s="33" t="s">
        <v>841</v>
      </c>
      <c r="C520" s="33">
        <v>97</v>
      </c>
      <c r="D520" s="33">
        <v>84</v>
      </c>
      <c r="E520" s="33">
        <v>83.099998474121094</v>
      </c>
      <c r="F520" s="33">
        <v>12.199999809265137</v>
      </c>
      <c r="G520" s="33">
        <v>3.9000000953674316</v>
      </c>
      <c r="H520" s="33">
        <v>0</v>
      </c>
      <c r="I520" s="33">
        <v>0.10000000149011612</v>
      </c>
      <c r="J520" s="33">
        <v>10</v>
      </c>
      <c r="K520" s="33">
        <v>3.9999999105930328E-2</v>
      </c>
      <c r="L520" s="33">
        <v>0.18000000715255737</v>
      </c>
      <c r="M520" s="33">
        <v>1.7999999523162842</v>
      </c>
      <c r="N520" s="33">
        <v>0.44999998807907104</v>
      </c>
      <c r="O520" s="33">
        <v>81.400001525878906</v>
      </c>
      <c r="P520" s="33">
        <v>6</v>
      </c>
      <c r="Q520" s="33">
        <v>5.3000001907348633</v>
      </c>
      <c r="R520" s="34" t="s">
        <v>739</v>
      </c>
      <c r="S520" s="33">
        <v>0</v>
      </c>
      <c r="T520" s="35">
        <v>290</v>
      </c>
    </row>
    <row r="521" spans="1:20">
      <c r="A521" s="31">
        <v>519</v>
      </c>
      <c r="B521" s="33" t="s">
        <v>842</v>
      </c>
      <c r="C521" s="33">
        <v>99</v>
      </c>
      <c r="D521" s="33">
        <v>129</v>
      </c>
      <c r="E521" s="33">
        <v>70.699996948242188</v>
      </c>
      <c r="F521" s="33">
        <v>19.299999237060547</v>
      </c>
      <c r="G521" s="33">
        <v>3.5</v>
      </c>
      <c r="H521" s="33">
        <v>0</v>
      </c>
      <c r="I521" s="33">
        <v>5</v>
      </c>
      <c r="J521" s="33">
        <v>4972</v>
      </c>
      <c r="K521" s="33">
        <v>0.20999999344348907</v>
      </c>
      <c r="L521" s="33">
        <v>2.0799999237060547</v>
      </c>
      <c r="M521" s="33">
        <v>15</v>
      </c>
      <c r="N521" s="33">
        <v>0.86000001430511475</v>
      </c>
      <c r="O521" s="33">
        <v>68.599998474121094</v>
      </c>
      <c r="P521" s="33">
        <v>6</v>
      </c>
      <c r="Q521" s="33">
        <v>22.600000381469727</v>
      </c>
      <c r="R521" s="34" t="s">
        <v>739</v>
      </c>
      <c r="S521" s="33">
        <v>0</v>
      </c>
      <c r="T521" s="35">
        <v>288</v>
      </c>
    </row>
    <row r="522" spans="1:20">
      <c r="A522" s="31">
        <v>520</v>
      </c>
      <c r="B522" s="33" t="s">
        <v>843</v>
      </c>
      <c r="C522" s="33">
        <v>100</v>
      </c>
      <c r="D522" s="33">
        <v>203</v>
      </c>
      <c r="E522" s="33">
        <v>56.400001525878906</v>
      </c>
      <c r="F522" s="33">
        <v>26.399999618530273</v>
      </c>
      <c r="G522" s="33">
        <v>8.3000001907348633</v>
      </c>
      <c r="H522" s="33">
        <v>0</v>
      </c>
      <c r="I522" s="33">
        <v>5.5999999046325684</v>
      </c>
      <c r="J522" s="33">
        <v>37</v>
      </c>
      <c r="K522" s="33">
        <v>0.36000001430511475</v>
      </c>
      <c r="L522" s="33">
        <v>0.41999998688697815</v>
      </c>
      <c r="M522" s="33">
        <v>0</v>
      </c>
      <c r="N522" s="33">
        <v>0.14000000059604645</v>
      </c>
      <c r="O522" s="33">
        <v>674.70001220703125</v>
      </c>
      <c r="P522" s="33">
        <v>68</v>
      </c>
      <c r="Q522" s="33">
        <v>2</v>
      </c>
      <c r="R522" s="34" t="s">
        <v>739</v>
      </c>
      <c r="S522" s="33">
        <v>0</v>
      </c>
      <c r="T522" s="35">
        <v>469</v>
      </c>
    </row>
    <row r="523" spans="1:20">
      <c r="A523" s="31">
        <v>521</v>
      </c>
      <c r="B523" s="33" t="s">
        <v>844</v>
      </c>
      <c r="C523" s="33">
        <v>100</v>
      </c>
      <c r="D523" s="33">
        <v>131</v>
      </c>
      <c r="E523" s="33">
        <v>78</v>
      </c>
      <c r="F523" s="33">
        <v>10.800000190734863</v>
      </c>
      <c r="G523" s="33">
        <v>9.8000001907348633</v>
      </c>
      <c r="H523" s="33">
        <v>0</v>
      </c>
      <c r="I523" s="33">
        <v>0</v>
      </c>
      <c r="J523" s="33">
        <v>0</v>
      </c>
      <c r="K523" s="33">
        <v>0.10999999940395355</v>
      </c>
      <c r="L523" s="33">
        <v>0.18999999761581421</v>
      </c>
      <c r="M523" s="33">
        <v>2.7999999523162842</v>
      </c>
      <c r="N523" s="33">
        <v>0.95999997854232788</v>
      </c>
      <c r="O523" s="33">
        <v>130.69999694824219</v>
      </c>
      <c r="P523" s="33">
        <v>30</v>
      </c>
      <c r="Q523" s="33">
        <v>1.8999999761581421</v>
      </c>
      <c r="R523" s="34" t="s">
        <v>739</v>
      </c>
      <c r="S523" s="33">
        <v>0</v>
      </c>
      <c r="T523" s="35">
        <v>2571</v>
      </c>
    </row>
    <row r="524" spans="1:20">
      <c r="A524" s="31">
        <v>522</v>
      </c>
      <c r="B524" s="33" t="s">
        <v>845</v>
      </c>
      <c r="C524" s="33">
        <v>100</v>
      </c>
      <c r="D524" s="33">
        <v>94</v>
      </c>
      <c r="E524" s="33">
        <v>79.400001525878906</v>
      </c>
      <c r="F524" s="33">
        <v>13.199999809265137</v>
      </c>
      <c r="G524" s="33">
        <v>3.2000000476837158</v>
      </c>
      <c r="H524" s="33">
        <v>0</v>
      </c>
      <c r="I524" s="33">
        <v>3.0999999046325684</v>
      </c>
      <c r="J524" s="33">
        <v>0</v>
      </c>
      <c r="K524" s="33">
        <v>9.0000003576278687E-2</v>
      </c>
      <c r="L524" s="33">
        <v>0.25999999046325684</v>
      </c>
      <c r="M524" s="33">
        <v>0.60000002384185791</v>
      </c>
      <c r="N524" s="33">
        <v>0.33000001311302185</v>
      </c>
      <c r="O524" s="33">
        <v>26.100000381469727</v>
      </c>
      <c r="P524" s="33">
        <v>1</v>
      </c>
      <c r="Q524" s="33">
        <v>11.300000190734863</v>
      </c>
      <c r="R524" s="34" t="s">
        <v>739</v>
      </c>
      <c r="S524" s="33">
        <v>0</v>
      </c>
      <c r="T524" s="35">
        <v>461</v>
      </c>
    </row>
    <row r="525" spans="1:20">
      <c r="A525" s="31">
        <v>523</v>
      </c>
      <c r="B525" s="33" t="s">
        <v>846</v>
      </c>
      <c r="C525" s="33">
        <v>90</v>
      </c>
      <c r="D525" s="33">
        <v>576</v>
      </c>
      <c r="E525" s="33">
        <v>35.799999237060547</v>
      </c>
      <c r="F525" s="33">
        <v>8</v>
      </c>
      <c r="G525" s="33">
        <v>60.5</v>
      </c>
      <c r="H525" s="33">
        <v>0</v>
      </c>
      <c r="I525" s="33">
        <v>0</v>
      </c>
      <c r="J525" s="33">
        <v>18</v>
      </c>
      <c r="K525" s="33">
        <v>0.20999999344348907</v>
      </c>
      <c r="L525" s="33">
        <v>7.0000000298023224E-2</v>
      </c>
      <c r="M525" s="33">
        <v>1.7000000476837158</v>
      </c>
      <c r="N525" s="33">
        <v>0.61000001430511475</v>
      </c>
      <c r="O525" s="33">
        <v>54</v>
      </c>
      <c r="P525" s="33">
        <v>4</v>
      </c>
      <c r="Q525" s="33">
        <v>1.2000000476837158</v>
      </c>
      <c r="R525" s="34" t="s">
        <v>739</v>
      </c>
      <c r="S525" s="33">
        <v>0</v>
      </c>
      <c r="T525" s="35">
        <v>94</v>
      </c>
    </row>
    <row r="526" spans="1:20">
      <c r="A526" s="31">
        <v>524</v>
      </c>
      <c r="B526" s="33" t="s">
        <v>847</v>
      </c>
      <c r="C526" s="33">
        <v>100</v>
      </c>
      <c r="D526" s="33">
        <v>816</v>
      </c>
      <c r="E526" s="33">
        <v>8.8000001907348633</v>
      </c>
      <c r="F526" s="33">
        <v>2.4000000953674316</v>
      </c>
      <c r="G526" s="33">
        <v>90.400001525878906</v>
      </c>
      <c r="H526" s="33">
        <v>0</v>
      </c>
      <c r="I526" s="33">
        <v>0</v>
      </c>
      <c r="J526" s="33">
        <v>29</v>
      </c>
      <c r="K526" s="33">
        <v>7.9999998211860657E-2</v>
      </c>
      <c r="L526" s="33">
        <v>5.000000074505806E-2</v>
      </c>
      <c r="M526" s="33">
        <v>0.89999997615814209</v>
      </c>
      <c r="N526" s="33">
        <v>0.23999999463558197</v>
      </c>
      <c r="O526" s="33">
        <v>19.5</v>
      </c>
      <c r="P526" s="33">
        <v>3</v>
      </c>
      <c r="Q526" s="33">
        <v>1</v>
      </c>
      <c r="R526" s="34" t="s">
        <v>739</v>
      </c>
      <c r="S526" s="33">
        <v>0</v>
      </c>
      <c r="T526" s="35">
        <v>109</v>
      </c>
    </row>
    <row r="527" spans="1:20">
      <c r="A527" s="31">
        <v>525</v>
      </c>
      <c r="B527" s="33" t="s">
        <v>848</v>
      </c>
      <c r="C527" s="33">
        <v>100</v>
      </c>
      <c r="D527" s="33">
        <v>395</v>
      </c>
      <c r="E527" s="33">
        <v>46.799999237060547</v>
      </c>
      <c r="F527" s="33">
        <v>13.199999809265137</v>
      </c>
      <c r="G527" s="33">
        <v>37</v>
      </c>
      <c r="H527" s="33">
        <v>0</v>
      </c>
      <c r="I527" s="33">
        <v>2.4000000953674316</v>
      </c>
      <c r="J527" s="33">
        <v>0</v>
      </c>
      <c r="K527" s="33">
        <v>0.2199999988079071</v>
      </c>
      <c r="L527" s="33">
        <v>0.15999999642372131</v>
      </c>
      <c r="M527" s="33">
        <v>3.5</v>
      </c>
      <c r="N527" s="33">
        <v>0.49000000953674316</v>
      </c>
      <c r="O527" s="33">
        <v>59.400001525878906</v>
      </c>
      <c r="P527" s="33">
        <v>6</v>
      </c>
      <c r="Q527" s="33">
        <v>1.6000000238418579</v>
      </c>
      <c r="R527" s="34" t="s">
        <v>739</v>
      </c>
      <c r="S527" s="33">
        <v>0</v>
      </c>
      <c r="T527" s="35">
        <v>80</v>
      </c>
    </row>
    <row r="528" spans="1:20">
      <c r="A528" s="31">
        <v>526</v>
      </c>
      <c r="B528" s="33" t="s">
        <v>849</v>
      </c>
      <c r="C528" s="33">
        <v>97</v>
      </c>
      <c r="D528" s="33">
        <v>331</v>
      </c>
      <c r="E528" s="33">
        <v>55.099998474121094</v>
      </c>
      <c r="F528" s="33">
        <v>14.600000381469727</v>
      </c>
      <c r="G528" s="33">
        <v>30.799999237060547</v>
      </c>
      <c r="H528" s="33">
        <v>0</v>
      </c>
      <c r="I528" s="33">
        <v>0</v>
      </c>
      <c r="J528" s="33">
        <v>16</v>
      </c>
      <c r="K528" s="33">
        <v>0.25999999046325684</v>
      </c>
      <c r="L528" s="33">
        <v>0.10999999940395355</v>
      </c>
      <c r="M528" s="33">
        <v>2.7999999523162842</v>
      </c>
      <c r="N528" s="33">
        <v>0.94999998807907104</v>
      </c>
      <c r="O528" s="33">
        <v>57.5</v>
      </c>
      <c r="P528" s="33">
        <v>5</v>
      </c>
      <c r="Q528" s="33">
        <v>1</v>
      </c>
      <c r="R528" s="34" t="s">
        <v>739</v>
      </c>
      <c r="S528" s="33">
        <v>0</v>
      </c>
      <c r="T528" s="35">
        <v>0</v>
      </c>
    </row>
    <row r="529" spans="1:20">
      <c r="A529" s="31">
        <v>527</v>
      </c>
      <c r="B529" s="33" t="s">
        <v>850</v>
      </c>
      <c r="C529" s="33">
        <v>73</v>
      </c>
      <c r="D529" s="33">
        <v>320</v>
      </c>
      <c r="E529" s="33">
        <v>57.599998474121094</v>
      </c>
      <c r="F529" s="33">
        <v>17</v>
      </c>
      <c r="G529" s="33">
        <v>28</v>
      </c>
      <c r="H529" s="33">
        <v>0</v>
      </c>
      <c r="I529" s="33">
        <v>0</v>
      </c>
      <c r="J529" s="33">
        <v>8</v>
      </c>
      <c r="K529" s="33">
        <v>0.37000000476837158</v>
      </c>
      <c r="L529" s="33">
        <v>0.18000000715255737</v>
      </c>
      <c r="M529" s="33">
        <v>2.5999999046325684</v>
      </c>
      <c r="N529" s="33">
        <v>0.47999998927116394</v>
      </c>
      <c r="O529" s="33">
        <v>76.800003051757813</v>
      </c>
      <c r="P529" s="33">
        <v>6</v>
      </c>
      <c r="Q529" s="33">
        <v>1</v>
      </c>
      <c r="R529" s="34" t="s">
        <v>739</v>
      </c>
      <c r="S529" s="33">
        <v>0</v>
      </c>
      <c r="T529" s="35">
        <v>79</v>
      </c>
    </row>
    <row r="530" spans="1:20">
      <c r="A530" s="31">
        <v>528</v>
      </c>
      <c r="B530" s="33" t="s">
        <v>851</v>
      </c>
      <c r="C530" s="33">
        <v>100</v>
      </c>
      <c r="D530" s="33">
        <v>155</v>
      </c>
      <c r="E530" s="33">
        <v>70.300003051757813</v>
      </c>
      <c r="F530" s="33">
        <v>20.200000762939453</v>
      </c>
      <c r="G530" s="33">
        <v>7.9000000953674316</v>
      </c>
      <c r="H530" s="33">
        <v>0</v>
      </c>
      <c r="I530" s="33">
        <v>0.69999998807907104</v>
      </c>
      <c r="J530" s="33">
        <v>5</v>
      </c>
      <c r="K530" s="33">
        <v>0.4699999988079071</v>
      </c>
      <c r="L530" s="33">
        <v>0.11999999731779099</v>
      </c>
      <c r="M530" s="33">
        <v>5.1999998092651367</v>
      </c>
      <c r="N530" s="33">
        <v>0.5899999737739563</v>
      </c>
      <c r="O530" s="33">
        <v>43.200000762939453</v>
      </c>
      <c r="P530" s="33">
        <v>6</v>
      </c>
      <c r="Q530" s="33">
        <v>1.5</v>
      </c>
      <c r="R530" s="34" t="s">
        <v>739</v>
      </c>
      <c r="S530" s="33">
        <v>0</v>
      </c>
      <c r="T530" s="35">
        <v>81</v>
      </c>
    </row>
    <row r="531" spans="1:20">
      <c r="A531" s="31">
        <v>529</v>
      </c>
      <c r="B531" s="33" t="s">
        <v>852</v>
      </c>
      <c r="C531" s="33">
        <v>96</v>
      </c>
      <c r="D531" s="33">
        <v>568</v>
      </c>
      <c r="E531" s="33">
        <v>34</v>
      </c>
      <c r="F531" s="33">
        <v>9.3000001907348633</v>
      </c>
      <c r="G531" s="33">
        <v>59</v>
      </c>
      <c r="H531" s="33">
        <v>0</v>
      </c>
      <c r="I531" s="33">
        <v>0</v>
      </c>
      <c r="J531" s="33">
        <v>10</v>
      </c>
      <c r="K531" s="33">
        <v>9.0000003576278687E-2</v>
      </c>
      <c r="L531" s="33">
        <v>3.9999999105930328E-2</v>
      </c>
      <c r="M531" s="33">
        <v>2.4000000953674316</v>
      </c>
      <c r="N531" s="33">
        <v>5.000000074505806E-2</v>
      </c>
      <c r="O531" s="33">
        <v>80</v>
      </c>
      <c r="P531" s="33">
        <v>6</v>
      </c>
      <c r="Q531" s="33">
        <v>1</v>
      </c>
      <c r="R531" s="34" t="s">
        <v>739</v>
      </c>
      <c r="S531" s="33">
        <v>0</v>
      </c>
      <c r="T531" s="35">
        <v>98</v>
      </c>
    </row>
    <row r="532" spans="1:20">
      <c r="A532" s="31">
        <v>530</v>
      </c>
      <c r="B532" s="33" t="s">
        <v>853</v>
      </c>
      <c r="C532" s="33">
        <v>85</v>
      </c>
      <c r="D532" s="33">
        <v>349</v>
      </c>
      <c r="E532" s="33">
        <v>56.799999237060547</v>
      </c>
      <c r="F532" s="33">
        <v>7.6999998092651367</v>
      </c>
      <c r="G532" s="33">
        <v>35.299999237060547</v>
      </c>
      <c r="H532" s="33">
        <v>0</v>
      </c>
      <c r="I532" s="33">
        <v>0</v>
      </c>
      <c r="J532" s="33">
        <v>39</v>
      </c>
      <c r="K532" s="33">
        <v>0.14000000059604645</v>
      </c>
      <c r="L532" s="33">
        <v>5.9999998658895493E-2</v>
      </c>
      <c r="M532" s="33">
        <v>2</v>
      </c>
      <c r="N532" s="33">
        <v>0.49000000953674316</v>
      </c>
      <c r="O532" s="33">
        <v>36.700000762939453</v>
      </c>
      <c r="P532" s="33">
        <v>5</v>
      </c>
      <c r="Q532" s="33">
        <v>0.80000001192092896</v>
      </c>
      <c r="R532" s="34" t="s">
        <v>739</v>
      </c>
      <c r="S532" s="33">
        <v>0</v>
      </c>
      <c r="T532" s="35">
        <v>98</v>
      </c>
    </row>
    <row r="533" spans="1:20">
      <c r="A533" s="31">
        <v>531</v>
      </c>
      <c r="B533" s="33" t="s">
        <v>854</v>
      </c>
      <c r="C533" s="33">
        <v>79</v>
      </c>
      <c r="D533" s="33">
        <v>339</v>
      </c>
      <c r="E533" s="33">
        <v>53</v>
      </c>
      <c r="F533" s="33">
        <v>13.600000381469727</v>
      </c>
      <c r="G533" s="33">
        <v>30.600000381469727</v>
      </c>
      <c r="H533" s="33">
        <v>0</v>
      </c>
      <c r="I533" s="33">
        <v>2.2000000476837158</v>
      </c>
      <c r="J533" s="33">
        <v>10</v>
      </c>
      <c r="K533" s="33">
        <v>0.36000001430511475</v>
      </c>
      <c r="L533" s="33">
        <v>0.15000000596046448</v>
      </c>
      <c r="M533" s="33">
        <v>3.0999999046325684</v>
      </c>
      <c r="N533" s="33">
        <v>0.20000000298023224</v>
      </c>
      <c r="O533" s="33">
        <v>52</v>
      </c>
      <c r="P533" s="33">
        <v>6</v>
      </c>
      <c r="Q533" s="33">
        <v>1.2999999523162842</v>
      </c>
      <c r="R533" s="34" t="s">
        <v>739</v>
      </c>
      <c r="S533" s="33">
        <v>0</v>
      </c>
      <c r="T533" s="35">
        <v>79</v>
      </c>
    </row>
    <row r="534" spans="1:20">
      <c r="A534" s="31">
        <v>532</v>
      </c>
      <c r="B534" s="33" t="s">
        <v>855</v>
      </c>
      <c r="C534" s="33">
        <v>67</v>
      </c>
      <c r="D534" s="33">
        <v>338</v>
      </c>
      <c r="E534" s="33">
        <v>54.299999237060547</v>
      </c>
      <c r="F534" s="33">
        <v>15.100000381469727</v>
      </c>
      <c r="G534" s="33">
        <v>31.5</v>
      </c>
      <c r="H534" s="33">
        <v>0</v>
      </c>
      <c r="I534" s="33">
        <v>0</v>
      </c>
      <c r="J534" s="33">
        <v>13</v>
      </c>
      <c r="K534" s="33">
        <v>0.23000000417232513</v>
      </c>
      <c r="L534" s="33">
        <v>0.14000000059604645</v>
      </c>
      <c r="M534" s="33">
        <v>2</v>
      </c>
      <c r="N534" s="33">
        <v>0.70999997854232788</v>
      </c>
      <c r="O534" s="33">
        <v>66.099998474121094</v>
      </c>
      <c r="P534" s="33">
        <v>5</v>
      </c>
      <c r="Q534" s="33">
        <v>1.2000000476837158</v>
      </c>
      <c r="R534" s="34" t="s">
        <v>739</v>
      </c>
      <c r="S534" s="33">
        <v>0</v>
      </c>
      <c r="T534" s="35">
        <v>79</v>
      </c>
    </row>
    <row r="535" spans="1:20">
      <c r="A535" s="31">
        <v>533</v>
      </c>
      <c r="B535" s="33" t="s">
        <v>856</v>
      </c>
      <c r="C535" s="33">
        <v>100</v>
      </c>
      <c r="D535" s="33">
        <v>118</v>
      </c>
      <c r="E535" s="33">
        <v>71.400001525878906</v>
      </c>
      <c r="F535" s="33">
        <v>18.399999618530273</v>
      </c>
      <c r="G535" s="33">
        <v>13.800000190734863</v>
      </c>
      <c r="H535" s="33">
        <v>0</v>
      </c>
      <c r="I535" s="33">
        <v>0</v>
      </c>
      <c r="J535" s="33">
        <v>0</v>
      </c>
      <c r="K535" s="33">
        <v>9.0000003576278687E-2</v>
      </c>
      <c r="L535" s="33">
        <v>7.0000000298023224E-2</v>
      </c>
      <c r="M535" s="33">
        <v>2.7999999523162842</v>
      </c>
      <c r="N535" s="33">
        <v>0</v>
      </c>
      <c r="O535" s="33">
        <v>210.60000610351563</v>
      </c>
      <c r="P535" s="33">
        <v>4</v>
      </c>
      <c r="Q535" s="33">
        <v>3.4000000953674316</v>
      </c>
      <c r="R535" s="34" t="s">
        <v>739</v>
      </c>
      <c r="S535" s="33">
        <v>0</v>
      </c>
      <c r="T535" s="35">
        <v>62</v>
      </c>
    </row>
    <row r="536" spans="1:20">
      <c r="A536" s="31">
        <v>534</v>
      </c>
      <c r="B536" s="33" t="s">
        <v>857</v>
      </c>
      <c r="C536" s="33">
        <v>100</v>
      </c>
      <c r="D536" s="33">
        <v>190</v>
      </c>
      <c r="E536" s="33">
        <v>67.599998474121094</v>
      </c>
      <c r="F536" s="33">
        <v>17.899999618530273</v>
      </c>
      <c r="G536" s="33">
        <v>12.800000190734863</v>
      </c>
      <c r="H536" s="33">
        <v>0</v>
      </c>
      <c r="I536" s="33">
        <v>0.80000001192092896</v>
      </c>
      <c r="J536" s="33">
        <v>3</v>
      </c>
      <c r="K536" s="33">
        <v>0.52999997138977051</v>
      </c>
      <c r="L536" s="33">
        <v>0.23999999463558197</v>
      </c>
      <c r="M536" s="33">
        <v>4.9000000953674316</v>
      </c>
      <c r="N536" s="33">
        <v>0.30000001192092896</v>
      </c>
      <c r="O536" s="33">
        <v>63</v>
      </c>
      <c r="P536" s="33">
        <v>6</v>
      </c>
      <c r="Q536" s="33">
        <v>0.89999997615814209</v>
      </c>
      <c r="R536" s="34" t="s">
        <v>739</v>
      </c>
      <c r="S536" s="33">
        <v>0</v>
      </c>
      <c r="T536" s="35">
        <v>79</v>
      </c>
    </row>
    <row r="537" spans="1:20">
      <c r="A537" s="31">
        <v>535</v>
      </c>
      <c r="B537" s="33" t="s">
        <v>858</v>
      </c>
      <c r="C537" s="33">
        <v>100</v>
      </c>
      <c r="D537" s="33">
        <v>143</v>
      </c>
      <c r="E537" s="33">
        <v>71</v>
      </c>
      <c r="F537" s="33">
        <v>20.299999237060547</v>
      </c>
      <c r="G537" s="33">
        <v>6.1999998092651367</v>
      </c>
      <c r="H537" s="33">
        <v>0</v>
      </c>
      <c r="I537" s="33">
        <v>1.5</v>
      </c>
      <c r="J537" s="33">
        <v>44</v>
      </c>
      <c r="K537" s="33">
        <v>0.54000002145767212</v>
      </c>
      <c r="L537" s="33">
        <v>0.10000000149011612</v>
      </c>
      <c r="M537" s="33">
        <v>5.3000001907348633</v>
      </c>
      <c r="N537" s="33">
        <v>0.34000000357627869</v>
      </c>
      <c r="O537" s="33">
        <v>57.5</v>
      </c>
      <c r="P537" s="33">
        <v>6</v>
      </c>
      <c r="Q537" s="33">
        <v>3</v>
      </c>
      <c r="R537" s="34" t="s">
        <v>739</v>
      </c>
      <c r="S537" s="33">
        <v>0</v>
      </c>
      <c r="T537" s="35">
        <v>81</v>
      </c>
    </row>
    <row r="538" spans="1:20">
      <c r="A538" s="31">
        <v>536</v>
      </c>
      <c r="B538" s="33" t="s">
        <v>859</v>
      </c>
      <c r="C538" s="33">
        <v>100</v>
      </c>
      <c r="D538" s="33">
        <v>396</v>
      </c>
      <c r="E538" s="33">
        <v>9.3999996185302734</v>
      </c>
      <c r="F538" s="33">
        <v>23.399999618530273</v>
      </c>
      <c r="G538" s="33">
        <v>11.5</v>
      </c>
      <c r="H538" s="33">
        <v>0</v>
      </c>
      <c r="I538" s="33">
        <v>49.700000762939453</v>
      </c>
      <c r="J538" s="33">
        <v>44</v>
      </c>
      <c r="K538" s="33">
        <v>3.9999999105930328E-2</v>
      </c>
      <c r="L538" s="33">
        <v>0.12999999523162842</v>
      </c>
      <c r="M538" s="33">
        <v>3.2999999523162842</v>
      </c>
      <c r="N538" s="33">
        <v>10.020000457763672</v>
      </c>
      <c r="O538" s="33">
        <v>469</v>
      </c>
      <c r="P538" s="33">
        <v>41</v>
      </c>
      <c r="Q538" s="33">
        <v>6.4000000953674316</v>
      </c>
      <c r="R538" s="34" t="s">
        <v>739</v>
      </c>
      <c r="S538" s="33">
        <v>0</v>
      </c>
      <c r="T538" s="35">
        <v>111</v>
      </c>
    </row>
    <row r="539" spans="1:20">
      <c r="A539" s="31">
        <v>537</v>
      </c>
      <c r="B539" s="33" t="s">
        <v>860</v>
      </c>
      <c r="C539" s="33">
        <v>100</v>
      </c>
      <c r="D539" s="33">
        <v>493</v>
      </c>
      <c r="E539" s="33">
        <v>3.5999999046325684</v>
      </c>
      <c r="F539" s="33">
        <v>25.100000381469727</v>
      </c>
      <c r="G539" s="33">
        <v>26</v>
      </c>
      <c r="H539" s="33">
        <v>0</v>
      </c>
      <c r="I539" s="33">
        <v>39.700000762939453</v>
      </c>
      <c r="J539" s="33">
        <v>0</v>
      </c>
      <c r="K539" s="33">
        <v>2.9999999329447746E-2</v>
      </c>
      <c r="L539" s="33">
        <v>0.18999999761581421</v>
      </c>
      <c r="M539" s="33">
        <v>2.7000000476837158</v>
      </c>
      <c r="N539" s="33">
        <v>0.77999997138977051</v>
      </c>
      <c r="O539" s="33">
        <v>1419.9000244140625</v>
      </c>
      <c r="P539" s="33">
        <v>3</v>
      </c>
      <c r="Q539" s="33">
        <v>7.6999998092651367</v>
      </c>
      <c r="R539" s="34" t="s">
        <v>739</v>
      </c>
      <c r="S539" s="33">
        <v>0</v>
      </c>
      <c r="T539" s="35">
        <v>111</v>
      </c>
    </row>
    <row r="540" spans="1:20">
      <c r="A540" s="31">
        <v>538</v>
      </c>
      <c r="B540" s="33" t="s">
        <v>861</v>
      </c>
      <c r="C540" s="33">
        <v>100</v>
      </c>
      <c r="D540" s="33">
        <v>451</v>
      </c>
      <c r="E540" s="33">
        <v>5.0999999046325684</v>
      </c>
      <c r="F540" s="33">
        <v>35.799999237060547</v>
      </c>
      <c r="G540" s="33">
        <v>20.5</v>
      </c>
      <c r="H540" s="33">
        <v>0</v>
      </c>
      <c r="I540" s="33">
        <v>30.899999618530273</v>
      </c>
      <c r="J540" s="33">
        <v>0</v>
      </c>
      <c r="K540" s="33">
        <v>0.17000000178813934</v>
      </c>
      <c r="L540" s="33">
        <v>0.18999999761581421</v>
      </c>
      <c r="M540" s="33">
        <v>3.5999999046325684</v>
      </c>
      <c r="N540" s="33">
        <v>15.090000152587891</v>
      </c>
      <c r="O540" s="33">
        <v>2301.699951171875</v>
      </c>
      <c r="P540" s="33">
        <v>33</v>
      </c>
      <c r="Q540" s="33">
        <v>3</v>
      </c>
      <c r="R540" s="34" t="s">
        <v>739</v>
      </c>
      <c r="S540" s="33">
        <v>0</v>
      </c>
      <c r="T540" s="35">
        <v>111</v>
      </c>
    </row>
    <row r="541" spans="1:20">
      <c r="A541" s="31">
        <v>539</v>
      </c>
      <c r="B541" s="33" t="s">
        <v>862</v>
      </c>
      <c r="C541" s="33">
        <v>100</v>
      </c>
      <c r="D541" s="33">
        <v>229</v>
      </c>
      <c r="E541" s="33">
        <v>24.399999618530273</v>
      </c>
      <c r="F541" s="33">
        <v>38.599998474121094</v>
      </c>
      <c r="G541" s="33">
        <v>8.3000001907348633</v>
      </c>
      <c r="H541" s="33">
        <v>0</v>
      </c>
      <c r="I541" s="33">
        <v>21.600000381469727</v>
      </c>
      <c r="J541" s="33">
        <v>0</v>
      </c>
      <c r="K541" s="33">
        <v>5.000000074505806E-2</v>
      </c>
      <c r="L541" s="33">
        <v>0.15999999642372131</v>
      </c>
      <c r="M541" s="33">
        <v>2.9000000953674316</v>
      </c>
      <c r="N541" s="33">
        <v>0.40999999642372131</v>
      </c>
      <c r="O541" s="33">
        <v>1880</v>
      </c>
      <c r="P541" s="33">
        <v>53</v>
      </c>
      <c r="Q541" s="33">
        <v>8.1999998092651367</v>
      </c>
      <c r="R541" s="34" t="s">
        <v>739</v>
      </c>
      <c r="S541" s="33">
        <v>0</v>
      </c>
      <c r="T541" s="35">
        <v>111</v>
      </c>
    </row>
    <row r="542" spans="1:20">
      <c r="A542" s="31">
        <v>540</v>
      </c>
      <c r="B542" s="33" t="s">
        <v>863</v>
      </c>
      <c r="C542" s="33">
        <v>94</v>
      </c>
      <c r="D542" s="33">
        <v>233</v>
      </c>
      <c r="E542" s="33">
        <v>63.700000762939453</v>
      </c>
      <c r="F542" s="33">
        <v>15.699999809265137</v>
      </c>
      <c r="G542" s="33">
        <v>18.100000381469727</v>
      </c>
      <c r="H542" s="33">
        <v>0</v>
      </c>
      <c r="I542" s="33">
        <v>1.7000000476837158</v>
      </c>
      <c r="J542" s="33">
        <v>15</v>
      </c>
      <c r="K542" s="33">
        <v>0.12999999523162842</v>
      </c>
      <c r="L542" s="33">
        <v>0.30000001192092896</v>
      </c>
      <c r="M542" s="33">
        <v>4.5999999046325684</v>
      </c>
      <c r="N542" s="33">
        <v>0.73000001907348633</v>
      </c>
      <c r="O542" s="33">
        <v>79.400001525878906</v>
      </c>
      <c r="P542" s="33">
        <v>13</v>
      </c>
      <c r="Q542" s="33">
        <v>2.7999999523162842</v>
      </c>
      <c r="R542" s="34" t="s">
        <v>739</v>
      </c>
      <c r="S542" s="33">
        <v>0</v>
      </c>
      <c r="T542" s="35">
        <v>158</v>
      </c>
    </row>
    <row r="543" spans="1:20">
      <c r="A543" s="31">
        <v>541</v>
      </c>
      <c r="B543" s="33" t="s">
        <v>864</v>
      </c>
      <c r="C543" s="33">
        <v>93</v>
      </c>
      <c r="D543" s="33">
        <v>96</v>
      </c>
      <c r="E543" s="33">
        <v>78.800003051757813</v>
      </c>
      <c r="F543" s="33">
        <v>15.399999618530273</v>
      </c>
      <c r="G543" s="33">
        <v>3.2000000476837158</v>
      </c>
      <c r="H543" s="33">
        <v>0</v>
      </c>
      <c r="I543" s="33">
        <v>1.3999999761581421</v>
      </c>
      <c r="J543" s="33">
        <v>41</v>
      </c>
      <c r="K543" s="33">
        <v>0.31000000238418579</v>
      </c>
      <c r="L543" s="33">
        <v>1.1399999856948853</v>
      </c>
      <c r="M543" s="33">
        <v>8</v>
      </c>
      <c r="N543" s="33">
        <v>0.34000000357627869</v>
      </c>
      <c r="O543" s="33">
        <v>134.19999694824219</v>
      </c>
      <c r="P543" s="33">
        <v>12</v>
      </c>
      <c r="Q543" s="33">
        <v>6.0999999046325684</v>
      </c>
      <c r="R543" s="34" t="s">
        <v>739</v>
      </c>
      <c r="S543" s="33">
        <v>0</v>
      </c>
      <c r="T543" s="35">
        <v>354</v>
      </c>
    </row>
    <row r="544" spans="1:20">
      <c r="A544" s="31">
        <v>542</v>
      </c>
      <c r="B544" s="33" t="s">
        <v>865</v>
      </c>
      <c r="C544" s="33">
        <v>60</v>
      </c>
      <c r="D544" s="33">
        <v>266</v>
      </c>
      <c r="E544" s="33">
        <v>58.200000762939453</v>
      </c>
      <c r="F544" s="33">
        <v>22.600000381469727</v>
      </c>
      <c r="G544" s="33">
        <v>20</v>
      </c>
      <c r="H544" s="33">
        <v>0</v>
      </c>
      <c r="I544" s="33">
        <v>3</v>
      </c>
      <c r="J544" s="33">
        <v>5.000000074505806E-2</v>
      </c>
      <c r="K544" s="33">
        <v>0.10000000149011612</v>
      </c>
      <c r="L544" s="33">
        <v>1.5</v>
      </c>
      <c r="M544" s="33">
        <v>9.9999997764825821E-3</v>
      </c>
      <c r="N544" s="33">
        <v>101</v>
      </c>
      <c r="O544" s="33">
        <v>33</v>
      </c>
      <c r="P544" s="33">
        <v>1.1000000238418579</v>
      </c>
      <c r="Q544" s="33">
        <v>0</v>
      </c>
      <c r="R544" s="34" t="s">
        <v>739</v>
      </c>
      <c r="S544" s="33">
        <v>0</v>
      </c>
      <c r="T544" s="35">
        <v>192</v>
      </c>
    </row>
    <row r="545" spans="1:20">
      <c r="A545" s="31">
        <v>543</v>
      </c>
      <c r="B545" s="33" t="s">
        <v>865</v>
      </c>
      <c r="C545" s="33">
        <v>60</v>
      </c>
      <c r="D545" s="33">
        <v>266</v>
      </c>
      <c r="E545" s="33">
        <v>58.200000762939453</v>
      </c>
      <c r="F545" s="33">
        <v>22.600000381469727</v>
      </c>
      <c r="G545" s="33">
        <v>20</v>
      </c>
      <c r="H545" s="33">
        <v>0</v>
      </c>
      <c r="I545" s="33">
        <v>0</v>
      </c>
      <c r="J545" s="33">
        <v>3</v>
      </c>
      <c r="K545" s="33">
        <v>5.000000074505806E-2</v>
      </c>
      <c r="L545" s="33">
        <v>0.10000000149011612</v>
      </c>
      <c r="M545" s="33">
        <v>1.5</v>
      </c>
      <c r="N545" s="33">
        <v>9.9999997764825821E-3</v>
      </c>
      <c r="O545" s="33">
        <v>101</v>
      </c>
      <c r="P545" s="33">
        <v>33</v>
      </c>
      <c r="Q545" s="33">
        <v>1.1000000238418579</v>
      </c>
      <c r="R545" s="34" t="s">
        <v>739</v>
      </c>
      <c r="S545" s="33">
        <v>0</v>
      </c>
      <c r="T545" s="35">
        <v>192</v>
      </c>
    </row>
    <row r="546" spans="1:20">
      <c r="A546" s="31">
        <v>544</v>
      </c>
      <c r="B546" s="33" t="s">
        <v>866</v>
      </c>
      <c r="C546" s="33">
        <v>43</v>
      </c>
      <c r="D546" s="33">
        <v>260</v>
      </c>
      <c r="E546" s="33">
        <v>55.799999237060547</v>
      </c>
      <c r="F546" s="33">
        <v>23.600000381469727</v>
      </c>
      <c r="G546" s="33">
        <v>17</v>
      </c>
      <c r="H546" s="33">
        <v>0</v>
      </c>
      <c r="I546" s="33">
        <v>3.2000000476837158</v>
      </c>
      <c r="J546" s="33">
        <v>0</v>
      </c>
      <c r="K546" s="33">
        <v>0.12999999523162842</v>
      </c>
      <c r="L546" s="33">
        <v>3.9999999105930328E-2</v>
      </c>
      <c r="M546" s="33">
        <v>2.7999999523162842</v>
      </c>
      <c r="N546" s="33">
        <v>0</v>
      </c>
      <c r="O546" s="33">
        <v>363.20001220703125</v>
      </c>
      <c r="P546" s="33">
        <v>32</v>
      </c>
      <c r="Q546" s="33">
        <v>2.4000000953674316</v>
      </c>
      <c r="R546" s="34" t="s">
        <v>739</v>
      </c>
      <c r="S546" s="33">
        <v>0</v>
      </c>
      <c r="T546" s="35">
        <v>86</v>
      </c>
    </row>
    <row r="547" spans="1:20">
      <c r="A547" s="31">
        <v>545</v>
      </c>
      <c r="B547" s="33" t="s">
        <v>867</v>
      </c>
      <c r="C547" s="33">
        <v>100</v>
      </c>
      <c r="D547" s="33">
        <v>156</v>
      </c>
      <c r="E547" s="33">
        <v>62.400001525878906</v>
      </c>
      <c r="F547" s="33">
        <v>35.299999237060547</v>
      </c>
      <c r="G547" s="33">
        <v>1.3999999761581421</v>
      </c>
      <c r="H547" s="33">
        <v>0</v>
      </c>
      <c r="I547" s="33">
        <v>0.5</v>
      </c>
      <c r="J547" s="33">
        <v>0</v>
      </c>
      <c r="K547" s="33">
        <v>9.9999997764825821E-3</v>
      </c>
      <c r="L547" s="33">
        <v>9.0000003576278687E-2</v>
      </c>
      <c r="M547" s="33">
        <v>2.9000000953674316</v>
      </c>
      <c r="N547" s="33">
        <v>0.10000000149011612</v>
      </c>
      <c r="O547" s="33">
        <v>178</v>
      </c>
      <c r="P547" s="33">
        <v>15</v>
      </c>
      <c r="Q547" s="33">
        <v>2.2000000476837158</v>
      </c>
      <c r="R547" s="34" t="s">
        <v>739</v>
      </c>
      <c r="S547" s="33">
        <v>0</v>
      </c>
      <c r="T547" s="35">
        <v>79</v>
      </c>
    </row>
    <row r="548" spans="1:20">
      <c r="A548" s="31">
        <v>546</v>
      </c>
      <c r="B548" s="33" t="s">
        <v>868</v>
      </c>
      <c r="C548" s="33">
        <v>100</v>
      </c>
      <c r="D548" s="33">
        <v>499</v>
      </c>
      <c r="E548" s="33">
        <v>30.600000381469727</v>
      </c>
      <c r="F548" s="33">
        <v>11.800000190734863</v>
      </c>
      <c r="G548" s="33">
        <v>44.599998474121094</v>
      </c>
      <c r="H548" s="33">
        <v>0</v>
      </c>
      <c r="I548" s="33">
        <v>12.699999809265137</v>
      </c>
      <c r="J548" s="33">
        <v>0</v>
      </c>
      <c r="K548" s="33">
        <v>0.10000000149011612</v>
      </c>
      <c r="L548" s="33">
        <v>5.000000074505806E-2</v>
      </c>
      <c r="M548" s="33">
        <v>0</v>
      </c>
      <c r="N548" s="33">
        <v>0.15000000596046448</v>
      </c>
      <c r="O548" s="33">
        <v>72.400001525878906</v>
      </c>
      <c r="P548" s="33">
        <v>13</v>
      </c>
      <c r="Q548" s="33">
        <v>1.7000000476837158</v>
      </c>
      <c r="R548" s="34" t="s">
        <v>739</v>
      </c>
      <c r="S548" s="33">
        <v>0</v>
      </c>
      <c r="T548" s="35">
        <v>304</v>
      </c>
    </row>
    <row r="549" spans="1:20">
      <c r="A549" s="31">
        <v>547</v>
      </c>
      <c r="B549" s="33" t="s">
        <v>869</v>
      </c>
      <c r="C549" s="33">
        <v>100</v>
      </c>
      <c r="D549" s="33">
        <v>65</v>
      </c>
      <c r="E549" s="33">
        <v>85.400001525878906</v>
      </c>
      <c r="F549" s="33">
        <v>10</v>
      </c>
      <c r="G549" s="33">
        <v>2</v>
      </c>
      <c r="H549" s="33">
        <v>0</v>
      </c>
      <c r="I549" s="33">
        <v>1.7000000476837158</v>
      </c>
      <c r="J549" s="33">
        <v>6</v>
      </c>
      <c r="K549" s="33">
        <v>0.11999999731779099</v>
      </c>
      <c r="L549" s="33">
        <v>0.10999999940395355</v>
      </c>
      <c r="M549" s="33">
        <v>3.0999999046325684</v>
      </c>
      <c r="N549" s="33">
        <v>0.12999999523162842</v>
      </c>
      <c r="O549" s="33">
        <v>204.80000305175781</v>
      </c>
      <c r="P549" s="33">
        <v>7</v>
      </c>
      <c r="Q549" s="33">
        <v>2</v>
      </c>
      <c r="R549" s="34" t="s">
        <v>739</v>
      </c>
      <c r="S549" s="33">
        <v>0</v>
      </c>
      <c r="T549" s="35">
        <v>183</v>
      </c>
    </row>
    <row r="550" spans="1:20">
      <c r="A550" s="31">
        <v>548</v>
      </c>
      <c r="B550" s="33" t="s">
        <v>870</v>
      </c>
      <c r="C550" s="33">
        <v>72</v>
      </c>
      <c r="D550" s="33">
        <v>278</v>
      </c>
      <c r="E550" s="33">
        <v>58.099998474121094</v>
      </c>
      <c r="F550" s="33">
        <v>16.700000762939453</v>
      </c>
      <c r="G550" s="33">
        <v>23.100000381469727</v>
      </c>
      <c r="H550" s="33">
        <v>0</v>
      </c>
      <c r="I550" s="33">
        <v>0.69999998807907104</v>
      </c>
      <c r="J550" s="33">
        <v>5</v>
      </c>
      <c r="K550" s="33">
        <v>0.30000001192092896</v>
      </c>
      <c r="L550" s="33">
        <v>0.15999999642372131</v>
      </c>
      <c r="M550" s="33">
        <v>4.5</v>
      </c>
      <c r="N550" s="33">
        <v>0.10999999940395355</v>
      </c>
      <c r="O550" s="33">
        <v>62.599998474121094</v>
      </c>
      <c r="P550" s="33">
        <v>14</v>
      </c>
      <c r="Q550" s="33">
        <v>1.3999999761581421</v>
      </c>
      <c r="R550" s="34" t="s">
        <v>739</v>
      </c>
      <c r="S550" s="33">
        <v>0</v>
      </c>
      <c r="T550" s="35">
        <v>146</v>
      </c>
    </row>
    <row r="551" spans="1:20">
      <c r="A551" s="31">
        <v>549</v>
      </c>
      <c r="B551" s="33" t="s">
        <v>871</v>
      </c>
      <c r="C551" s="33">
        <v>97</v>
      </c>
      <c r="D551" s="33">
        <v>119</v>
      </c>
      <c r="E551" s="33">
        <v>76</v>
      </c>
      <c r="F551" s="33">
        <v>16.600000381469727</v>
      </c>
      <c r="G551" s="33">
        <v>5.3000001907348633</v>
      </c>
      <c r="H551" s="33">
        <v>0</v>
      </c>
      <c r="I551" s="33">
        <v>1.1000000238418579</v>
      </c>
      <c r="J551" s="33">
        <v>13</v>
      </c>
      <c r="K551" s="33">
        <v>0.18999999761581421</v>
      </c>
      <c r="L551" s="33">
        <v>0.47999998927116394</v>
      </c>
      <c r="M551" s="33">
        <v>6.8000001907348633</v>
      </c>
      <c r="N551" s="33">
        <v>0.74000000953674316</v>
      </c>
      <c r="O551" s="33">
        <v>71.199996948242188</v>
      </c>
      <c r="P551" s="33">
        <v>12</v>
      </c>
      <c r="Q551" s="33">
        <v>4.3000001907348633</v>
      </c>
      <c r="R551" s="34" t="s">
        <v>739</v>
      </c>
      <c r="S551" s="33">
        <v>0</v>
      </c>
      <c r="T551" s="35">
        <v>151</v>
      </c>
    </row>
    <row r="552" spans="1:20">
      <c r="A552" s="31">
        <v>550</v>
      </c>
      <c r="B552" s="33" t="s">
        <v>872</v>
      </c>
      <c r="C552" s="33">
        <v>100</v>
      </c>
      <c r="D552" s="33">
        <v>55</v>
      </c>
      <c r="E552" s="33">
        <v>85.800003051757813</v>
      </c>
      <c r="F552" s="33">
        <v>12.199999809265137</v>
      </c>
      <c r="G552" s="33">
        <v>0.30000001192092896</v>
      </c>
      <c r="H552" s="33">
        <v>0</v>
      </c>
      <c r="I552" s="33">
        <v>0.89999997615814209</v>
      </c>
      <c r="J552" s="33">
        <v>0</v>
      </c>
      <c r="K552" s="33">
        <v>2.9999999329447746E-2</v>
      </c>
      <c r="L552" s="33">
        <v>3.9999999105930328E-2</v>
      </c>
      <c r="M552" s="33">
        <v>0.30000001192092896</v>
      </c>
      <c r="N552" s="33">
        <v>0.20000000298023224</v>
      </c>
      <c r="O552" s="33">
        <v>56</v>
      </c>
      <c r="P552" s="33">
        <v>4</v>
      </c>
      <c r="Q552" s="33">
        <v>8.6999998092651367</v>
      </c>
      <c r="R552" s="34" t="s">
        <v>739</v>
      </c>
      <c r="S552" s="33">
        <v>0</v>
      </c>
      <c r="T552" s="35">
        <v>51</v>
      </c>
    </row>
    <row r="553" spans="1:20">
      <c r="A553" s="31">
        <v>551</v>
      </c>
      <c r="B553" s="33" t="s">
        <v>873</v>
      </c>
      <c r="C553" s="33">
        <v>67</v>
      </c>
      <c r="D553" s="33">
        <v>248</v>
      </c>
      <c r="E553" s="33">
        <v>55.5</v>
      </c>
      <c r="F553" s="33">
        <v>16.5</v>
      </c>
      <c r="G553" s="33">
        <v>16</v>
      </c>
      <c r="H553" s="33">
        <v>0</v>
      </c>
      <c r="I553" s="33">
        <v>9.3999996185302734</v>
      </c>
      <c r="J553" s="33">
        <v>0</v>
      </c>
      <c r="K553" s="33">
        <v>0.10000000149011612</v>
      </c>
      <c r="L553" s="33">
        <v>9.0000003576278687E-2</v>
      </c>
      <c r="M553" s="33">
        <v>6.5999999046325684</v>
      </c>
      <c r="N553" s="33">
        <v>0</v>
      </c>
      <c r="O553" s="33">
        <v>80</v>
      </c>
      <c r="P553" s="33">
        <v>19</v>
      </c>
      <c r="Q553" s="33">
        <v>1.5</v>
      </c>
      <c r="R553" s="34" t="s">
        <v>739</v>
      </c>
      <c r="S553" s="33">
        <v>0</v>
      </c>
      <c r="T553" s="35">
        <v>65</v>
      </c>
    </row>
    <row r="554" spans="1:20">
      <c r="A554" s="31">
        <v>552</v>
      </c>
      <c r="B554" s="33" t="s">
        <v>874</v>
      </c>
      <c r="C554" s="33">
        <v>72</v>
      </c>
      <c r="D554" s="33">
        <v>314</v>
      </c>
      <c r="E554" s="33">
        <v>49.5</v>
      </c>
      <c r="F554" s="33">
        <v>21.299999237060547</v>
      </c>
      <c r="G554" s="33">
        <v>24.5</v>
      </c>
      <c r="H554" s="33">
        <v>0</v>
      </c>
      <c r="I554" s="33">
        <v>2.0999999046325684</v>
      </c>
      <c r="J554" s="33">
        <v>0</v>
      </c>
      <c r="K554" s="33">
        <v>3.9999999105930328E-2</v>
      </c>
      <c r="L554" s="33">
        <v>9.0000003576278687E-2</v>
      </c>
      <c r="M554" s="33">
        <v>3.7999999523162842</v>
      </c>
      <c r="N554" s="33">
        <v>0</v>
      </c>
      <c r="O554" s="33">
        <v>753.9000244140625</v>
      </c>
      <c r="P554" s="33">
        <v>55</v>
      </c>
      <c r="Q554" s="33">
        <v>1.6000000238418579</v>
      </c>
      <c r="R554" s="34" t="s">
        <v>739</v>
      </c>
      <c r="S554" s="33">
        <v>0</v>
      </c>
      <c r="T554" s="35">
        <v>108</v>
      </c>
    </row>
    <row r="555" spans="1:20">
      <c r="A555" s="31">
        <v>553</v>
      </c>
      <c r="B555" s="33" t="s">
        <v>875</v>
      </c>
      <c r="C555" s="33">
        <v>58</v>
      </c>
      <c r="D555" s="33">
        <v>110</v>
      </c>
      <c r="E555" s="33">
        <v>75.099998474121094</v>
      </c>
      <c r="F555" s="33">
        <v>20.200000762939453</v>
      </c>
      <c r="G555" s="33">
        <v>3.0999999046325684</v>
      </c>
      <c r="H555" s="33">
        <v>0</v>
      </c>
      <c r="I555" s="33">
        <v>0.20000000298023224</v>
      </c>
      <c r="J555" s="33">
        <v>40</v>
      </c>
      <c r="K555" s="33">
        <v>3.9999999105930328E-2</v>
      </c>
      <c r="L555" s="33">
        <v>0.31999999284744263</v>
      </c>
      <c r="M555" s="33">
        <v>6.3000001907348633</v>
      </c>
      <c r="N555" s="33">
        <v>0.43999999761581421</v>
      </c>
      <c r="O555" s="33">
        <v>48.400001525878906</v>
      </c>
      <c r="P555" s="33">
        <v>48</v>
      </c>
      <c r="Q555" s="33">
        <v>2.2999999523162842</v>
      </c>
      <c r="R555" s="34" t="s">
        <v>876</v>
      </c>
      <c r="S555" s="33">
        <v>0</v>
      </c>
      <c r="T555" s="35">
        <v>157</v>
      </c>
    </row>
    <row r="556" spans="1:20">
      <c r="A556" s="31">
        <v>554</v>
      </c>
      <c r="B556" s="33" t="s">
        <v>877</v>
      </c>
      <c r="C556" s="33">
        <v>66</v>
      </c>
      <c r="D556" s="33">
        <v>215</v>
      </c>
      <c r="E556" s="33">
        <v>56.5</v>
      </c>
      <c r="F556" s="33">
        <v>29.600000381469727</v>
      </c>
      <c r="G556" s="33">
        <v>11</v>
      </c>
      <c r="H556" s="33">
        <v>0</v>
      </c>
      <c r="I556" s="33">
        <v>0</v>
      </c>
      <c r="J556" s="33">
        <v>32</v>
      </c>
      <c r="K556" s="33">
        <v>1.9999999552965164E-2</v>
      </c>
      <c r="L556" s="33">
        <v>0.17000000178813934</v>
      </c>
      <c r="M556" s="33">
        <v>9.1999998092651367</v>
      </c>
      <c r="N556" s="33">
        <v>0</v>
      </c>
      <c r="O556" s="33">
        <v>1000.7000122070313</v>
      </c>
      <c r="P556" s="33">
        <v>31</v>
      </c>
      <c r="Q556" s="33">
        <v>2.9000000953674316</v>
      </c>
      <c r="R556" s="34" t="s">
        <v>876</v>
      </c>
      <c r="S556" s="33">
        <v>0</v>
      </c>
      <c r="T556" s="35">
        <v>211</v>
      </c>
    </row>
    <row r="557" spans="1:20">
      <c r="A557" s="31">
        <v>555</v>
      </c>
      <c r="B557" s="33" t="s">
        <v>878</v>
      </c>
      <c r="C557" s="33">
        <v>100</v>
      </c>
      <c r="D557" s="33">
        <v>171</v>
      </c>
      <c r="E557" s="33">
        <v>66.800003051757813</v>
      </c>
      <c r="F557" s="33">
        <v>21.399999618530273</v>
      </c>
      <c r="G557" s="33">
        <v>8.5</v>
      </c>
      <c r="H557" s="33">
        <v>0</v>
      </c>
      <c r="I557" s="33">
        <v>2.2000000476837158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4" t="s">
        <v>876</v>
      </c>
      <c r="S557" s="33">
        <v>0</v>
      </c>
      <c r="T557" s="35">
        <v>125</v>
      </c>
    </row>
    <row r="558" spans="1:20">
      <c r="A558" s="31">
        <v>556</v>
      </c>
      <c r="B558" s="33" t="s">
        <v>879</v>
      </c>
      <c r="C558" s="33">
        <v>80</v>
      </c>
      <c r="D558" s="33">
        <v>436</v>
      </c>
      <c r="E558" s="33">
        <v>38.200000762939453</v>
      </c>
      <c r="F558" s="33">
        <v>16.600000381469727</v>
      </c>
      <c r="G558" s="33">
        <v>38.400001525878906</v>
      </c>
      <c r="H558" s="33">
        <v>0</v>
      </c>
      <c r="I558" s="33">
        <v>6</v>
      </c>
      <c r="J558" s="33">
        <v>36</v>
      </c>
      <c r="K558" s="33">
        <v>3.9999999105930328E-2</v>
      </c>
      <c r="L558" s="33">
        <v>0.31999999284744263</v>
      </c>
      <c r="M558" s="33">
        <v>4.5</v>
      </c>
      <c r="N558" s="33">
        <v>0.97000002861022949</v>
      </c>
      <c r="O558" s="33">
        <v>83</v>
      </c>
      <c r="P558" s="33">
        <v>35</v>
      </c>
      <c r="Q558" s="33">
        <v>2.4000000953674316</v>
      </c>
      <c r="R558" s="34" t="s">
        <v>876</v>
      </c>
      <c r="S558" s="33">
        <v>0</v>
      </c>
      <c r="T558" s="35">
        <v>91</v>
      </c>
    </row>
    <row r="559" spans="1:20">
      <c r="A559" s="31">
        <v>557</v>
      </c>
      <c r="B559" s="33" t="s">
        <v>880</v>
      </c>
      <c r="C559" s="33">
        <v>63</v>
      </c>
      <c r="D559" s="33">
        <v>245</v>
      </c>
      <c r="E559" s="33">
        <v>62.900001525878906</v>
      </c>
      <c r="F559" s="33">
        <v>17.899999618530273</v>
      </c>
      <c r="G559" s="33">
        <v>19.899999618530273</v>
      </c>
      <c r="H559" s="33">
        <v>0</v>
      </c>
      <c r="I559" s="33">
        <v>0</v>
      </c>
      <c r="J559" s="33">
        <v>42</v>
      </c>
      <c r="K559" s="33">
        <v>7.0000000298023224E-2</v>
      </c>
      <c r="L559" s="33">
        <v>0.23000000417232513</v>
      </c>
      <c r="M559" s="33">
        <v>4.9000000953674316</v>
      </c>
      <c r="N559" s="33">
        <v>0.2199999988079071</v>
      </c>
      <c r="O559" s="33">
        <v>58.799999237060547</v>
      </c>
      <c r="P559" s="33">
        <v>4</v>
      </c>
      <c r="Q559" s="33">
        <v>3.7999999523162842</v>
      </c>
      <c r="R559" s="34" t="s">
        <v>876</v>
      </c>
      <c r="S559" s="33">
        <v>0</v>
      </c>
      <c r="T559" s="35">
        <v>74</v>
      </c>
    </row>
    <row r="560" spans="1:20">
      <c r="A560" s="31">
        <v>558</v>
      </c>
      <c r="B560" s="33" t="s">
        <v>881</v>
      </c>
      <c r="C560" s="33">
        <v>100</v>
      </c>
      <c r="D560" s="33">
        <v>129</v>
      </c>
      <c r="E560" s="33">
        <v>70.699996948242188</v>
      </c>
      <c r="F560" s="33">
        <v>15.199999809265137</v>
      </c>
      <c r="G560" s="33">
        <v>3.4000000953674316</v>
      </c>
      <c r="H560" s="33">
        <v>0</v>
      </c>
      <c r="I560" s="33">
        <v>9.3000001907348633</v>
      </c>
      <c r="J560" s="33">
        <v>6100</v>
      </c>
      <c r="K560" s="33">
        <v>0.27000001072883606</v>
      </c>
      <c r="L560" s="33">
        <v>0.25</v>
      </c>
      <c r="M560" s="33">
        <v>0</v>
      </c>
      <c r="N560" s="33">
        <v>5.2899999618530273</v>
      </c>
      <c r="O560" s="33">
        <v>70.199996948242188</v>
      </c>
      <c r="P560" s="33">
        <v>2</v>
      </c>
      <c r="Q560" s="33">
        <v>7.8000001907348633</v>
      </c>
      <c r="R560" s="34" t="s">
        <v>876</v>
      </c>
      <c r="S560" s="33">
        <v>0</v>
      </c>
      <c r="T560" s="35">
        <v>285</v>
      </c>
    </row>
    <row r="561" spans="1:20">
      <c r="A561" s="31">
        <v>559</v>
      </c>
      <c r="B561" s="33" t="s">
        <v>882</v>
      </c>
      <c r="C561" s="33">
        <v>100</v>
      </c>
      <c r="D561" s="33">
        <v>100</v>
      </c>
      <c r="E561" s="33">
        <v>76.300003051757813</v>
      </c>
      <c r="F561" s="33">
        <v>19.600000381469727</v>
      </c>
      <c r="G561" s="33">
        <v>1.8999999761581421</v>
      </c>
      <c r="H561" s="33">
        <v>0</v>
      </c>
      <c r="I561" s="33">
        <v>1.1000000238418579</v>
      </c>
      <c r="J561" s="33">
        <v>51</v>
      </c>
      <c r="K561" s="33">
        <v>5.000000074505806E-2</v>
      </c>
      <c r="L561" s="33">
        <v>5.9999998658895493E-2</v>
      </c>
      <c r="M561" s="33">
        <v>0</v>
      </c>
      <c r="N561" s="33">
        <v>0</v>
      </c>
      <c r="O561" s="33">
        <v>58.200000762939453</v>
      </c>
      <c r="P561" s="33">
        <v>2</v>
      </c>
      <c r="Q561" s="33">
        <v>4.6999998092651367</v>
      </c>
      <c r="R561" s="34" t="s">
        <v>876</v>
      </c>
      <c r="S561" s="33">
        <v>0</v>
      </c>
      <c r="T561" s="35">
        <v>153</v>
      </c>
    </row>
    <row r="562" spans="1:20">
      <c r="A562" s="31">
        <v>560</v>
      </c>
      <c r="B562" s="33" t="s">
        <v>883</v>
      </c>
      <c r="C562" s="33">
        <v>42</v>
      </c>
      <c r="D562" s="33">
        <v>201</v>
      </c>
      <c r="E562" s="33">
        <v>66.599998474121094</v>
      </c>
      <c r="F562" s="33">
        <v>16.5</v>
      </c>
      <c r="G562" s="33">
        <v>14.199999809265137</v>
      </c>
      <c r="H562" s="33">
        <v>0</v>
      </c>
      <c r="I562" s="33">
        <v>1.7000000476837158</v>
      </c>
      <c r="J562" s="33">
        <v>53</v>
      </c>
      <c r="K562" s="33">
        <v>5.9999998658895493E-2</v>
      </c>
      <c r="L562" s="33">
        <v>0.20000000298023224</v>
      </c>
      <c r="M562" s="33">
        <v>6.9000000953674316</v>
      </c>
      <c r="N562" s="33">
        <v>0.99000000953674316</v>
      </c>
      <c r="O562" s="33">
        <v>63.599998474121094</v>
      </c>
      <c r="P562" s="33">
        <v>30</v>
      </c>
      <c r="Q562" s="33">
        <v>3.7999999523162842</v>
      </c>
      <c r="R562" s="34" t="s">
        <v>876</v>
      </c>
      <c r="S562" s="33">
        <v>0</v>
      </c>
      <c r="T562" s="35">
        <v>99</v>
      </c>
    </row>
    <row r="563" spans="1:20">
      <c r="A563" s="31">
        <v>561</v>
      </c>
      <c r="B563" s="33" t="s">
        <v>884</v>
      </c>
      <c r="C563" s="33">
        <v>100</v>
      </c>
      <c r="D563" s="33">
        <v>143</v>
      </c>
      <c r="E563" s="33">
        <v>69.900001525878906</v>
      </c>
      <c r="F563" s="33">
        <v>20</v>
      </c>
      <c r="G563" s="33">
        <v>5.5999999046325684</v>
      </c>
      <c r="H563" s="33">
        <v>0</v>
      </c>
      <c r="I563" s="33">
        <v>3.0999999046325684</v>
      </c>
      <c r="J563" s="33">
        <v>0</v>
      </c>
      <c r="K563" s="33">
        <v>5.9999998658895493E-2</v>
      </c>
      <c r="L563" s="33">
        <v>1.2100000381469727</v>
      </c>
      <c r="M563" s="33">
        <v>43</v>
      </c>
      <c r="N563" s="33">
        <v>1.1299999952316284</v>
      </c>
      <c r="O563" s="33">
        <v>128.60000610351563</v>
      </c>
      <c r="P563" s="33">
        <v>3</v>
      </c>
      <c r="Q563" s="33">
        <v>20.700000762939453</v>
      </c>
      <c r="R563" s="34" t="s">
        <v>876</v>
      </c>
      <c r="S563" s="33">
        <v>0</v>
      </c>
      <c r="T563" s="35">
        <v>294</v>
      </c>
    </row>
    <row r="564" spans="1:20">
      <c r="A564" s="31">
        <v>562</v>
      </c>
      <c r="B564" s="33" t="s">
        <v>885</v>
      </c>
      <c r="C564" s="33">
        <v>100</v>
      </c>
      <c r="D564" s="33">
        <v>90</v>
      </c>
      <c r="E564" s="33">
        <v>77.800003051757813</v>
      </c>
      <c r="F564" s="33">
        <v>20.100000381469727</v>
      </c>
      <c r="G564" s="33">
        <v>1.2000000476837158</v>
      </c>
      <c r="H564" s="33">
        <v>0</v>
      </c>
      <c r="I564" s="33">
        <v>0</v>
      </c>
      <c r="J564" s="33">
        <v>0</v>
      </c>
      <c r="K564" s="33">
        <v>7.0000000298023224E-2</v>
      </c>
      <c r="L564" s="33">
        <v>5.9999998658895493E-2</v>
      </c>
      <c r="M564" s="33">
        <v>8.3000001907348633</v>
      </c>
      <c r="N564" s="33">
        <v>7.0000000298023224E-2</v>
      </c>
      <c r="O564" s="33">
        <v>168.39999389648438</v>
      </c>
      <c r="P564" s="33">
        <v>12</v>
      </c>
      <c r="Q564" s="33">
        <v>5.1999998092651367</v>
      </c>
      <c r="R564" s="34" t="s">
        <v>876</v>
      </c>
      <c r="S564" s="33">
        <v>0</v>
      </c>
      <c r="T564" s="35">
        <v>58</v>
      </c>
    </row>
    <row r="565" spans="1:20">
      <c r="A565" s="31">
        <v>563</v>
      </c>
      <c r="B565" s="33" t="s">
        <v>886</v>
      </c>
      <c r="C565" s="33">
        <v>100</v>
      </c>
      <c r="D565" s="33">
        <v>103</v>
      </c>
      <c r="E565" s="33">
        <v>73.599998474121094</v>
      </c>
      <c r="F565" s="33">
        <v>22.399999618530273</v>
      </c>
      <c r="G565" s="33">
        <v>0.20000000298023224</v>
      </c>
      <c r="H565" s="33">
        <v>0</v>
      </c>
      <c r="I565" s="33">
        <v>2.7999999523162842</v>
      </c>
      <c r="J565" s="33">
        <v>0</v>
      </c>
      <c r="K565" s="33">
        <v>3.9999999105930328E-2</v>
      </c>
      <c r="L565" s="33">
        <v>2.9999999329447746E-2</v>
      </c>
      <c r="M565" s="33">
        <v>16.200000762939453</v>
      </c>
      <c r="N565" s="33">
        <v>0.34999999403953552</v>
      </c>
      <c r="O565" s="33">
        <v>93.699996948242188</v>
      </c>
      <c r="P565" s="33">
        <v>39</v>
      </c>
      <c r="Q565" s="33">
        <v>1.1000000238418579</v>
      </c>
      <c r="R565" s="34" t="s">
        <v>876</v>
      </c>
      <c r="S565" s="33">
        <v>0</v>
      </c>
      <c r="T565" s="35">
        <v>49</v>
      </c>
    </row>
    <row r="566" spans="1:20">
      <c r="A566" s="31">
        <v>564</v>
      </c>
      <c r="B566" s="33" t="s">
        <v>887</v>
      </c>
      <c r="C566" s="33">
        <v>100</v>
      </c>
      <c r="D566" s="33">
        <v>91</v>
      </c>
      <c r="E566" s="33">
        <v>76.5</v>
      </c>
      <c r="F566" s="33">
        <v>18.899999618530273</v>
      </c>
      <c r="G566" s="33">
        <v>0.30000001192092896</v>
      </c>
      <c r="H566" s="33">
        <v>0</v>
      </c>
      <c r="I566" s="33">
        <v>3.0999999046325684</v>
      </c>
      <c r="J566" s="33">
        <v>0</v>
      </c>
      <c r="K566" s="33">
        <v>1.9999999552965164E-2</v>
      </c>
      <c r="L566" s="33">
        <v>7.9999998211860657E-2</v>
      </c>
      <c r="M566" s="33">
        <v>7.8000001907348633</v>
      </c>
      <c r="N566" s="33">
        <v>0.33000001311302185</v>
      </c>
      <c r="O566" s="33">
        <v>57</v>
      </c>
      <c r="P566" s="33">
        <v>44</v>
      </c>
      <c r="Q566" s="33">
        <v>3.7000000476837158</v>
      </c>
      <c r="R566" s="34" t="s">
        <v>876</v>
      </c>
      <c r="S566" s="33">
        <v>0</v>
      </c>
      <c r="T566" s="35">
        <v>342</v>
      </c>
    </row>
    <row r="567" spans="1:20">
      <c r="A567" s="31">
        <v>565</v>
      </c>
      <c r="B567" s="33" t="s">
        <v>888</v>
      </c>
      <c r="C567" s="33">
        <v>66</v>
      </c>
      <c r="D567" s="33">
        <v>167</v>
      </c>
      <c r="E567" s="33">
        <v>69</v>
      </c>
      <c r="F567" s="33">
        <v>19.299999237060547</v>
      </c>
      <c r="G567" s="33">
        <v>9.3999996185302734</v>
      </c>
      <c r="H567" s="33">
        <v>0</v>
      </c>
      <c r="I567" s="33">
        <v>1.2999999523162842</v>
      </c>
      <c r="J567" s="33">
        <v>48</v>
      </c>
      <c r="K567" s="33">
        <v>5.000000074505806E-2</v>
      </c>
      <c r="L567" s="33">
        <v>9.0000003576278687E-2</v>
      </c>
      <c r="M567" s="33">
        <v>5.5999999046325684</v>
      </c>
      <c r="N567" s="33">
        <v>0.67000001668930054</v>
      </c>
      <c r="O567" s="33">
        <v>63.299999237060547</v>
      </c>
      <c r="P567" s="33">
        <v>9</v>
      </c>
      <c r="Q567" s="33">
        <v>1.3999999761581421</v>
      </c>
      <c r="R567" s="34" t="s">
        <v>876</v>
      </c>
      <c r="S567" s="33">
        <v>0</v>
      </c>
      <c r="T567" s="35">
        <v>106</v>
      </c>
    </row>
    <row r="568" spans="1:20">
      <c r="A568" s="31">
        <v>566</v>
      </c>
      <c r="B568" s="33" t="s">
        <v>889</v>
      </c>
      <c r="C568" s="33">
        <v>66</v>
      </c>
      <c r="D568" s="33">
        <v>256</v>
      </c>
      <c r="E568" s="33">
        <v>56</v>
      </c>
      <c r="F568" s="33">
        <v>20.299999237060547</v>
      </c>
      <c r="G568" s="33">
        <v>16.799999237060547</v>
      </c>
      <c r="H568" s="33">
        <v>0</v>
      </c>
      <c r="I568" s="33">
        <v>5.8000001907348633</v>
      </c>
      <c r="J568" s="33">
        <v>139</v>
      </c>
      <c r="K568" s="33">
        <v>5.000000074505806E-2</v>
      </c>
      <c r="L568" s="33">
        <v>9.0000003576278687E-2</v>
      </c>
      <c r="M568" s="33">
        <v>5.5999999046325684</v>
      </c>
      <c r="N568" s="33">
        <v>0.67000001668930054</v>
      </c>
      <c r="O568" s="33">
        <v>63.299999237060547</v>
      </c>
      <c r="P568" s="33">
        <v>9</v>
      </c>
      <c r="Q568" s="33">
        <v>1.3999999761581421</v>
      </c>
      <c r="R568" s="34" t="s">
        <v>876</v>
      </c>
      <c r="S568" s="33">
        <v>0</v>
      </c>
      <c r="T568" s="35">
        <v>106</v>
      </c>
    </row>
    <row r="569" spans="1:20">
      <c r="A569" s="31">
        <v>567</v>
      </c>
      <c r="B569" s="33" t="s">
        <v>890</v>
      </c>
      <c r="C569" s="33">
        <v>74</v>
      </c>
      <c r="D569" s="33">
        <v>389</v>
      </c>
      <c r="E569" s="33">
        <v>46.099998474121094</v>
      </c>
      <c r="F569" s="33">
        <v>16.700000762939453</v>
      </c>
      <c r="G569" s="33">
        <v>35.400001525878906</v>
      </c>
      <c r="H569" s="33">
        <v>0</v>
      </c>
      <c r="I569" s="33">
        <v>0.89999997615814209</v>
      </c>
      <c r="J569" s="33">
        <v>226</v>
      </c>
      <c r="K569" s="33">
        <v>7.0000000298023224E-2</v>
      </c>
      <c r="L569" s="33">
        <v>7.0000000298023224E-2</v>
      </c>
      <c r="M569" s="33">
        <v>13.100000381469727</v>
      </c>
      <c r="N569" s="33">
        <v>0</v>
      </c>
      <c r="O569" s="33">
        <v>47.799999237060547</v>
      </c>
      <c r="P569" s="33">
        <v>37</v>
      </c>
      <c r="Q569" s="33">
        <v>1.7000000476837158</v>
      </c>
      <c r="R569" s="34" t="s">
        <v>876</v>
      </c>
      <c r="S569" s="33">
        <v>0</v>
      </c>
      <c r="T569" s="35">
        <v>106</v>
      </c>
    </row>
    <row r="570" spans="1:20">
      <c r="A570" s="31">
        <v>568</v>
      </c>
      <c r="B570" s="33" t="s">
        <v>891</v>
      </c>
      <c r="C570" s="33">
        <v>41</v>
      </c>
      <c r="D570" s="33">
        <v>147</v>
      </c>
      <c r="E570" s="33">
        <v>70.5</v>
      </c>
      <c r="F570" s="33">
        <v>20</v>
      </c>
      <c r="G570" s="33">
        <v>6.6999998092651367</v>
      </c>
      <c r="H570" s="33">
        <v>0</v>
      </c>
      <c r="I570" s="33">
        <v>1.6000000238418579</v>
      </c>
      <c r="J570" s="33">
        <v>1</v>
      </c>
      <c r="K570" s="33">
        <v>0.36000001430511475</v>
      </c>
      <c r="L570" s="33">
        <v>3.9999999105930328E-2</v>
      </c>
      <c r="M570" s="33">
        <v>5.4000000953674316</v>
      </c>
      <c r="N570" s="33">
        <v>0</v>
      </c>
      <c r="O570" s="33">
        <v>81.900001525878906</v>
      </c>
      <c r="P570" s="33">
        <v>0</v>
      </c>
      <c r="Q570" s="33">
        <v>24.799999237060547</v>
      </c>
      <c r="R570" s="34" t="s">
        <v>876</v>
      </c>
      <c r="S570" s="33">
        <v>0</v>
      </c>
      <c r="T570" s="35">
        <v>106</v>
      </c>
    </row>
    <row r="571" spans="1:20">
      <c r="A571" s="31">
        <v>569</v>
      </c>
      <c r="B571" s="33" t="s">
        <v>892</v>
      </c>
      <c r="C571" s="33">
        <v>58</v>
      </c>
      <c r="D571" s="33">
        <v>124</v>
      </c>
      <c r="E571" s="33">
        <v>73.5</v>
      </c>
      <c r="F571" s="33">
        <v>21.600000381469727</v>
      </c>
      <c r="G571" s="33">
        <v>4.5</v>
      </c>
      <c r="H571" s="33">
        <v>0</v>
      </c>
      <c r="I571" s="33">
        <v>0</v>
      </c>
      <c r="J571" s="33">
        <v>64</v>
      </c>
      <c r="K571" s="33">
        <v>9.0000003576278687E-2</v>
      </c>
      <c r="L571" s="33">
        <v>7.9999998211860657E-2</v>
      </c>
      <c r="M571" s="33">
        <v>15.699999809265137</v>
      </c>
      <c r="N571" s="33">
        <v>2.0199999809265137</v>
      </c>
      <c r="O571" s="33">
        <v>74.099998474121094</v>
      </c>
      <c r="P571" s="33">
        <v>9</v>
      </c>
      <c r="Q571" s="33">
        <v>2.0999999046325684</v>
      </c>
      <c r="R571" s="34" t="s">
        <v>876</v>
      </c>
      <c r="S571" s="33">
        <v>0</v>
      </c>
      <c r="T571" s="35">
        <v>106</v>
      </c>
    </row>
    <row r="572" spans="1:20">
      <c r="A572" s="31">
        <v>570</v>
      </c>
      <c r="B572" s="33" t="s">
        <v>893</v>
      </c>
      <c r="C572" s="33">
        <v>48</v>
      </c>
      <c r="D572" s="33">
        <v>111</v>
      </c>
      <c r="E572" s="33">
        <v>73.900001525878906</v>
      </c>
      <c r="F572" s="33">
        <v>22.299999237060547</v>
      </c>
      <c r="G572" s="33">
        <v>2.2999999523162842</v>
      </c>
      <c r="H572" s="33">
        <v>0</v>
      </c>
      <c r="I572" s="33">
        <v>0.30000001192092896</v>
      </c>
      <c r="J572" s="33">
        <v>0</v>
      </c>
      <c r="K572" s="33">
        <v>1.9999999552965164E-2</v>
      </c>
      <c r="L572" s="33">
        <v>0.20000000298023224</v>
      </c>
      <c r="M572" s="33">
        <v>7.0999999046325684</v>
      </c>
      <c r="N572" s="33">
        <v>1.7699999809265137</v>
      </c>
      <c r="O572" s="33">
        <v>64</v>
      </c>
      <c r="P572" s="33">
        <v>17</v>
      </c>
      <c r="Q572" s="33">
        <v>2.2999999523162842</v>
      </c>
      <c r="R572" s="34" t="s">
        <v>876</v>
      </c>
      <c r="S572" s="33">
        <v>0</v>
      </c>
      <c r="T572" s="35">
        <v>106</v>
      </c>
    </row>
    <row r="573" spans="1:20">
      <c r="A573" s="31">
        <v>571</v>
      </c>
      <c r="B573" s="33" t="s">
        <v>894</v>
      </c>
      <c r="C573" s="33">
        <v>80</v>
      </c>
      <c r="D573" s="33">
        <v>266</v>
      </c>
      <c r="E573" s="33">
        <v>53.599998474121094</v>
      </c>
      <c r="F573" s="33">
        <v>18.899999618530273</v>
      </c>
      <c r="G573" s="33">
        <v>18.399999618530273</v>
      </c>
      <c r="H573" s="33">
        <v>0</v>
      </c>
      <c r="I573" s="33">
        <v>6.3000001907348633</v>
      </c>
      <c r="J573" s="33">
        <v>11</v>
      </c>
      <c r="K573" s="33">
        <v>5.9999998658895493E-2</v>
      </c>
      <c r="L573" s="33">
        <v>0.2199999988079071</v>
      </c>
      <c r="M573" s="33">
        <v>3.7000000476837158</v>
      </c>
      <c r="N573" s="33">
        <v>0</v>
      </c>
      <c r="O573" s="33">
        <v>981.29998779296875</v>
      </c>
      <c r="P573" s="33">
        <v>14</v>
      </c>
      <c r="Q573" s="33">
        <v>4.0999999046325684</v>
      </c>
      <c r="R573" s="34" t="s">
        <v>876</v>
      </c>
      <c r="S573" s="33">
        <v>0</v>
      </c>
      <c r="T573" s="35">
        <v>107</v>
      </c>
    </row>
    <row r="574" spans="1:20">
      <c r="A574" s="31">
        <v>572</v>
      </c>
      <c r="B574" s="33" t="s">
        <v>895</v>
      </c>
      <c r="C574" s="33">
        <v>69</v>
      </c>
      <c r="D574" s="33">
        <v>194</v>
      </c>
      <c r="E574" s="33">
        <v>65.400001525878906</v>
      </c>
      <c r="F574" s="33">
        <v>17.399999618530273</v>
      </c>
      <c r="G574" s="33">
        <v>11.800000190734863</v>
      </c>
      <c r="H574" s="33">
        <v>0</v>
      </c>
      <c r="I574" s="33">
        <v>4.5999999046325684</v>
      </c>
      <c r="J574" s="33">
        <v>68</v>
      </c>
      <c r="K574" s="33">
        <v>9.9999997764825821E-3</v>
      </c>
      <c r="L574" s="33">
        <v>0.10999999940395355</v>
      </c>
      <c r="M574" s="33">
        <v>5.3000001907348633</v>
      </c>
      <c r="N574" s="33">
        <v>0.25</v>
      </c>
      <c r="O574" s="33">
        <v>50.799999237060547</v>
      </c>
      <c r="P574" s="33">
        <v>8</v>
      </c>
      <c r="Q574" s="33">
        <v>1.2999999523162842</v>
      </c>
      <c r="R574" s="34" t="s">
        <v>876</v>
      </c>
      <c r="S574" s="33">
        <v>0</v>
      </c>
      <c r="T574" s="35">
        <v>113</v>
      </c>
    </row>
    <row r="575" spans="1:20">
      <c r="A575" s="31">
        <v>573</v>
      </c>
      <c r="B575" s="33" t="s">
        <v>896</v>
      </c>
      <c r="C575" s="33">
        <v>100</v>
      </c>
      <c r="D575" s="33">
        <v>121</v>
      </c>
      <c r="E575" s="33">
        <v>74.400001525878906</v>
      </c>
      <c r="F575" s="33">
        <v>16.600000381469727</v>
      </c>
      <c r="G575" s="33">
        <v>4.8000001907348633</v>
      </c>
      <c r="H575" s="33">
        <v>0</v>
      </c>
      <c r="I575" s="33">
        <v>2.7999999523162842</v>
      </c>
      <c r="J575" s="33">
        <v>10414</v>
      </c>
      <c r="K575" s="33">
        <v>0.33000001311302185</v>
      </c>
      <c r="L575" s="33">
        <v>1.1000000238418579</v>
      </c>
      <c r="M575" s="33">
        <v>11.899999618530273</v>
      </c>
      <c r="N575" s="33">
        <v>1.8799999952316284</v>
      </c>
      <c r="O575" s="33">
        <v>92</v>
      </c>
      <c r="P575" s="33">
        <v>7</v>
      </c>
      <c r="Q575" s="33">
        <v>12</v>
      </c>
      <c r="R575" s="34" t="s">
        <v>876</v>
      </c>
      <c r="S575" s="33">
        <v>0</v>
      </c>
      <c r="T575" s="35">
        <v>356</v>
      </c>
    </row>
    <row r="576" spans="1:20">
      <c r="A576" s="31">
        <v>574</v>
      </c>
      <c r="B576" s="33" t="s">
        <v>897</v>
      </c>
      <c r="C576" s="33">
        <v>100</v>
      </c>
      <c r="D576" s="33">
        <v>121</v>
      </c>
      <c r="E576" s="33">
        <v>74</v>
      </c>
      <c r="F576" s="33">
        <v>16.700000762939453</v>
      </c>
      <c r="G576" s="33">
        <v>4.5</v>
      </c>
      <c r="H576" s="33">
        <v>0</v>
      </c>
      <c r="I576" s="33">
        <v>3.5</v>
      </c>
      <c r="J576" s="33">
        <v>2867</v>
      </c>
      <c r="K576" s="33">
        <v>0.31999999284744263</v>
      </c>
      <c r="L576" s="33">
        <v>0.57999998331069946</v>
      </c>
      <c r="M576" s="33">
        <v>0</v>
      </c>
      <c r="N576" s="33">
        <v>0.75</v>
      </c>
      <c r="O576" s="33">
        <v>98.199996948242188</v>
      </c>
      <c r="P576" s="33">
        <v>4</v>
      </c>
      <c r="Q576" s="33">
        <v>9.6000003814697266</v>
      </c>
      <c r="R576" s="34" t="s">
        <v>876</v>
      </c>
      <c r="S576" s="33">
        <v>0</v>
      </c>
      <c r="T576" s="35">
        <v>476</v>
      </c>
    </row>
    <row r="577" spans="1:20">
      <c r="A577" s="31">
        <v>575</v>
      </c>
      <c r="B577" s="33" t="s">
        <v>898</v>
      </c>
      <c r="C577" s="33">
        <v>100</v>
      </c>
      <c r="D577" s="33">
        <v>118</v>
      </c>
      <c r="E577" s="33">
        <v>74</v>
      </c>
      <c r="F577" s="33">
        <v>17.100000381469727</v>
      </c>
      <c r="G577" s="33">
        <v>3.5999999046325684</v>
      </c>
      <c r="H577" s="33">
        <v>0</v>
      </c>
      <c r="I577" s="33">
        <v>4.1999998092651367</v>
      </c>
      <c r="J577" s="33">
        <v>0</v>
      </c>
      <c r="K577" s="33">
        <v>0</v>
      </c>
      <c r="L577" s="33">
        <v>0</v>
      </c>
      <c r="M577" s="33">
        <v>0</v>
      </c>
      <c r="N577" s="33">
        <v>0</v>
      </c>
      <c r="O577" s="33">
        <v>0</v>
      </c>
      <c r="P577" s="33">
        <v>0</v>
      </c>
      <c r="Q577" s="33">
        <v>0</v>
      </c>
      <c r="R577" s="34" t="s">
        <v>876</v>
      </c>
      <c r="S577" s="33">
        <v>0</v>
      </c>
      <c r="T577" s="35">
        <v>385</v>
      </c>
    </row>
    <row r="578" spans="1:20">
      <c r="A578" s="31">
        <v>576</v>
      </c>
      <c r="B578" s="33" t="s">
        <v>899</v>
      </c>
      <c r="C578" s="33">
        <v>100</v>
      </c>
      <c r="D578" s="33">
        <v>440</v>
      </c>
      <c r="E578" s="33">
        <v>4.9000000953674316</v>
      </c>
      <c r="F578" s="33">
        <v>7.1999998092651367</v>
      </c>
      <c r="G578" s="33">
        <v>16.399999618530273</v>
      </c>
      <c r="H578" s="33">
        <v>0</v>
      </c>
      <c r="I578" s="33">
        <v>65.800003051757813</v>
      </c>
      <c r="J578" s="33">
        <v>90</v>
      </c>
      <c r="K578" s="33">
        <v>2.9999999329447746E-2</v>
      </c>
      <c r="L578" s="33">
        <v>0.10999999940395355</v>
      </c>
      <c r="M578" s="33">
        <v>1</v>
      </c>
      <c r="N578" s="33">
        <v>14.579999923706055</v>
      </c>
      <c r="O578" s="33">
        <v>1687.800048828125</v>
      </c>
      <c r="P578" s="33">
        <v>76</v>
      </c>
      <c r="Q578" s="33">
        <v>7.0999999046325684</v>
      </c>
      <c r="R578" s="34" t="s">
        <v>876</v>
      </c>
      <c r="S578" s="33">
        <v>0</v>
      </c>
      <c r="T578" s="35">
        <v>81</v>
      </c>
    </row>
    <row r="579" spans="1:20">
      <c r="A579" s="31">
        <v>577</v>
      </c>
      <c r="B579" s="33" t="s">
        <v>900</v>
      </c>
      <c r="C579" s="33">
        <v>69</v>
      </c>
      <c r="D579" s="33">
        <v>181</v>
      </c>
      <c r="E579" s="33">
        <v>70.199996948242188</v>
      </c>
      <c r="F579" s="33">
        <v>16.399999618530273</v>
      </c>
      <c r="G579" s="33">
        <v>13</v>
      </c>
      <c r="H579" s="33">
        <v>0</v>
      </c>
      <c r="I579" s="33">
        <v>0</v>
      </c>
      <c r="J579" s="33">
        <v>44</v>
      </c>
      <c r="K579" s="33">
        <v>1.9999999552965164E-2</v>
      </c>
      <c r="L579" s="33">
        <v>0.14000000059604645</v>
      </c>
      <c r="M579" s="33">
        <v>6</v>
      </c>
      <c r="N579" s="33">
        <v>2.9999999329447746E-2</v>
      </c>
      <c r="O579" s="33">
        <v>64.400001525878906</v>
      </c>
      <c r="P579" s="33">
        <v>6</v>
      </c>
      <c r="Q579" s="33">
        <v>1.5</v>
      </c>
      <c r="R579" s="34" t="s">
        <v>876</v>
      </c>
      <c r="S579" s="33">
        <v>0</v>
      </c>
      <c r="T579" s="35">
        <v>162</v>
      </c>
    </row>
    <row r="580" spans="1:20">
      <c r="A580" s="31">
        <v>578</v>
      </c>
      <c r="B580" s="33" t="s">
        <v>901</v>
      </c>
      <c r="C580" s="33">
        <v>100</v>
      </c>
      <c r="D580" s="33">
        <v>172</v>
      </c>
      <c r="E580" s="33">
        <v>70.800003051757813</v>
      </c>
      <c r="F580" s="33">
        <v>15.899999618530273</v>
      </c>
      <c r="G580" s="33">
        <v>11.800000190734863</v>
      </c>
      <c r="H580" s="33">
        <v>0</v>
      </c>
      <c r="I580" s="33">
        <v>0.60000002384185791</v>
      </c>
      <c r="J580" s="33">
        <v>910</v>
      </c>
      <c r="K580" s="33">
        <v>0.46000000834465027</v>
      </c>
      <c r="L580" s="33">
        <v>0.25999999046325684</v>
      </c>
      <c r="M580" s="33">
        <v>11.5</v>
      </c>
      <c r="N580" s="33">
        <v>0</v>
      </c>
      <c r="O580" s="33">
        <v>108.40000152587891</v>
      </c>
      <c r="P580" s="33">
        <v>54</v>
      </c>
      <c r="Q580" s="33">
        <v>4.6999998092651367</v>
      </c>
      <c r="R580" s="34" t="s">
        <v>876</v>
      </c>
      <c r="S580" s="33">
        <v>0</v>
      </c>
      <c r="T580" s="35">
        <v>194</v>
      </c>
    </row>
    <row r="581" spans="1:20">
      <c r="A581" s="31">
        <v>579</v>
      </c>
      <c r="B581" s="33" t="s">
        <v>902</v>
      </c>
      <c r="C581" s="33">
        <v>100</v>
      </c>
      <c r="D581" s="33">
        <v>133</v>
      </c>
      <c r="E581" s="33">
        <v>72</v>
      </c>
      <c r="F581" s="33">
        <v>19.399999618530273</v>
      </c>
      <c r="G581" s="33">
        <v>5</v>
      </c>
      <c r="H581" s="33">
        <v>0</v>
      </c>
      <c r="I581" s="33">
        <v>2.5</v>
      </c>
      <c r="J581" s="33">
        <v>16</v>
      </c>
      <c r="K581" s="33">
        <v>7.0000000298023224E-2</v>
      </c>
      <c r="L581" s="33">
        <v>0.12999999523162842</v>
      </c>
      <c r="M581" s="33">
        <v>10.800000190734863</v>
      </c>
      <c r="N581" s="33">
        <v>0.2199999988079071</v>
      </c>
      <c r="O581" s="33">
        <v>34.400001525878906</v>
      </c>
      <c r="P581" s="33">
        <v>3</v>
      </c>
      <c r="Q581" s="33">
        <v>0.60000002384185791</v>
      </c>
      <c r="R581" s="34" t="s">
        <v>876</v>
      </c>
      <c r="S581" s="33">
        <v>0</v>
      </c>
      <c r="T581" s="35">
        <v>82</v>
      </c>
    </row>
    <row r="582" spans="1:20">
      <c r="A582" s="31">
        <v>580</v>
      </c>
      <c r="B582" s="33" t="s">
        <v>903</v>
      </c>
      <c r="C582" s="33">
        <v>100</v>
      </c>
      <c r="D582" s="33">
        <v>49</v>
      </c>
      <c r="E582" s="33">
        <v>87</v>
      </c>
      <c r="F582" s="33">
        <v>7.8000001907348633</v>
      </c>
      <c r="G582" s="33">
        <v>0.20000000298023224</v>
      </c>
      <c r="H582" s="33">
        <v>0</v>
      </c>
      <c r="I582" s="33">
        <v>4.0999999046325684</v>
      </c>
      <c r="J582" s="33">
        <v>56</v>
      </c>
      <c r="K582" s="33">
        <v>5.000000074505806E-2</v>
      </c>
      <c r="L582" s="33">
        <v>3.9999999105930328E-2</v>
      </c>
      <c r="M582" s="33">
        <v>0.10000000149011612</v>
      </c>
      <c r="N582" s="33">
        <v>0.20999999344348907</v>
      </c>
      <c r="O582" s="33">
        <v>208</v>
      </c>
      <c r="P582" s="33">
        <v>10</v>
      </c>
      <c r="Q582" s="33">
        <v>25</v>
      </c>
      <c r="R582" s="34" t="s">
        <v>876</v>
      </c>
      <c r="S582" s="33">
        <v>0</v>
      </c>
      <c r="T582" s="35">
        <v>170</v>
      </c>
    </row>
    <row r="583" spans="1:20">
      <c r="A583" s="31">
        <v>581</v>
      </c>
      <c r="B583" s="33" t="s">
        <v>904</v>
      </c>
      <c r="C583" s="33">
        <v>60</v>
      </c>
      <c r="D583" s="33">
        <v>254</v>
      </c>
      <c r="E583" s="33">
        <v>56.400001525878906</v>
      </c>
      <c r="F583" s="33">
        <v>23.899999618530273</v>
      </c>
      <c r="G583" s="33">
        <v>16.399999618530273</v>
      </c>
      <c r="H583" s="33">
        <v>0</v>
      </c>
      <c r="I583" s="33">
        <v>2.7000000476837158</v>
      </c>
      <c r="J583" s="33">
        <v>37</v>
      </c>
      <c r="K583" s="33">
        <v>9.9999997764825821E-3</v>
      </c>
      <c r="L583" s="33">
        <v>0.12999999523162842</v>
      </c>
      <c r="M583" s="33">
        <v>2.4000000953674316</v>
      </c>
      <c r="N583" s="33">
        <v>0.31999999284744263</v>
      </c>
      <c r="O583" s="33">
        <v>169</v>
      </c>
      <c r="P583" s="33">
        <v>36</v>
      </c>
      <c r="Q583" s="33">
        <v>1.3999999761581421</v>
      </c>
      <c r="R583" s="34" t="s">
        <v>876</v>
      </c>
      <c r="S583" s="33">
        <v>0</v>
      </c>
      <c r="T583" s="35">
        <v>103</v>
      </c>
    </row>
    <row r="584" spans="1:20">
      <c r="A584" s="31">
        <v>582</v>
      </c>
      <c r="B584" s="33" t="s">
        <v>905</v>
      </c>
      <c r="C584" s="33">
        <v>100</v>
      </c>
      <c r="D584" s="33">
        <v>118</v>
      </c>
      <c r="E584" s="33">
        <v>73.099998474121094</v>
      </c>
      <c r="F584" s="33">
        <v>19.200000762939453</v>
      </c>
      <c r="G584" s="33">
        <v>2.7999999523162842</v>
      </c>
      <c r="H584" s="33">
        <v>0</v>
      </c>
      <c r="I584" s="33">
        <v>4</v>
      </c>
      <c r="J584" s="33">
        <v>36</v>
      </c>
      <c r="K584" s="33">
        <v>3.9999999105930328E-2</v>
      </c>
      <c r="L584" s="33">
        <v>9.0000003576278687E-2</v>
      </c>
      <c r="M584" s="33">
        <v>3.4000000953674316</v>
      </c>
      <c r="N584" s="33">
        <v>0.87000000476837158</v>
      </c>
      <c r="O584" s="33">
        <v>74.800003051757813</v>
      </c>
      <c r="P584" s="33">
        <v>7</v>
      </c>
      <c r="Q584" s="33">
        <v>4.4000000953674316</v>
      </c>
      <c r="R584" s="34" t="s">
        <v>876</v>
      </c>
      <c r="S584" s="33">
        <v>0</v>
      </c>
      <c r="T584" s="35">
        <v>174</v>
      </c>
    </row>
    <row r="585" spans="1:20">
      <c r="A585" s="31">
        <v>583</v>
      </c>
      <c r="B585" s="33" t="s">
        <v>906</v>
      </c>
      <c r="C585" s="33">
        <v>73</v>
      </c>
      <c r="D585" s="33">
        <v>240</v>
      </c>
      <c r="E585" s="33">
        <v>59</v>
      </c>
      <c r="F585" s="33">
        <v>22.399999618530273</v>
      </c>
      <c r="G585" s="33">
        <v>16.700000762939453</v>
      </c>
      <c r="H585" s="33">
        <v>0</v>
      </c>
      <c r="I585" s="33">
        <v>0.10000000149011612</v>
      </c>
      <c r="J585" s="33">
        <v>37</v>
      </c>
      <c r="K585" s="33">
        <v>5.000000074505806E-2</v>
      </c>
      <c r="L585" s="33">
        <v>0.18999999761581421</v>
      </c>
      <c r="M585" s="33">
        <v>3.5</v>
      </c>
      <c r="N585" s="33">
        <v>0.2199999988079071</v>
      </c>
      <c r="O585" s="33">
        <v>472.29998779296875</v>
      </c>
      <c r="P585" s="33">
        <v>25</v>
      </c>
      <c r="Q585" s="33">
        <v>1.7000000476837158</v>
      </c>
      <c r="R585" s="34" t="s">
        <v>876</v>
      </c>
      <c r="S585" s="33">
        <v>0</v>
      </c>
      <c r="T585" s="35">
        <v>99</v>
      </c>
    </row>
    <row r="586" spans="1:20">
      <c r="A586" s="31">
        <v>584</v>
      </c>
      <c r="B586" s="33" t="s">
        <v>907</v>
      </c>
      <c r="C586" s="33">
        <v>70</v>
      </c>
      <c r="D586" s="33">
        <v>212</v>
      </c>
      <c r="E586" s="33">
        <v>54.400001525878906</v>
      </c>
      <c r="F586" s="33">
        <v>29.399999618530273</v>
      </c>
      <c r="G586" s="33">
        <v>7.9000000953674316</v>
      </c>
      <c r="H586" s="33">
        <v>0</v>
      </c>
      <c r="I586" s="33">
        <v>5.8000001907348633</v>
      </c>
      <c r="J586" s="33">
        <v>76</v>
      </c>
      <c r="K586" s="33">
        <v>1.9999999552965164E-2</v>
      </c>
      <c r="L586" s="33">
        <v>0.34999999403953552</v>
      </c>
      <c r="M586" s="33">
        <v>0.20000000298023224</v>
      </c>
      <c r="N586" s="33">
        <v>0.89999997615814209</v>
      </c>
      <c r="O586" s="33">
        <v>221.69999694824219</v>
      </c>
      <c r="P586" s="33">
        <v>71</v>
      </c>
      <c r="Q586" s="33">
        <v>5.4000000953674316</v>
      </c>
      <c r="R586" s="34" t="s">
        <v>876</v>
      </c>
      <c r="S586" s="33">
        <v>0</v>
      </c>
      <c r="T586" s="35">
        <v>0</v>
      </c>
    </row>
    <row r="587" spans="1:20">
      <c r="A587" s="31">
        <v>585</v>
      </c>
      <c r="B587" s="33" t="s">
        <v>908</v>
      </c>
      <c r="C587" s="33">
        <v>100</v>
      </c>
      <c r="D587" s="33">
        <v>190</v>
      </c>
      <c r="E587" s="33">
        <v>63.299999237060547</v>
      </c>
      <c r="F587" s="33">
        <v>20.899999618530273</v>
      </c>
      <c r="G587" s="33">
        <v>9.5</v>
      </c>
      <c r="H587" s="33">
        <v>0</v>
      </c>
      <c r="I587" s="33">
        <v>5.1999998092651367</v>
      </c>
      <c r="J587" s="33">
        <v>63</v>
      </c>
      <c r="K587" s="33">
        <v>9.9999997764825821E-3</v>
      </c>
      <c r="L587" s="33">
        <v>0.20999999344348907</v>
      </c>
      <c r="M587" s="33">
        <v>0.5</v>
      </c>
      <c r="N587" s="33">
        <v>1.0800000429153442</v>
      </c>
      <c r="O587" s="33">
        <v>201.19999694824219</v>
      </c>
      <c r="P587" s="33">
        <v>16</v>
      </c>
      <c r="Q587" s="33">
        <v>1.8999999761581421</v>
      </c>
      <c r="R587" s="34" t="s">
        <v>876</v>
      </c>
      <c r="S587" s="33">
        <v>0</v>
      </c>
      <c r="T587" s="35">
        <v>0</v>
      </c>
    </row>
    <row r="588" spans="1:20">
      <c r="A588" s="31">
        <v>586</v>
      </c>
      <c r="B588" s="33" t="s">
        <v>909</v>
      </c>
      <c r="C588" s="33">
        <v>73</v>
      </c>
      <c r="D588" s="33">
        <v>289</v>
      </c>
      <c r="E588" s="33">
        <v>52.799999237060547</v>
      </c>
      <c r="F588" s="33">
        <v>19.700000762939453</v>
      </c>
      <c r="G588" s="33">
        <v>21.5</v>
      </c>
      <c r="H588" s="33">
        <v>0</v>
      </c>
      <c r="I588" s="33">
        <v>4.1999998092651367</v>
      </c>
      <c r="J588" s="33">
        <v>9</v>
      </c>
      <c r="K588" s="33">
        <v>9.0000003576278687E-2</v>
      </c>
      <c r="L588" s="33">
        <v>0.10999999940395355</v>
      </c>
      <c r="M588" s="33">
        <v>3.5999999046325684</v>
      </c>
      <c r="N588" s="33">
        <v>7.0000000298023224E-2</v>
      </c>
      <c r="O588" s="33">
        <v>240</v>
      </c>
      <c r="P588" s="33">
        <v>91</v>
      </c>
      <c r="Q588" s="33">
        <v>3.7999999523162842</v>
      </c>
      <c r="R588" s="34" t="s">
        <v>876</v>
      </c>
      <c r="S588" s="33">
        <v>0</v>
      </c>
      <c r="T588" s="35">
        <v>116</v>
      </c>
    </row>
    <row r="589" spans="1:20">
      <c r="A589" s="31">
        <v>587</v>
      </c>
      <c r="B589" s="33" t="s">
        <v>910</v>
      </c>
      <c r="C589" s="33">
        <v>100</v>
      </c>
      <c r="D589" s="33">
        <v>408</v>
      </c>
      <c r="E589" s="33">
        <v>0</v>
      </c>
      <c r="F589" s="33">
        <v>1.2999999523162842</v>
      </c>
      <c r="G589" s="33">
        <v>2.4000000953674316</v>
      </c>
      <c r="H589" s="33">
        <v>0</v>
      </c>
      <c r="I589" s="33">
        <v>95.199996948242188</v>
      </c>
      <c r="J589" s="33">
        <v>0</v>
      </c>
      <c r="K589" s="33">
        <v>9.9999997764825821E-3</v>
      </c>
      <c r="L589" s="33">
        <v>7.0000000298023224E-2</v>
      </c>
      <c r="M589" s="33">
        <v>0</v>
      </c>
      <c r="N589" s="33">
        <v>0.20999999344348907</v>
      </c>
      <c r="O589" s="33">
        <v>251.39999389648438</v>
      </c>
      <c r="P589" s="33">
        <v>2</v>
      </c>
      <c r="Q589" s="33">
        <v>0.30000001192092896</v>
      </c>
      <c r="R589" s="34" t="s">
        <v>876</v>
      </c>
      <c r="S589" s="33">
        <v>0</v>
      </c>
      <c r="T589" s="35">
        <v>24</v>
      </c>
    </row>
    <row r="590" spans="1:20">
      <c r="A590" s="31">
        <v>588</v>
      </c>
      <c r="B590" s="33" t="s">
        <v>911</v>
      </c>
      <c r="C590" s="33">
        <v>100</v>
      </c>
      <c r="D590" s="33">
        <v>136</v>
      </c>
      <c r="E590" s="33">
        <v>70.699996948242188</v>
      </c>
      <c r="F590" s="33">
        <v>21</v>
      </c>
      <c r="G590" s="33">
        <v>4.5999999046325684</v>
      </c>
      <c r="H590" s="33">
        <v>0</v>
      </c>
      <c r="I590" s="33">
        <v>2.5999999046325684</v>
      </c>
      <c r="J590" s="33">
        <v>0</v>
      </c>
      <c r="K590" s="33">
        <v>1.9999999552965164E-2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33">
        <v>0</v>
      </c>
      <c r="R590" s="34" t="s">
        <v>876</v>
      </c>
      <c r="S590" s="33">
        <v>0</v>
      </c>
      <c r="T590" s="35">
        <v>131</v>
      </c>
    </row>
    <row r="591" spans="1:20">
      <c r="A591" s="31">
        <v>589</v>
      </c>
      <c r="B591" s="33" t="s">
        <v>912</v>
      </c>
      <c r="C591" s="33">
        <v>100</v>
      </c>
      <c r="D591" s="33">
        <v>128</v>
      </c>
      <c r="E591" s="33">
        <v>71.300003051757813</v>
      </c>
      <c r="F591" s="33">
        <v>23.200000762939453</v>
      </c>
      <c r="G591" s="33">
        <v>3.5999999046325684</v>
      </c>
      <c r="H591" s="33">
        <v>0</v>
      </c>
      <c r="I591" s="33">
        <v>0.80000001192092896</v>
      </c>
      <c r="J591" s="33">
        <v>0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33">
        <v>0</v>
      </c>
      <c r="R591" s="34" t="s">
        <v>876</v>
      </c>
      <c r="S591" s="33">
        <v>0</v>
      </c>
      <c r="T591" s="35">
        <v>112</v>
      </c>
    </row>
    <row r="592" spans="1:20">
      <c r="A592" s="31">
        <v>590</v>
      </c>
      <c r="B592" s="33" t="s">
        <v>913</v>
      </c>
      <c r="C592" s="33">
        <v>68</v>
      </c>
      <c r="D592" s="33">
        <v>240</v>
      </c>
      <c r="E592" s="33">
        <v>63.900001525878906</v>
      </c>
      <c r="F592" s="33">
        <v>15.5</v>
      </c>
      <c r="G592" s="33">
        <v>19.700000762939453</v>
      </c>
      <c r="H592" s="33">
        <v>0</v>
      </c>
      <c r="I592" s="33">
        <v>0.20000000298023224</v>
      </c>
      <c r="J592" s="33">
        <v>52</v>
      </c>
      <c r="K592" s="33">
        <v>7.9999998211860657E-2</v>
      </c>
      <c r="L592" s="33">
        <v>0.2199999988079071</v>
      </c>
      <c r="M592" s="33">
        <v>4.1999998092651367</v>
      </c>
      <c r="N592" s="33">
        <v>0.27000001072883606</v>
      </c>
      <c r="O592" s="33">
        <v>69</v>
      </c>
      <c r="P592" s="33">
        <v>6</v>
      </c>
      <c r="Q592" s="33">
        <v>2.2000000476837158</v>
      </c>
      <c r="R592" s="34" t="s">
        <v>876</v>
      </c>
      <c r="S592" s="33">
        <v>0</v>
      </c>
      <c r="T592" s="35">
        <v>94</v>
      </c>
    </row>
    <row r="593" spans="1:20">
      <c r="A593" s="31">
        <v>591</v>
      </c>
      <c r="B593" s="33" t="s">
        <v>914</v>
      </c>
      <c r="C593" s="33">
        <v>75</v>
      </c>
      <c r="D593" s="33">
        <v>424</v>
      </c>
      <c r="E593" s="33">
        <v>45</v>
      </c>
      <c r="F593" s="33">
        <v>9.3000001907348633</v>
      </c>
      <c r="G593" s="33">
        <v>41.299999237060547</v>
      </c>
      <c r="H593" s="33">
        <v>0</v>
      </c>
      <c r="I593" s="33">
        <v>3.9000000953674316</v>
      </c>
      <c r="J593" s="33">
        <v>30</v>
      </c>
      <c r="K593" s="33">
        <v>0</v>
      </c>
      <c r="L593" s="33">
        <v>0</v>
      </c>
      <c r="M593" s="33">
        <v>4.1999998092651367</v>
      </c>
      <c r="N593" s="33">
        <v>0.52999997138977051</v>
      </c>
      <c r="O593" s="33">
        <v>45.5</v>
      </c>
      <c r="P593" s="33">
        <v>15</v>
      </c>
      <c r="Q593" s="33">
        <v>1.6000000238418579</v>
      </c>
      <c r="R593" s="34" t="s">
        <v>876</v>
      </c>
      <c r="S593" s="33">
        <v>0</v>
      </c>
      <c r="T593" s="35">
        <v>96</v>
      </c>
    </row>
    <row r="594" spans="1:20">
      <c r="A594" s="31">
        <v>592</v>
      </c>
      <c r="B594" s="33" t="s">
        <v>915</v>
      </c>
      <c r="C594" s="33">
        <v>63</v>
      </c>
      <c r="D594" s="33">
        <v>360</v>
      </c>
      <c r="E594" s="33">
        <v>47.900001525878906</v>
      </c>
      <c r="F594" s="33">
        <v>14.300000190734863</v>
      </c>
      <c r="G594" s="33">
        <v>30.899999618530273</v>
      </c>
      <c r="H594" s="33">
        <v>0</v>
      </c>
      <c r="I594" s="33">
        <v>6.0999999046325684</v>
      </c>
      <c r="J594" s="33">
        <v>238</v>
      </c>
      <c r="K594" s="33">
        <v>5.000000074505806E-2</v>
      </c>
      <c r="L594" s="33">
        <v>0.10999999940395355</v>
      </c>
      <c r="M594" s="33">
        <v>0</v>
      </c>
      <c r="N594" s="33">
        <v>0.12999999523162842</v>
      </c>
      <c r="O594" s="33">
        <v>61.599998474121094</v>
      </c>
      <c r="P594" s="33">
        <v>4</v>
      </c>
      <c r="Q594" s="33">
        <v>3</v>
      </c>
      <c r="R594" s="34" t="s">
        <v>876</v>
      </c>
      <c r="S594" s="33">
        <v>0</v>
      </c>
      <c r="T594" s="35">
        <v>143</v>
      </c>
    </row>
    <row r="595" spans="1:20">
      <c r="A595" s="31">
        <v>593</v>
      </c>
      <c r="B595" s="33" t="s">
        <v>916</v>
      </c>
      <c r="C595" s="33">
        <v>75</v>
      </c>
      <c r="D595" s="33">
        <v>461</v>
      </c>
      <c r="E595" s="33">
        <v>40.200000762939453</v>
      </c>
      <c r="F595" s="33">
        <v>13</v>
      </c>
      <c r="G595" s="33">
        <v>44.799999237060547</v>
      </c>
      <c r="H595" s="33">
        <v>0</v>
      </c>
      <c r="I595" s="33">
        <v>1.3999999761581421</v>
      </c>
      <c r="J595" s="33">
        <v>476</v>
      </c>
      <c r="K595" s="33">
        <v>5.9999998658895493E-2</v>
      </c>
      <c r="L595" s="33">
        <v>9.0000003576278687E-2</v>
      </c>
      <c r="M595" s="33">
        <v>0</v>
      </c>
      <c r="N595" s="33">
        <v>0.60000002384185791</v>
      </c>
      <c r="O595" s="33">
        <v>48.799999237060547</v>
      </c>
      <c r="P595" s="33">
        <v>9</v>
      </c>
      <c r="Q595" s="33">
        <v>2.9000000953674316</v>
      </c>
      <c r="R595" s="34" t="s">
        <v>876</v>
      </c>
      <c r="S595" s="33">
        <v>0</v>
      </c>
      <c r="T595" s="35">
        <v>132</v>
      </c>
    </row>
    <row r="596" spans="1:20">
      <c r="A596" s="31">
        <v>594</v>
      </c>
      <c r="B596" s="33" t="s">
        <v>917</v>
      </c>
      <c r="C596" s="33">
        <v>53</v>
      </c>
      <c r="D596" s="33">
        <v>129</v>
      </c>
      <c r="E596" s="33">
        <v>77</v>
      </c>
      <c r="F596" s="33">
        <v>14.199999809265137</v>
      </c>
      <c r="G596" s="33">
        <v>7.8000001907348633</v>
      </c>
      <c r="H596" s="33">
        <v>0</v>
      </c>
      <c r="I596" s="33">
        <v>0.40000000596046448</v>
      </c>
      <c r="J596" s="33">
        <v>0</v>
      </c>
      <c r="K596" s="33">
        <v>1.9999999552965164E-2</v>
      </c>
      <c r="L596" s="33">
        <v>0.2199999988079071</v>
      </c>
      <c r="M596" s="33">
        <v>3.0999999046325684</v>
      </c>
      <c r="N596" s="33">
        <v>0</v>
      </c>
      <c r="O596" s="33">
        <v>32</v>
      </c>
      <c r="P596" s="33">
        <v>31</v>
      </c>
      <c r="Q596" s="33">
        <v>2.2999999523162842</v>
      </c>
      <c r="R596" s="34" t="s">
        <v>876</v>
      </c>
      <c r="S596" s="33">
        <v>0</v>
      </c>
      <c r="T596" s="35">
        <v>187</v>
      </c>
    </row>
    <row r="597" spans="1:20">
      <c r="A597" s="31">
        <v>595</v>
      </c>
      <c r="B597" s="33" t="s">
        <v>918</v>
      </c>
      <c r="C597" s="33">
        <v>67</v>
      </c>
      <c r="D597" s="33">
        <v>146</v>
      </c>
      <c r="E597" s="33">
        <v>70.599998474121094</v>
      </c>
      <c r="F597" s="33">
        <v>16.5</v>
      </c>
      <c r="G597" s="33">
        <v>6.0999999046325684</v>
      </c>
      <c r="H597" s="33">
        <v>0</v>
      </c>
      <c r="I597" s="33">
        <v>6.3000001907348633</v>
      </c>
      <c r="J597" s="33">
        <v>0</v>
      </c>
      <c r="K597" s="33">
        <v>1.9999999552965164E-2</v>
      </c>
      <c r="L597" s="33">
        <v>0.15999999642372131</v>
      </c>
      <c r="M597" s="33">
        <v>2.4000000953674316</v>
      </c>
      <c r="N597" s="33">
        <v>0</v>
      </c>
      <c r="O597" s="33">
        <v>53.599998474121094</v>
      </c>
      <c r="P597" s="33">
        <v>20</v>
      </c>
      <c r="Q597" s="33">
        <v>2.0999999046325684</v>
      </c>
      <c r="R597" s="34" t="s">
        <v>876</v>
      </c>
      <c r="S597" s="33">
        <v>0</v>
      </c>
      <c r="T597" s="35">
        <v>49</v>
      </c>
    </row>
    <row r="598" spans="1:20">
      <c r="A598" s="31">
        <v>596</v>
      </c>
      <c r="B598" s="33" t="s">
        <v>919</v>
      </c>
      <c r="C598" s="33">
        <v>100</v>
      </c>
      <c r="D598" s="33">
        <v>128</v>
      </c>
      <c r="E598" s="33">
        <v>76.300003051757813</v>
      </c>
      <c r="F598" s="33">
        <v>14.5</v>
      </c>
      <c r="G598" s="33">
        <v>7.5</v>
      </c>
      <c r="H598" s="33">
        <v>0</v>
      </c>
      <c r="I598" s="33">
        <v>0.5</v>
      </c>
      <c r="J598" s="33">
        <v>1040</v>
      </c>
      <c r="K598" s="33">
        <v>0.25999999046325684</v>
      </c>
      <c r="L598" s="33">
        <v>1.0499999523162842</v>
      </c>
      <c r="M598" s="33">
        <v>6.9000000953674316</v>
      </c>
      <c r="N598" s="33">
        <v>1.4099999666213989</v>
      </c>
      <c r="O598" s="33">
        <v>87.199996948242188</v>
      </c>
      <c r="P598" s="33">
        <v>18</v>
      </c>
      <c r="Q598" s="33">
        <v>23.100000381469727</v>
      </c>
      <c r="R598" s="34" t="s">
        <v>876</v>
      </c>
      <c r="S598" s="33">
        <v>0</v>
      </c>
      <c r="T598" s="35">
        <v>341</v>
      </c>
    </row>
    <row r="599" spans="1:20">
      <c r="A599" s="31">
        <v>597</v>
      </c>
      <c r="B599" s="33" t="s">
        <v>920</v>
      </c>
      <c r="C599" s="33">
        <v>100</v>
      </c>
      <c r="D599" s="33">
        <v>136</v>
      </c>
      <c r="E599" s="33">
        <v>69.800003051757813</v>
      </c>
      <c r="F599" s="33">
        <v>14.699999809265137</v>
      </c>
      <c r="G599" s="33">
        <v>4.0999999046325684</v>
      </c>
      <c r="H599" s="33">
        <v>0</v>
      </c>
      <c r="I599" s="33">
        <v>10.100000381469727</v>
      </c>
      <c r="J599" s="33">
        <v>0</v>
      </c>
      <c r="K599" s="33">
        <v>0.15000000596046448</v>
      </c>
      <c r="L599" s="33">
        <v>0.34000000357627869</v>
      </c>
      <c r="M599" s="33">
        <v>0</v>
      </c>
      <c r="N599" s="33">
        <v>0.25</v>
      </c>
      <c r="O599" s="33">
        <v>99.300003051757813</v>
      </c>
      <c r="P599" s="33">
        <v>1</v>
      </c>
      <c r="Q599" s="33">
        <v>35.099998474121094</v>
      </c>
      <c r="R599" s="34" t="s">
        <v>876</v>
      </c>
      <c r="S599" s="33">
        <v>0</v>
      </c>
      <c r="T599" s="35">
        <v>313</v>
      </c>
    </row>
    <row r="600" spans="1:20">
      <c r="A600" s="31">
        <v>598</v>
      </c>
      <c r="B600" s="33" t="s">
        <v>921</v>
      </c>
      <c r="C600" s="33">
        <v>100</v>
      </c>
      <c r="D600" s="33">
        <v>113</v>
      </c>
      <c r="E600" s="33">
        <v>73.5</v>
      </c>
      <c r="F600" s="33">
        <v>16.799999237060547</v>
      </c>
      <c r="G600" s="33">
        <v>2.5</v>
      </c>
      <c r="H600" s="33">
        <v>0</v>
      </c>
      <c r="I600" s="33">
        <v>5.9000000953674316</v>
      </c>
      <c r="J600" s="33">
        <v>4675</v>
      </c>
      <c r="K600" s="33">
        <v>0.34999999403953552</v>
      </c>
      <c r="L600" s="33">
        <v>0.64999997615814209</v>
      </c>
      <c r="M600" s="33">
        <v>0</v>
      </c>
      <c r="N600" s="33">
        <v>1.1100000143051147</v>
      </c>
      <c r="O600" s="33">
        <v>107.5</v>
      </c>
      <c r="P600" s="33">
        <v>1</v>
      </c>
      <c r="Q600" s="33">
        <v>50.099998474121094</v>
      </c>
      <c r="R600" s="34" t="s">
        <v>876</v>
      </c>
      <c r="S600" s="33">
        <v>0</v>
      </c>
      <c r="T600" s="35">
        <v>252</v>
      </c>
    </row>
    <row r="601" spans="1:20">
      <c r="A601" s="31">
        <v>599</v>
      </c>
      <c r="B601" s="33" t="s">
        <v>922</v>
      </c>
      <c r="C601" s="33">
        <v>81</v>
      </c>
      <c r="D601" s="33">
        <v>312</v>
      </c>
      <c r="E601" s="33">
        <v>51.700000762939453</v>
      </c>
      <c r="F601" s="33">
        <v>16.600000381469727</v>
      </c>
      <c r="G601" s="33">
        <v>26.100000381469727</v>
      </c>
      <c r="H601" s="33">
        <v>0</v>
      </c>
      <c r="I601" s="33">
        <v>2.7999999523162842</v>
      </c>
      <c r="J601" s="33">
        <v>35</v>
      </c>
      <c r="K601" s="33">
        <v>7.0000000298023224E-2</v>
      </c>
      <c r="L601" s="33">
        <v>0.20999999344348907</v>
      </c>
      <c r="M601" s="33">
        <v>2.5</v>
      </c>
      <c r="N601" s="33">
        <v>0.41999998688697815</v>
      </c>
      <c r="O601" s="33">
        <v>1557.5</v>
      </c>
      <c r="P601" s="33">
        <v>10</v>
      </c>
      <c r="Q601" s="33">
        <v>0.69999998807907104</v>
      </c>
      <c r="R601" s="34" t="s">
        <v>876</v>
      </c>
      <c r="S601" s="33">
        <v>0</v>
      </c>
      <c r="T601" s="35">
        <v>81</v>
      </c>
    </row>
    <row r="602" spans="1:20">
      <c r="A602" s="31">
        <v>600</v>
      </c>
      <c r="B602" s="33" t="s">
        <v>923</v>
      </c>
      <c r="C602" s="33">
        <v>100</v>
      </c>
      <c r="D602" s="33">
        <v>538</v>
      </c>
      <c r="E602" s="33">
        <v>28.100000381469727</v>
      </c>
      <c r="F602" s="33">
        <v>6.5</v>
      </c>
      <c r="G602" s="33">
        <v>50.200000762939453</v>
      </c>
      <c r="H602" s="33">
        <v>0</v>
      </c>
      <c r="I602" s="33">
        <v>15.100000381469727</v>
      </c>
      <c r="J602" s="33">
        <v>21</v>
      </c>
      <c r="K602" s="33">
        <v>9.9999997764825821E-3</v>
      </c>
      <c r="L602" s="33">
        <v>3.9999999105930328E-2</v>
      </c>
      <c r="M602" s="33">
        <v>1</v>
      </c>
      <c r="N602" s="33">
        <v>0</v>
      </c>
      <c r="O602" s="33">
        <v>26.200000762939453</v>
      </c>
      <c r="P602" s="33">
        <v>6</v>
      </c>
      <c r="Q602" s="33">
        <v>3.0999999046325684</v>
      </c>
      <c r="R602" s="34" t="s">
        <v>876</v>
      </c>
      <c r="S602" s="33">
        <v>0</v>
      </c>
      <c r="T602" s="35">
        <v>46</v>
      </c>
    </row>
    <row r="603" spans="1:20">
      <c r="A603" s="31">
        <v>601</v>
      </c>
      <c r="B603" s="33" t="s">
        <v>924</v>
      </c>
      <c r="C603" s="33">
        <v>100</v>
      </c>
      <c r="D603" s="33">
        <v>90</v>
      </c>
      <c r="E603" s="33">
        <v>78.599998474121094</v>
      </c>
      <c r="F603" s="33">
        <v>15</v>
      </c>
      <c r="G603" s="33">
        <v>1.5</v>
      </c>
      <c r="H603" s="33">
        <v>0</v>
      </c>
      <c r="I603" s="33">
        <v>4</v>
      </c>
      <c r="J603" s="33">
        <v>0</v>
      </c>
      <c r="K603" s="33">
        <v>9.9999997764825821E-3</v>
      </c>
      <c r="L603" s="33">
        <v>7.0000000298023224E-2</v>
      </c>
      <c r="M603" s="33">
        <v>4.1999998092651367</v>
      </c>
      <c r="N603" s="33">
        <v>1.9800000190734863</v>
      </c>
      <c r="O603" s="33">
        <v>60.200000762939453</v>
      </c>
      <c r="P603" s="33">
        <v>6</v>
      </c>
      <c r="Q603" s="33">
        <v>4.0999999046325684</v>
      </c>
      <c r="R603" s="34" t="s">
        <v>876</v>
      </c>
      <c r="S603" s="33">
        <v>0</v>
      </c>
      <c r="T603" s="35">
        <v>0</v>
      </c>
    </row>
    <row r="604" spans="1:20">
      <c r="A604" s="31">
        <v>602</v>
      </c>
      <c r="B604" s="33" t="s">
        <v>925</v>
      </c>
      <c r="C604" s="33">
        <v>61</v>
      </c>
      <c r="D604" s="33">
        <v>245</v>
      </c>
      <c r="E604" s="33">
        <v>62.599998474121094</v>
      </c>
      <c r="F604" s="33">
        <v>16.600000381469727</v>
      </c>
      <c r="G604" s="33">
        <v>19.700000762939453</v>
      </c>
      <c r="H604" s="33">
        <v>0</v>
      </c>
      <c r="I604" s="33">
        <v>0.40000000596046448</v>
      </c>
      <c r="J604" s="33">
        <v>35</v>
      </c>
      <c r="K604" s="33">
        <v>9.9999997764825821E-3</v>
      </c>
      <c r="L604" s="33">
        <v>0.20999999344348907</v>
      </c>
      <c r="M604" s="33">
        <v>1.6000000238418579</v>
      </c>
      <c r="N604" s="33">
        <v>0.23000000417232513</v>
      </c>
      <c r="O604" s="33">
        <v>81.5</v>
      </c>
      <c r="P604" s="33">
        <v>13</v>
      </c>
      <c r="Q604" s="33">
        <v>2.2000000476837158</v>
      </c>
      <c r="R604" s="34" t="s">
        <v>876</v>
      </c>
      <c r="S604" s="33">
        <v>0</v>
      </c>
      <c r="T604" s="35">
        <v>118</v>
      </c>
    </row>
    <row r="605" spans="1:20">
      <c r="A605" s="31">
        <v>603</v>
      </c>
      <c r="B605" s="33" t="s">
        <v>926</v>
      </c>
      <c r="C605" s="33">
        <v>93</v>
      </c>
      <c r="D605" s="33">
        <v>92</v>
      </c>
      <c r="E605" s="33">
        <v>77.800003051757813</v>
      </c>
      <c r="F605" s="33">
        <v>17.899999618530273</v>
      </c>
      <c r="G605" s="33">
        <v>1.2999999523162842</v>
      </c>
      <c r="H605" s="33">
        <v>0</v>
      </c>
      <c r="I605" s="33">
        <v>2.0999999046325684</v>
      </c>
      <c r="J605" s="33">
        <v>6</v>
      </c>
      <c r="K605" s="33">
        <v>3.9999999105930328E-2</v>
      </c>
      <c r="L605" s="33">
        <v>0.15000000596046448</v>
      </c>
      <c r="M605" s="33">
        <v>4.4000000953674316</v>
      </c>
      <c r="N605" s="33">
        <v>0.20999999344348907</v>
      </c>
      <c r="O605" s="33">
        <v>69.199996948242188</v>
      </c>
      <c r="P605" s="33">
        <v>12</v>
      </c>
      <c r="Q605" s="33">
        <v>4.3000001907348633</v>
      </c>
      <c r="R605" s="34" t="s">
        <v>876</v>
      </c>
      <c r="S605" s="33">
        <v>0</v>
      </c>
      <c r="T605" s="35">
        <v>153</v>
      </c>
    </row>
    <row r="606" spans="1:20">
      <c r="A606" s="31">
        <v>604</v>
      </c>
      <c r="B606" s="33" t="s">
        <v>927</v>
      </c>
      <c r="C606" s="33">
        <v>100</v>
      </c>
      <c r="D606" s="33">
        <v>112</v>
      </c>
      <c r="E606" s="33">
        <v>72.599998474121094</v>
      </c>
      <c r="F606" s="33">
        <v>19.799999237060547</v>
      </c>
      <c r="G606" s="33">
        <v>1.2000000476837158</v>
      </c>
      <c r="H606" s="33">
        <v>0</v>
      </c>
      <c r="I606" s="33">
        <v>5.4000000953674316</v>
      </c>
      <c r="J606" s="33">
        <v>0</v>
      </c>
      <c r="K606" s="33">
        <v>5.000000074505806E-2</v>
      </c>
      <c r="L606" s="33">
        <v>7.9999998211860657E-2</v>
      </c>
      <c r="M606" s="33">
        <v>0</v>
      </c>
      <c r="N606" s="33">
        <v>0.11999999731779099</v>
      </c>
      <c r="O606" s="33">
        <v>70.099998474121094</v>
      </c>
      <c r="P606" s="33">
        <v>2</v>
      </c>
      <c r="Q606" s="33">
        <v>3.9000000953674316</v>
      </c>
      <c r="R606" s="34" t="s">
        <v>876</v>
      </c>
      <c r="S606" s="33">
        <v>0</v>
      </c>
      <c r="T606" s="35">
        <v>291</v>
      </c>
    </row>
    <row r="607" spans="1:20">
      <c r="A607" s="31">
        <v>605</v>
      </c>
      <c r="B607" s="33" t="s">
        <v>928</v>
      </c>
      <c r="C607" s="33">
        <v>100</v>
      </c>
      <c r="D607" s="33">
        <v>126</v>
      </c>
      <c r="E607" s="33">
        <v>72.900001525878906</v>
      </c>
      <c r="F607" s="33">
        <v>20.399999618530273</v>
      </c>
      <c r="G607" s="33">
        <v>4.1999998092651367</v>
      </c>
      <c r="H607" s="33">
        <v>0</v>
      </c>
      <c r="I607" s="33">
        <v>1.6000000238418579</v>
      </c>
      <c r="J607" s="33">
        <v>102</v>
      </c>
      <c r="K607" s="33">
        <v>3.9999999105930328E-2</v>
      </c>
      <c r="L607" s="33">
        <v>9.0000003576278687E-2</v>
      </c>
      <c r="M607" s="33">
        <v>0</v>
      </c>
      <c r="N607" s="33">
        <v>0.11999999731779099</v>
      </c>
      <c r="O607" s="33">
        <v>69</v>
      </c>
      <c r="P607" s="33">
        <v>1</v>
      </c>
      <c r="Q607" s="33">
        <v>4</v>
      </c>
      <c r="R607" s="34" t="s">
        <v>876</v>
      </c>
      <c r="S607" s="33">
        <v>0</v>
      </c>
      <c r="T607" s="35">
        <v>191</v>
      </c>
    </row>
    <row r="608" spans="1:20">
      <c r="A608" s="31">
        <v>606</v>
      </c>
      <c r="B608" s="33" t="s">
        <v>929</v>
      </c>
      <c r="C608" s="33">
        <v>100</v>
      </c>
      <c r="D608" s="33">
        <v>143</v>
      </c>
      <c r="E608" s="33">
        <v>74.5</v>
      </c>
      <c r="F608" s="33">
        <v>12.800000190734863</v>
      </c>
      <c r="G608" s="33">
        <v>8.8999996185302734</v>
      </c>
      <c r="H608" s="33">
        <v>0</v>
      </c>
      <c r="I608" s="33">
        <v>2.9000000953674316</v>
      </c>
      <c r="J608" s="33">
        <v>24</v>
      </c>
      <c r="K608" s="33">
        <v>0.14000000059604645</v>
      </c>
      <c r="L608" s="33">
        <v>0.87000000476837158</v>
      </c>
      <c r="M608" s="33">
        <v>8</v>
      </c>
      <c r="N608" s="33">
        <v>0.81000000238418579</v>
      </c>
      <c r="O608" s="33">
        <v>86.199996948242188</v>
      </c>
      <c r="P608" s="33">
        <v>20</v>
      </c>
      <c r="Q608" s="33">
        <v>5</v>
      </c>
      <c r="R608" s="34" t="s">
        <v>876</v>
      </c>
      <c r="S608" s="33">
        <v>0</v>
      </c>
      <c r="T608" s="35">
        <v>120</v>
      </c>
    </row>
    <row r="609" spans="1:20">
      <c r="A609" s="31">
        <v>607</v>
      </c>
      <c r="B609" s="33" t="s">
        <v>930</v>
      </c>
      <c r="C609" s="33">
        <v>100</v>
      </c>
      <c r="D609" s="33">
        <v>58</v>
      </c>
      <c r="E609" s="33">
        <v>85</v>
      </c>
      <c r="F609" s="33">
        <v>13.600000381469727</v>
      </c>
      <c r="G609" s="33">
        <v>0.40000000596046448</v>
      </c>
      <c r="H609" s="33">
        <v>0</v>
      </c>
      <c r="I609" s="33">
        <v>0</v>
      </c>
      <c r="J609" s="33">
        <v>0</v>
      </c>
      <c r="K609" s="33">
        <v>5.9999998658895493E-2</v>
      </c>
      <c r="L609" s="33">
        <v>5.9999998658895493E-2</v>
      </c>
      <c r="M609" s="33">
        <v>0</v>
      </c>
      <c r="N609" s="33">
        <v>0.34000000357627869</v>
      </c>
      <c r="O609" s="33">
        <v>173.60000610351563</v>
      </c>
      <c r="P609" s="33">
        <v>5</v>
      </c>
      <c r="Q609" s="33">
        <v>30.5</v>
      </c>
      <c r="R609" s="34" t="s">
        <v>876</v>
      </c>
      <c r="S609" s="33">
        <v>0</v>
      </c>
      <c r="T609" s="35">
        <v>95</v>
      </c>
    </row>
    <row r="610" spans="1:20">
      <c r="A610" s="31">
        <v>608</v>
      </c>
      <c r="B610" s="33" t="s">
        <v>931</v>
      </c>
      <c r="C610" s="33">
        <v>100</v>
      </c>
      <c r="D610" s="33">
        <v>56</v>
      </c>
      <c r="E610" s="33">
        <v>85.099998474121094</v>
      </c>
      <c r="F610" s="33">
        <v>13.199999809265137</v>
      </c>
      <c r="G610" s="33">
        <v>0.40000000596046448</v>
      </c>
      <c r="H610" s="33">
        <v>0</v>
      </c>
      <c r="I610" s="33">
        <v>0</v>
      </c>
      <c r="J610" s="33">
        <v>57</v>
      </c>
      <c r="K610" s="33">
        <v>5.000000074505806E-2</v>
      </c>
      <c r="L610" s="33">
        <v>2.9999999329447746E-2</v>
      </c>
      <c r="M610" s="33">
        <v>0</v>
      </c>
      <c r="N610" s="33">
        <v>0.10000000149011612</v>
      </c>
      <c r="O610" s="33">
        <v>198.60000610351563</v>
      </c>
      <c r="P610" s="33">
        <v>3</v>
      </c>
      <c r="Q610" s="33">
        <v>31.799999237060547</v>
      </c>
      <c r="R610" s="34" t="s">
        <v>876</v>
      </c>
      <c r="S610" s="33">
        <v>0</v>
      </c>
      <c r="T610" s="35">
        <v>95</v>
      </c>
    </row>
    <row r="611" spans="1:20">
      <c r="A611" s="31">
        <v>609</v>
      </c>
      <c r="B611" s="33" t="s">
        <v>932</v>
      </c>
      <c r="C611" s="33">
        <v>100</v>
      </c>
      <c r="D611" s="33">
        <v>55</v>
      </c>
      <c r="E611" s="33">
        <v>85.599998474121094</v>
      </c>
      <c r="F611" s="33">
        <v>13.100000381469727</v>
      </c>
      <c r="G611" s="33">
        <v>0.30000001192092896</v>
      </c>
      <c r="H611" s="33">
        <v>0</v>
      </c>
      <c r="I611" s="33">
        <v>0</v>
      </c>
      <c r="J611" s="33">
        <v>110</v>
      </c>
      <c r="K611" s="33">
        <v>5.000000074505806E-2</v>
      </c>
      <c r="L611" s="33">
        <v>7.0000000298023224E-2</v>
      </c>
      <c r="M611" s="33">
        <v>0</v>
      </c>
      <c r="N611" s="33">
        <v>0.10000000149011612</v>
      </c>
      <c r="O611" s="33">
        <v>175.19999694824219</v>
      </c>
      <c r="P611" s="33">
        <v>2</v>
      </c>
      <c r="Q611" s="33">
        <v>39.599998474121094</v>
      </c>
      <c r="R611" s="34" t="s">
        <v>876</v>
      </c>
      <c r="S611" s="33">
        <v>0</v>
      </c>
      <c r="T611" s="35">
        <v>95</v>
      </c>
    </row>
    <row r="612" spans="1:20">
      <c r="A612" s="31">
        <v>610</v>
      </c>
      <c r="B612" s="33" t="s">
        <v>933</v>
      </c>
      <c r="C612" s="33">
        <v>97</v>
      </c>
      <c r="D612" s="33">
        <v>117</v>
      </c>
      <c r="E612" s="33">
        <v>72.599998474121094</v>
      </c>
      <c r="F612" s="33">
        <v>21.700000762939453</v>
      </c>
      <c r="G612" s="33">
        <v>2.9000000953674316</v>
      </c>
      <c r="H612" s="33">
        <v>0</v>
      </c>
      <c r="I612" s="33">
        <v>1</v>
      </c>
      <c r="J612" s="33">
        <v>6</v>
      </c>
      <c r="K612" s="33">
        <v>1.9999999552965164E-2</v>
      </c>
      <c r="L612" s="33">
        <v>0.77999997138977051</v>
      </c>
      <c r="M612" s="33">
        <v>3.2000000476837158</v>
      </c>
      <c r="N612" s="33">
        <v>0</v>
      </c>
      <c r="O612" s="33">
        <v>55.700000762939453</v>
      </c>
      <c r="P612" s="33">
        <v>20</v>
      </c>
      <c r="Q612" s="33">
        <v>1.8999999761581421</v>
      </c>
      <c r="R612" s="34" t="s">
        <v>876</v>
      </c>
      <c r="S612" s="33">
        <v>0</v>
      </c>
      <c r="T612" s="35">
        <v>230</v>
      </c>
    </row>
    <row r="613" spans="1:20">
      <c r="A613" s="31">
        <v>611</v>
      </c>
      <c r="B613" s="33" t="s">
        <v>934</v>
      </c>
      <c r="C613" s="33">
        <v>59</v>
      </c>
      <c r="D613" s="33">
        <v>150</v>
      </c>
      <c r="E613" s="33">
        <v>64.699996948242188</v>
      </c>
      <c r="F613" s="33">
        <v>13.399999618530273</v>
      </c>
      <c r="G613" s="33">
        <v>1.8999999761581421</v>
      </c>
      <c r="H613" s="33">
        <v>0</v>
      </c>
      <c r="I613" s="33">
        <v>19.700000762939453</v>
      </c>
      <c r="J613" s="33">
        <v>11</v>
      </c>
      <c r="K613" s="33">
        <v>0</v>
      </c>
      <c r="L613" s="33">
        <v>0.17000000178813934</v>
      </c>
      <c r="M613" s="33">
        <v>1.1000000238418579</v>
      </c>
      <c r="N613" s="33">
        <v>0</v>
      </c>
      <c r="O613" s="33">
        <v>61.099998474121094</v>
      </c>
      <c r="P613" s="33">
        <v>24</v>
      </c>
      <c r="Q613" s="33">
        <v>1.2999999523162842</v>
      </c>
      <c r="R613" s="34" t="s">
        <v>876</v>
      </c>
      <c r="S613" s="33">
        <v>0</v>
      </c>
      <c r="T613" s="35">
        <v>36</v>
      </c>
    </row>
    <row r="614" spans="1:20">
      <c r="A614" s="31">
        <v>612</v>
      </c>
      <c r="B614" s="33" t="s">
        <v>935</v>
      </c>
      <c r="C614" s="33">
        <v>70</v>
      </c>
      <c r="D614" s="33">
        <v>279</v>
      </c>
      <c r="E614" s="33">
        <v>49.400001525878906</v>
      </c>
      <c r="F614" s="33">
        <v>20.299999237060547</v>
      </c>
      <c r="G614" s="33">
        <v>17.299999237060547</v>
      </c>
      <c r="H614" s="33">
        <v>0</v>
      </c>
      <c r="I614" s="33">
        <v>10.5</v>
      </c>
      <c r="J614" s="33">
        <v>23</v>
      </c>
      <c r="K614" s="33">
        <v>2.9999999329447746E-2</v>
      </c>
      <c r="L614" s="33">
        <v>0.17000000178813934</v>
      </c>
      <c r="M614" s="33">
        <v>16.700000762939453</v>
      </c>
      <c r="N614" s="33">
        <v>6.440000057220459</v>
      </c>
      <c r="O614" s="33">
        <v>755</v>
      </c>
      <c r="P614" s="33">
        <v>109</v>
      </c>
      <c r="Q614" s="33">
        <v>2.2000000476837158</v>
      </c>
      <c r="R614" s="34" t="s">
        <v>876</v>
      </c>
      <c r="S614" s="33">
        <v>0</v>
      </c>
      <c r="T614" s="35">
        <v>198</v>
      </c>
    </row>
    <row r="615" spans="1:20">
      <c r="A615" s="31">
        <v>613</v>
      </c>
      <c r="B615" s="33" t="s">
        <v>936</v>
      </c>
      <c r="C615" s="33">
        <v>100</v>
      </c>
      <c r="D615" s="33">
        <v>742</v>
      </c>
      <c r="E615" s="33">
        <v>17.700000762939453</v>
      </c>
      <c r="F615" s="33">
        <v>0</v>
      </c>
      <c r="G615" s="33">
        <v>82.699996948242188</v>
      </c>
      <c r="H615" s="33">
        <v>0</v>
      </c>
      <c r="I615" s="33">
        <v>0</v>
      </c>
      <c r="J615" s="33">
        <v>534</v>
      </c>
      <c r="K615" s="33">
        <v>9.9999997764825821E-3</v>
      </c>
      <c r="L615" s="33">
        <v>5.9999998658895493E-2</v>
      </c>
      <c r="M615" s="33">
        <v>0.10000000149011612</v>
      </c>
      <c r="N615" s="33">
        <v>3.7100000381469727</v>
      </c>
      <c r="O615" s="33">
        <v>18</v>
      </c>
      <c r="P615" s="33">
        <v>1</v>
      </c>
      <c r="Q615" s="33">
        <v>1</v>
      </c>
      <c r="R615" s="34" t="s">
        <v>937</v>
      </c>
      <c r="S615" s="33">
        <v>0</v>
      </c>
      <c r="T615" s="35">
        <v>152</v>
      </c>
    </row>
    <row r="616" spans="1:20">
      <c r="A616" s="31">
        <v>614</v>
      </c>
      <c r="B616" s="33" t="s">
        <v>938</v>
      </c>
      <c r="C616" s="33">
        <v>100</v>
      </c>
      <c r="D616" s="33">
        <v>396</v>
      </c>
      <c r="E616" s="33">
        <v>2.5</v>
      </c>
      <c r="F616" s="33">
        <v>14.5</v>
      </c>
      <c r="G616" s="33">
        <v>3.5</v>
      </c>
      <c r="H616" s="33">
        <v>0</v>
      </c>
      <c r="I616" s="33">
        <v>76.699996948242188</v>
      </c>
      <c r="J616" s="33">
        <v>62</v>
      </c>
      <c r="K616" s="33">
        <v>7.9999998211860657E-2</v>
      </c>
      <c r="L616" s="33">
        <v>0.40999999642372131</v>
      </c>
      <c r="M616" s="33">
        <v>0.30000001192092896</v>
      </c>
      <c r="N616" s="33">
        <v>0</v>
      </c>
      <c r="O616" s="33">
        <v>180.60000610351563</v>
      </c>
      <c r="P616" s="33">
        <v>539</v>
      </c>
      <c r="Q616" s="33">
        <v>1.2000000476837158</v>
      </c>
      <c r="R616" s="34" t="s">
        <v>937</v>
      </c>
      <c r="S616" s="33">
        <v>0</v>
      </c>
      <c r="T616" s="35">
        <v>86</v>
      </c>
    </row>
    <row r="617" spans="1:20">
      <c r="A617" s="31">
        <v>615</v>
      </c>
      <c r="B617" s="33" t="s">
        <v>939</v>
      </c>
      <c r="C617" s="33">
        <v>100</v>
      </c>
      <c r="D617" s="33">
        <v>20</v>
      </c>
      <c r="E617" s="33">
        <v>95.5</v>
      </c>
      <c r="F617" s="33">
        <v>1.8999999761581421</v>
      </c>
      <c r="G617" s="33">
        <v>0.80000001192092896</v>
      </c>
      <c r="H617" s="33">
        <v>0</v>
      </c>
      <c r="I617" s="33">
        <v>1.3999999761581421</v>
      </c>
      <c r="J617" s="33">
        <v>0</v>
      </c>
      <c r="K617" s="33">
        <v>9.9999997764825821E-3</v>
      </c>
      <c r="L617" s="33">
        <v>1.9999999552965164E-2</v>
      </c>
      <c r="M617" s="33">
        <v>0</v>
      </c>
      <c r="N617" s="33">
        <v>0</v>
      </c>
      <c r="O617" s="33">
        <v>37.400001525878906</v>
      </c>
      <c r="P617" s="33">
        <v>88</v>
      </c>
      <c r="Q617" s="33">
        <v>0.10000000149011612</v>
      </c>
      <c r="R617" s="34" t="s">
        <v>937</v>
      </c>
      <c r="S617" s="33">
        <v>0</v>
      </c>
      <c r="T617" s="35">
        <v>18</v>
      </c>
    </row>
    <row r="618" spans="1:20">
      <c r="A618" s="31">
        <v>616</v>
      </c>
      <c r="B618" s="33" t="s">
        <v>940</v>
      </c>
      <c r="C618" s="33">
        <v>100</v>
      </c>
      <c r="D618" s="33">
        <v>892</v>
      </c>
      <c r="E618" s="33">
        <v>0.5</v>
      </c>
      <c r="F618" s="33">
        <v>1.3999999761581421</v>
      </c>
      <c r="G618" s="33">
        <v>98.800003051757813</v>
      </c>
      <c r="H618" s="33">
        <v>0</v>
      </c>
      <c r="I618" s="33">
        <v>0</v>
      </c>
      <c r="J618" s="33">
        <v>0</v>
      </c>
      <c r="K618" s="33">
        <v>0</v>
      </c>
      <c r="L618" s="33">
        <v>1.9999999552965164E-2</v>
      </c>
      <c r="M618" s="33">
        <v>0</v>
      </c>
      <c r="N618" s="33">
        <v>0</v>
      </c>
      <c r="O618" s="33">
        <v>40.299999237060547</v>
      </c>
      <c r="P618" s="33">
        <v>35</v>
      </c>
      <c r="Q618" s="33">
        <v>0.80000001192092896</v>
      </c>
      <c r="R618" s="34" t="s">
        <v>937</v>
      </c>
      <c r="S618" s="33">
        <v>0</v>
      </c>
      <c r="T618" s="35">
        <v>296</v>
      </c>
    </row>
    <row r="619" spans="1:20">
      <c r="A619" s="31">
        <v>617</v>
      </c>
      <c r="B619" s="33" t="s">
        <v>941</v>
      </c>
      <c r="C619" s="33">
        <v>100</v>
      </c>
      <c r="D619" s="33">
        <v>599</v>
      </c>
      <c r="E619" s="33">
        <v>4.6999998092651367</v>
      </c>
      <c r="F619" s="33">
        <v>11.100000381469727</v>
      </c>
      <c r="G619" s="33">
        <v>43.799999237060547</v>
      </c>
      <c r="H619" s="33">
        <v>0</v>
      </c>
      <c r="I619" s="33">
        <v>40</v>
      </c>
      <c r="J619" s="33">
        <v>0</v>
      </c>
      <c r="K619" s="33">
        <v>2.9999999329447746E-2</v>
      </c>
      <c r="L619" s="33">
        <v>0.4699999988079071</v>
      </c>
      <c r="M619" s="33">
        <v>0.40000000596046448</v>
      </c>
      <c r="N619" s="33">
        <v>0</v>
      </c>
      <c r="O619" s="33">
        <v>60.200000762939453</v>
      </c>
      <c r="P619" s="33">
        <v>597</v>
      </c>
      <c r="Q619" s="33">
        <v>2.5999999046325684</v>
      </c>
      <c r="R619" s="34" t="s">
        <v>937</v>
      </c>
      <c r="S619" s="33">
        <v>0</v>
      </c>
      <c r="T619" s="35">
        <v>150</v>
      </c>
    </row>
    <row r="620" spans="1:20">
      <c r="A620" s="31">
        <v>618</v>
      </c>
      <c r="B620" s="33" t="s">
        <v>942</v>
      </c>
      <c r="C620" s="33">
        <v>100</v>
      </c>
      <c r="D620" s="33">
        <v>332</v>
      </c>
      <c r="E620" s="33">
        <v>26.200000762939453</v>
      </c>
      <c r="F620" s="33">
        <v>8</v>
      </c>
      <c r="G620" s="33">
        <v>8.6999998092651367</v>
      </c>
      <c r="H620" s="33">
        <v>0</v>
      </c>
      <c r="I620" s="33">
        <v>55.400001525878906</v>
      </c>
      <c r="J620" s="33">
        <v>41</v>
      </c>
      <c r="K620" s="33">
        <v>2.9999999329447746E-2</v>
      </c>
      <c r="L620" s="33">
        <v>0.15999999642372131</v>
      </c>
      <c r="M620" s="33">
        <v>0.30000001192092896</v>
      </c>
      <c r="N620" s="33">
        <v>0.2800000011920929</v>
      </c>
      <c r="O620" s="33">
        <v>211.89999389648438</v>
      </c>
      <c r="P620" s="33">
        <v>242</v>
      </c>
      <c r="Q620" s="33">
        <v>0.40000000596046448</v>
      </c>
      <c r="R620" s="34" t="s">
        <v>937</v>
      </c>
      <c r="S620" s="33">
        <v>0</v>
      </c>
      <c r="T620" s="35">
        <v>36</v>
      </c>
    </row>
    <row r="621" spans="1:20">
      <c r="A621" s="31">
        <v>619</v>
      </c>
      <c r="B621" s="33" t="s">
        <v>943</v>
      </c>
      <c r="C621" s="33">
        <v>100</v>
      </c>
      <c r="D621" s="33">
        <v>305</v>
      </c>
      <c r="E621" s="33">
        <v>31.899999618530273</v>
      </c>
      <c r="F621" s="33">
        <v>46.200000762939453</v>
      </c>
      <c r="G621" s="33">
        <v>7.8000001907348633</v>
      </c>
      <c r="H621" s="33">
        <v>0</v>
      </c>
      <c r="I621" s="33">
        <v>12.5</v>
      </c>
      <c r="J621" s="33">
        <v>0</v>
      </c>
      <c r="K621" s="33">
        <v>9.9999997764825821E-3</v>
      </c>
      <c r="L621" s="33">
        <v>0.68999999761581421</v>
      </c>
      <c r="M621" s="33">
        <v>0.69999998807907104</v>
      </c>
      <c r="N621" s="33">
        <v>0</v>
      </c>
      <c r="O621" s="33">
        <v>90.199996948242188</v>
      </c>
      <c r="P621" s="33">
        <v>597</v>
      </c>
      <c r="Q621" s="33">
        <v>3.0999999046325684</v>
      </c>
      <c r="R621" s="34" t="s">
        <v>937</v>
      </c>
      <c r="S621" s="33">
        <v>0</v>
      </c>
      <c r="T621" s="35">
        <v>36</v>
      </c>
    </row>
    <row r="622" spans="1:20">
      <c r="A622" s="31">
        <v>620</v>
      </c>
      <c r="B622" s="33" t="s">
        <v>944</v>
      </c>
      <c r="C622" s="33">
        <v>100</v>
      </c>
      <c r="D622" s="33">
        <v>343</v>
      </c>
      <c r="E622" s="33">
        <v>14.699999809265137</v>
      </c>
      <c r="F622" s="33">
        <v>53.700000762939453</v>
      </c>
      <c r="G622" s="33">
        <v>2.5</v>
      </c>
      <c r="H622" s="33">
        <v>0</v>
      </c>
      <c r="I622" s="33">
        <v>26.5</v>
      </c>
      <c r="J622" s="33">
        <v>0</v>
      </c>
      <c r="K622" s="33">
        <v>2.9999999329447746E-2</v>
      </c>
      <c r="L622" s="33">
        <v>0.27000001072883606</v>
      </c>
      <c r="M622" s="33">
        <v>0.40000000596046448</v>
      </c>
      <c r="N622" s="33">
        <v>0</v>
      </c>
      <c r="O622" s="33">
        <v>55.400001525878906</v>
      </c>
      <c r="P622" s="33">
        <v>360</v>
      </c>
      <c r="Q622" s="33">
        <v>12.399999618530273</v>
      </c>
      <c r="R622" s="34" t="s">
        <v>937</v>
      </c>
      <c r="S622" s="33">
        <v>0</v>
      </c>
      <c r="T622" s="35">
        <v>36</v>
      </c>
    </row>
    <row r="623" spans="1:20">
      <c r="A623" s="31">
        <v>621</v>
      </c>
      <c r="B623" s="33" t="s">
        <v>945</v>
      </c>
      <c r="C623" s="33">
        <v>100</v>
      </c>
      <c r="D623" s="33">
        <v>426</v>
      </c>
      <c r="E623" s="33">
        <v>8.8999996185302734</v>
      </c>
      <c r="F623" s="33">
        <v>55.099998474121094</v>
      </c>
      <c r="G623" s="33">
        <v>15</v>
      </c>
      <c r="H623" s="33">
        <v>0</v>
      </c>
      <c r="I623" s="33">
        <v>17.700000762939453</v>
      </c>
      <c r="J623" s="33">
        <v>0</v>
      </c>
      <c r="K623" s="33">
        <v>5.000000074505806E-2</v>
      </c>
      <c r="L623" s="33">
        <v>0.23999999463558197</v>
      </c>
      <c r="M623" s="33">
        <v>0.80000001192092896</v>
      </c>
      <c r="N623" s="33">
        <v>0</v>
      </c>
      <c r="O623" s="33">
        <v>79.300003051757813</v>
      </c>
      <c r="P623" s="33">
        <v>730</v>
      </c>
      <c r="Q623" s="33">
        <v>18.700000762939453</v>
      </c>
      <c r="R623" s="34" t="s">
        <v>937</v>
      </c>
      <c r="S623" s="33">
        <v>0</v>
      </c>
      <c r="T623" s="35">
        <v>51</v>
      </c>
    </row>
    <row r="624" spans="1:20">
      <c r="A624" s="31">
        <v>622</v>
      </c>
      <c r="B624" s="33" t="s">
        <v>946</v>
      </c>
      <c r="C624" s="33">
        <v>100</v>
      </c>
      <c r="D624" s="33">
        <v>328</v>
      </c>
      <c r="E624" s="33">
        <v>43.5</v>
      </c>
      <c r="F624" s="33">
        <v>25.700000762939453</v>
      </c>
      <c r="G624" s="33">
        <v>23.5</v>
      </c>
      <c r="H624" s="33">
        <v>0</v>
      </c>
      <c r="I624" s="33">
        <v>3.5</v>
      </c>
      <c r="J624" s="33">
        <v>152</v>
      </c>
      <c r="K624" s="33">
        <v>5.9999998658895493E-2</v>
      </c>
      <c r="L624" s="33">
        <v>0.9100000262260437</v>
      </c>
      <c r="M624" s="33">
        <v>0.60000002384185791</v>
      </c>
      <c r="N624" s="33">
        <v>0.60000002384185791</v>
      </c>
      <c r="O624" s="33">
        <v>584.5999755859375</v>
      </c>
      <c r="P624" s="33">
        <v>799</v>
      </c>
      <c r="Q624" s="33">
        <v>2.4000000953674316</v>
      </c>
      <c r="R624" s="34" t="s">
        <v>937</v>
      </c>
      <c r="S624" s="33">
        <v>0</v>
      </c>
      <c r="T624" s="35">
        <v>11</v>
      </c>
    </row>
    <row r="625" spans="1:20">
      <c r="A625" s="31">
        <v>623</v>
      </c>
      <c r="B625" s="33" t="s">
        <v>947</v>
      </c>
      <c r="C625" s="33">
        <v>100</v>
      </c>
      <c r="D625" s="33">
        <v>472</v>
      </c>
      <c r="E625" s="33">
        <v>3.7000000476837158</v>
      </c>
      <c r="F625" s="33">
        <v>13.300000190734863</v>
      </c>
      <c r="G625" s="33">
        <v>20.200000762939453</v>
      </c>
      <c r="H625" s="33">
        <v>0</v>
      </c>
      <c r="I625" s="33">
        <v>59.299999237060547</v>
      </c>
      <c r="J625" s="33">
        <v>75</v>
      </c>
      <c r="K625" s="33">
        <v>5.000000074505806E-2</v>
      </c>
      <c r="L625" s="33">
        <v>0.20000000298023224</v>
      </c>
      <c r="M625" s="33">
        <v>1.6000000238418579</v>
      </c>
      <c r="N625" s="33">
        <v>5.000000074505806E-2</v>
      </c>
      <c r="O625" s="33">
        <v>179.69999694824219</v>
      </c>
      <c r="P625" s="33">
        <v>269</v>
      </c>
      <c r="Q625" s="33">
        <v>1.6000000238418579</v>
      </c>
      <c r="R625" s="34" t="s">
        <v>937</v>
      </c>
      <c r="S625" s="33">
        <v>0</v>
      </c>
      <c r="T625" s="35">
        <v>65</v>
      </c>
    </row>
    <row r="626" spans="1:20">
      <c r="A626" s="31">
        <v>624</v>
      </c>
      <c r="B626" s="33" t="s">
        <v>948</v>
      </c>
      <c r="C626" s="33">
        <v>100</v>
      </c>
      <c r="D626" s="33">
        <v>460</v>
      </c>
      <c r="E626" s="33">
        <v>36.900001525878906</v>
      </c>
      <c r="F626" s="33">
        <v>12.199999809265137</v>
      </c>
      <c r="G626" s="33">
        <v>42.900001525878906</v>
      </c>
      <c r="H626" s="33">
        <v>0</v>
      </c>
      <c r="I626" s="33">
        <v>6.3000001907348633</v>
      </c>
      <c r="J626" s="33">
        <v>0</v>
      </c>
      <c r="K626" s="33">
        <v>1.9999999552965164E-2</v>
      </c>
      <c r="L626" s="33">
        <v>0.23000000417232513</v>
      </c>
      <c r="M626" s="33">
        <v>0.20000000298023224</v>
      </c>
      <c r="N626" s="33">
        <v>0</v>
      </c>
      <c r="O626" s="33">
        <v>2.2999999523162842</v>
      </c>
      <c r="P626" s="33">
        <v>818</v>
      </c>
      <c r="Q626" s="33">
        <v>1.2999999523162842</v>
      </c>
      <c r="R626" s="34" t="s">
        <v>937</v>
      </c>
      <c r="S626" s="33">
        <v>0</v>
      </c>
      <c r="T626" s="35">
        <v>78</v>
      </c>
    </row>
    <row r="627" spans="1:20">
      <c r="A627" s="31">
        <v>625</v>
      </c>
      <c r="B627" s="33" t="s">
        <v>949</v>
      </c>
      <c r="C627" s="33">
        <v>100</v>
      </c>
      <c r="D627" s="33">
        <v>720</v>
      </c>
      <c r="E627" s="33">
        <v>18</v>
      </c>
      <c r="F627" s="33">
        <v>2.5</v>
      </c>
      <c r="G627" s="33">
        <v>78.599998474121094</v>
      </c>
      <c r="H627" s="33">
        <v>0</v>
      </c>
      <c r="I627" s="33">
        <v>0.69999998807907104</v>
      </c>
      <c r="J627" s="33">
        <v>1042</v>
      </c>
      <c r="K627" s="33">
        <v>0</v>
      </c>
      <c r="L627" s="33">
        <v>5.000000074505806E-2</v>
      </c>
      <c r="M627" s="33">
        <v>0.10000000149011612</v>
      </c>
      <c r="N627" s="33">
        <v>66.010002136230469</v>
      </c>
      <c r="O627" s="33">
        <v>29.600000381469727</v>
      </c>
      <c r="P627" s="33">
        <v>1</v>
      </c>
      <c r="Q627" s="33">
        <v>0.69999998807907104</v>
      </c>
      <c r="R627" s="34" t="s">
        <v>937</v>
      </c>
      <c r="S627" s="33">
        <v>0</v>
      </c>
      <c r="T627" s="35">
        <v>168</v>
      </c>
    </row>
    <row r="628" spans="1:20">
      <c r="A628" s="31">
        <v>626</v>
      </c>
      <c r="B628" s="33" t="s">
        <v>950</v>
      </c>
      <c r="C628" s="33">
        <v>100</v>
      </c>
      <c r="D628" s="33">
        <v>447</v>
      </c>
      <c r="E628" s="33">
        <v>48.099998474121094</v>
      </c>
      <c r="F628" s="33">
        <v>3.5999999046325684</v>
      </c>
      <c r="G628" s="33">
        <v>48.299999237060547</v>
      </c>
      <c r="H628" s="33">
        <v>0</v>
      </c>
      <c r="I628" s="33">
        <v>0</v>
      </c>
      <c r="J628" s="33">
        <v>0</v>
      </c>
      <c r="K628" s="33">
        <v>5.000000074505806E-2</v>
      </c>
      <c r="L628" s="33">
        <v>0.15999999642372131</v>
      </c>
      <c r="M628" s="33">
        <v>0.20000000298023224</v>
      </c>
      <c r="N628" s="33">
        <v>0</v>
      </c>
      <c r="O628" s="33">
        <v>41.099998474121094</v>
      </c>
      <c r="P628" s="33">
        <v>202</v>
      </c>
      <c r="Q628" s="33">
        <v>1</v>
      </c>
      <c r="R628" s="34" t="s">
        <v>937</v>
      </c>
      <c r="S628" s="33">
        <v>0</v>
      </c>
      <c r="T628" s="35">
        <v>92</v>
      </c>
    </row>
    <row r="629" spans="1:20">
      <c r="A629" s="31">
        <v>627</v>
      </c>
      <c r="B629" s="33" t="s">
        <v>951</v>
      </c>
      <c r="C629" s="33">
        <v>100</v>
      </c>
      <c r="D629" s="33">
        <v>503</v>
      </c>
      <c r="E629" s="33">
        <v>43.400001525878906</v>
      </c>
      <c r="F629" s="33">
        <v>1.1000000238418579</v>
      </c>
      <c r="G629" s="33">
        <v>55.5</v>
      </c>
      <c r="H629" s="33">
        <v>0</v>
      </c>
      <c r="I629" s="33">
        <v>0</v>
      </c>
      <c r="J629" s="33">
        <v>345</v>
      </c>
      <c r="K629" s="33">
        <v>9.9999997764825821E-3</v>
      </c>
      <c r="L629" s="33">
        <v>0.15999999642372131</v>
      </c>
      <c r="M629" s="33">
        <v>0.10000000149011612</v>
      </c>
      <c r="N629" s="33">
        <v>2.190000057220459</v>
      </c>
      <c r="O629" s="33">
        <v>190.80000305175781</v>
      </c>
      <c r="P629" s="33">
        <v>20</v>
      </c>
      <c r="Q629" s="33">
        <v>0.10000000149011612</v>
      </c>
      <c r="R629" s="34" t="s">
        <v>937</v>
      </c>
      <c r="S629" s="33">
        <v>0</v>
      </c>
      <c r="T629" s="35">
        <v>103</v>
      </c>
    </row>
    <row r="630" spans="1:20">
      <c r="A630" s="31">
        <v>628</v>
      </c>
      <c r="B630" s="33" t="s">
        <v>952</v>
      </c>
      <c r="C630" s="33">
        <v>100</v>
      </c>
      <c r="D630" s="33">
        <v>112</v>
      </c>
      <c r="E630" s="33">
        <v>75.300003051757813</v>
      </c>
      <c r="F630" s="33">
        <v>2.7000000476837158</v>
      </c>
      <c r="G630" s="33">
        <v>3.2999999523162842</v>
      </c>
      <c r="H630" s="33">
        <v>0</v>
      </c>
      <c r="I630" s="33">
        <v>17.899999618530273</v>
      </c>
      <c r="J630" s="33">
        <v>0</v>
      </c>
      <c r="K630" s="33">
        <v>2.9999999329447746E-2</v>
      </c>
      <c r="L630" s="33">
        <v>0</v>
      </c>
      <c r="M630" s="33">
        <v>0</v>
      </c>
      <c r="N630" s="33">
        <v>0</v>
      </c>
      <c r="O630" s="33">
        <v>0</v>
      </c>
      <c r="P630" s="33">
        <v>0</v>
      </c>
      <c r="Q630" s="33">
        <v>0</v>
      </c>
      <c r="R630" s="34" t="s">
        <v>937</v>
      </c>
      <c r="S630" s="33">
        <v>0</v>
      </c>
      <c r="T630" s="35">
        <v>76</v>
      </c>
    </row>
    <row r="631" spans="1:20">
      <c r="A631" s="31">
        <v>629</v>
      </c>
      <c r="B631" s="33" t="s">
        <v>953</v>
      </c>
      <c r="C631" s="33">
        <v>100</v>
      </c>
      <c r="D631" s="33">
        <v>54</v>
      </c>
      <c r="E631" s="33">
        <v>89.800003051757813</v>
      </c>
      <c r="F631" s="33">
        <v>3</v>
      </c>
      <c r="G631" s="33">
        <v>3.2000000476837158</v>
      </c>
      <c r="H631" s="33">
        <v>0</v>
      </c>
      <c r="I631" s="33">
        <v>3.4000000953674316</v>
      </c>
      <c r="J631" s="33">
        <v>24</v>
      </c>
      <c r="K631" s="33">
        <v>2.9999999329447746E-2</v>
      </c>
      <c r="L631" s="33">
        <v>0.14000000059604645</v>
      </c>
      <c r="M631" s="33">
        <v>0.10000000149011612</v>
      </c>
      <c r="N631" s="33">
        <v>0.20999999344348907</v>
      </c>
      <c r="O631" s="33">
        <v>37.200000762939453</v>
      </c>
      <c r="P631" s="33">
        <v>104</v>
      </c>
      <c r="Q631" s="33">
        <v>0.30000001192092896</v>
      </c>
      <c r="R631" s="34" t="s">
        <v>937</v>
      </c>
      <c r="S631" s="33">
        <v>0</v>
      </c>
      <c r="T631" s="35">
        <v>15</v>
      </c>
    </row>
    <row r="632" spans="1:20">
      <c r="A632" s="31">
        <v>630</v>
      </c>
      <c r="B632" s="33" t="s">
        <v>954</v>
      </c>
      <c r="C632" s="33">
        <v>100</v>
      </c>
      <c r="D632" s="33">
        <v>60</v>
      </c>
      <c r="E632" s="33">
        <v>88.099998474121094</v>
      </c>
      <c r="F632" s="33">
        <v>3.0999999046325684</v>
      </c>
      <c r="G632" s="33">
        <v>3</v>
      </c>
      <c r="H632" s="33">
        <v>0</v>
      </c>
      <c r="I632" s="33">
        <v>5.0999999046325684</v>
      </c>
      <c r="J632" s="33">
        <v>13</v>
      </c>
      <c r="K632" s="33">
        <v>0.11999999731779099</v>
      </c>
      <c r="L632" s="33">
        <v>0.15999999642372131</v>
      </c>
      <c r="M632" s="33">
        <v>0</v>
      </c>
      <c r="N632" s="33">
        <v>0</v>
      </c>
      <c r="O632" s="33">
        <v>45.799999237060547</v>
      </c>
      <c r="P632" s="33">
        <v>114</v>
      </c>
      <c r="Q632" s="33">
        <v>0.10000000149011612</v>
      </c>
      <c r="R632" s="34" t="s">
        <v>937</v>
      </c>
      <c r="S632" s="33">
        <v>0</v>
      </c>
      <c r="T632" s="35">
        <v>32</v>
      </c>
    </row>
    <row r="633" spans="1:20">
      <c r="A633" s="31">
        <v>631</v>
      </c>
      <c r="B633" s="33" t="s">
        <v>955</v>
      </c>
      <c r="C633" s="33">
        <v>100</v>
      </c>
      <c r="D633" s="33">
        <v>51</v>
      </c>
      <c r="E633" s="33">
        <v>89</v>
      </c>
      <c r="F633" s="33">
        <v>2.7000000476837158</v>
      </c>
      <c r="G633" s="33">
        <v>2</v>
      </c>
      <c r="H633" s="33">
        <v>0</v>
      </c>
      <c r="I633" s="33">
        <v>5.5999999046325684</v>
      </c>
      <c r="J633" s="33">
        <v>66</v>
      </c>
      <c r="K633" s="33">
        <v>1.9999999552965164E-2</v>
      </c>
      <c r="L633" s="33">
        <v>7.9999998211860657E-2</v>
      </c>
      <c r="M633" s="33">
        <v>0.10000000149011612</v>
      </c>
      <c r="N633" s="33">
        <v>0</v>
      </c>
      <c r="O633" s="33">
        <v>42.599998474121094</v>
      </c>
      <c r="P633" s="33">
        <v>140</v>
      </c>
      <c r="Q633" s="33">
        <v>0.20000000298023224</v>
      </c>
      <c r="R633" s="34" t="s">
        <v>937</v>
      </c>
      <c r="S633" s="33">
        <v>0</v>
      </c>
      <c r="T633" s="35">
        <v>0</v>
      </c>
    </row>
    <row r="634" spans="1:20">
      <c r="A634" s="31">
        <v>632</v>
      </c>
      <c r="B634" s="33" t="s">
        <v>956</v>
      </c>
      <c r="C634" s="33">
        <v>100</v>
      </c>
      <c r="D634" s="33">
        <v>59</v>
      </c>
      <c r="E634" s="33">
        <v>88.599998474121094</v>
      </c>
      <c r="F634" s="33">
        <v>2.9000000953674316</v>
      </c>
      <c r="G634" s="33">
        <v>3.2000000476837158</v>
      </c>
      <c r="H634" s="33">
        <v>0</v>
      </c>
      <c r="I634" s="33">
        <v>4.5999999046325684</v>
      </c>
      <c r="J634" s="33">
        <v>9</v>
      </c>
      <c r="K634" s="33">
        <v>0.12999999523162842</v>
      </c>
      <c r="L634" s="33">
        <v>0.18000000715255737</v>
      </c>
      <c r="M634" s="33">
        <v>0</v>
      </c>
      <c r="N634" s="33">
        <v>0</v>
      </c>
      <c r="O634" s="33">
        <v>40.200000762939453</v>
      </c>
      <c r="P634" s="33">
        <v>108</v>
      </c>
      <c r="Q634" s="33">
        <v>0.10000000149011612</v>
      </c>
      <c r="R634" s="34" t="s">
        <v>937</v>
      </c>
      <c r="S634" s="33">
        <v>0</v>
      </c>
      <c r="T634" s="35">
        <v>26</v>
      </c>
    </row>
    <row r="635" spans="1:20">
      <c r="A635" s="31">
        <v>633</v>
      </c>
      <c r="B635" s="33" t="s">
        <v>957</v>
      </c>
      <c r="C635" s="33">
        <v>100</v>
      </c>
      <c r="D635" s="33">
        <v>50</v>
      </c>
      <c r="E635" s="33">
        <v>90</v>
      </c>
      <c r="F635" s="33">
        <v>4.0999999046325684</v>
      </c>
      <c r="G635" s="33">
        <v>2.5</v>
      </c>
      <c r="H635" s="33">
        <v>0</v>
      </c>
      <c r="I635" s="33">
        <v>2.7000000476837158</v>
      </c>
      <c r="J635" s="33">
        <v>0</v>
      </c>
      <c r="K635" s="33">
        <v>1.9999999552965164E-2</v>
      </c>
      <c r="L635" s="33">
        <v>9.0000003576278687E-2</v>
      </c>
      <c r="M635" s="33">
        <v>0.20000000298023224</v>
      </c>
      <c r="N635" s="33">
        <v>0</v>
      </c>
      <c r="O635" s="33">
        <v>28.799999237060547</v>
      </c>
      <c r="P635" s="33">
        <v>77</v>
      </c>
      <c r="Q635" s="33">
        <v>0.69999998807907104</v>
      </c>
      <c r="R635" s="34" t="s">
        <v>937</v>
      </c>
      <c r="S635" s="33">
        <v>0</v>
      </c>
      <c r="T635" s="35">
        <v>9</v>
      </c>
    </row>
    <row r="636" spans="1:20">
      <c r="A636" s="31">
        <v>634</v>
      </c>
      <c r="B636" s="33" t="s">
        <v>958</v>
      </c>
      <c r="C636" s="33">
        <v>100</v>
      </c>
      <c r="D636" s="33">
        <v>510</v>
      </c>
      <c r="E636" s="33">
        <v>2.9000000953674316</v>
      </c>
      <c r="F636" s="33">
        <v>14.5</v>
      </c>
      <c r="G636" s="33">
        <v>27.100000381469727</v>
      </c>
      <c r="H636" s="33">
        <v>0</v>
      </c>
      <c r="I636" s="33">
        <v>51.900001525878906</v>
      </c>
      <c r="J636" s="33">
        <v>303</v>
      </c>
      <c r="K636" s="33">
        <v>0.34999999403953552</v>
      </c>
      <c r="L636" s="33">
        <v>1.1599999666213989</v>
      </c>
      <c r="M636" s="33">
        <v>0.5</v>
      </c>
      <c r="N636" s="33">
        <v>0.18000000715255737</v>
      </c>
      <c r="O636" s="33">
        <v>168.69999694824219</v>
      </c>
      <c r="P636" s="33">
        <v>251</v>
      </c>
      <c r="Q636" s="33">
        <v>8.3000001907348633</v>
      </c>
      <c r="R636" s="34" t="s">
        <v>937</v>
      </c>
      <c r="S636" s="33">
        <v>0</v>
      </c>
      <c r="T636" s="35">
        <v>0</v>
      </c>
    </row>
    <row r="637" spans="1:20">
      <c r="A637" s="31">
        <v>635</v>
      </c>
      <c r="B637" s="33" t="s">
        <v>959</v>
      </c>
      <c r="C637" s="33">
        <v>100</v>
      </c>
      <c r="D637" s="33">
        <v>484</v>
      </c>
      <c r="E637" s="33">
        <v>2.7999999523162842</v>
      </c>
      <c r="F637" s="33">
        <v>19.899999618530273</v>
      </c>
      <c r="G637" s="33">
        <v>22.700000762939453</v>
      </c>
      <c r="H637" s="33">
        <v>0</v>
      </c>
      <c r="I637" s="33">
        <v>49.900001525878906</v>
      </c>
      <c r="J637" s="33">
        <v>77</v>
      </c>
      <c r="K637" s="33">
        <v>0.2800000011920929</v>
      </c>
      <c r="L637" s="33">
        <v>6.679999828338623</v>
      </c>
      <c r="M637" s="33">
        <v>0.5</v>
      </c>
      <c r="N637" s="33">
        <v>0.47999998927116394</v>
      </c>
      <c r="O637" s="33">
        <v>567.79998779296875</v>
      </c>
      <c r="P637" s="33">
        <v>1797</v>
      </c>
      <c r="Q637" s="33">
        <v>1.3999999761581421</v>
      </c>
      <c r="R637" s="34" t="s">
        <v>937</v>
      </c>
      <c r="S637" s="33">
        <v>0</v>
      </c>
      <c r="T637" s="35">
        <v>68</v>
      </c>
    </row>
    <row r="638" spans="1:20">
      <c r="A638" s="31">
        <v>636</v>
      </c>
      <c r="B638" s="33" t="s">
        <v>960</v>
      </c>
      <c r="C638" s="33">
        <v>100</v>
      </c>
      <c r="D638" s="33">
        <v>478</v>
      </c>
      <c r="E638" s="33">
        <v>2.2999999523162842</v>
      </c>
      <c r="F638" s="33">
        <v>20.100000381469727</v>
      </c>
      <c r="G638" s="33">
        <v>21.200000762939453</v>
      </c>
      <c r="H638" s="33">
        <v>0</v>
      </c>
      <c r="I638" s="33">
        <v>51.700000762939453</v>
      </c>
      <c r="J638" s="33">
        <v>141</v>
      </c>
      <c r="K638" s="33">
        <v>0.10999999940395355</v>
      </c>
      <c r="L638" s="33">
        <v>0.73000001907348633</v>
      </c>
      <c r="M638" s="33">
        <v>0.89999997615814209</v>
      </c>
      <c r="N638" s="33">
        <v>0.47999998927116394</v>
      </c>
      <c r="O638" s="33">
        <v>260.10000610351563</v>
      </c>
      <c r="P638" s="33">
        <v>676</v>
      </c>
      <c r="Q638" s="33">
        <v>1.2000000476837158</v>
      </c>
      <c r="R638" s="34" t="s">
        <v>937</v>
      </c>
      <c r="S638" s="33">
        <v>0</v>
      </c>
      <c r="T638" s="35">
        <v>110</v>
      </c>
    </row>
    <row r="639" spans="1:20">
      <c r="A639" s="31">
        <v>637</v>
      </c>
      <c r="B639" s="33" t="s">
        <v>961</v>
      </c>
      <c r="C639" s="33">
        <v>100</v>
      </c>
      <c r="D639" s="33">
        <v>466</v>
      </c>
      <c r="E639" s="33">
        <v>2.2999999523162842</v>
      </c>
      <c r="F639" s="33">
        <v>19.899999618530273</v>
      </c>
      <c r="G639" s="33">
        <v>18.899999618530273</v>
      </c>
      <c r="H639" s="33">
        <v>0</v>
      </c>
      <c r="I639" s="33">
        <v>54</v>
      </c>
      <c r="J639" s="33">
        <v>272</v>
      </c>
      <c r="K639" s="33">
        <v>7.9999998211860657E-2</v>
      </c>
      <c r="L639" s="33">
        <v>0.80000001192092896</v>
      </c>
      <c r="M639" s="33">
        <v>0.5</v>
      </c>
      <c r="N639" s="33">
        <v>1.2899999618530273</v>
      </c>
      <c r="O639" s="33">
        <v>247.60000610351563</v>
      </c>
      <c r="P639" s="33">
        <v>659</v>
      </c>
      <c r="Q639" s="33">
        <v>2.9000000953674316</v>
      </c>
      <c r="R639" s="34" t="s">
        <v>937</v>
      </c>
      <c r="S639" s="33">
        <v>0</v>
      </c>
      <c r="T639" s="35">
        <v>71</v>
      </c>
    </row>
    <row r="640" spans="1:20">
      <c r="A640" s="31">
        <v>638</v>
      </c>
      <c r="B640" s="33" t="s">
        <v>962</v>
      </c>
      <c r="C640" s="33">
        <v>100</v>
      </c>
      <c r="D640" s="33">
        <v>443</v>
      </c>
      <c r="E640" s="33">
        <v>3.7000000476837158</v>
      </c>
      <c r="F640" s="33">
        <v>19.799999237060547</v>
      </c>
      <c r="G640" s="33">
        <v>15.100000381469727</v>
      </c>
      <c r="H640" s="33">
        <v>0</v>
      </c>
      <c r="I640" s="33">
        <v>57</v>
      </c>
      <c r="J640" s="33">
        <v>28</v>
      </c>
      <c r="K640" s="33">
        <v>0.11999999731779099</v>
      </c>
      <c r="L640" s="33">
        <v>1.25</v>
      </c>
      <c r="M640" s="33">
        <v>0.40000000596046448</v>
      </c>
      <c r="N640" s="33">
        <v>3.2899999618530273</v>
      </c>
      <c r="O640" s="33">
        <v>9.3999996185302734</v>
      </c>
      <c r="P640" s="33">
        <v>998</v>
      </c>
      <c r="Q640" s="33">
        <v>5.1999998092651367</v>
      </c>
      <c r="R640" s="34" t="s">
        <v>937</v>
      </c>
      <c r="S640" s="33">
        <v>0</v>
      </c>
      <c r="T640" s="35">
        <v>91</v>
      </c>
    </row>
    <row r="641" spans="1:20">
      <c r="A641" s="31">
        <v>639</v>
      </c>
      <c r="B641" s="33" t="s">
        <v>963</v>
      </c>
      <c r="C641" s="33">
        <v>100</v>
      </c>
      <c r="D641" s="33">
        <v>443</v>
      </c>
      <c r="E641" s="33">
        <v>11.199999809265137</v>
      </c>
      <c r="F641" s="33">
        <v>40.400001525878906</v>
      </c>
      <c r="G641" s="33">
        <v>20.399999618530273</v>
      </c>
      <c r="H641" s="33">
        <v>0</v>
      </c>
      <c r="I641" s="33">
        <v>24.399999618530273</v>
      </c>
      <c r="J641" s="33">
        <v>0</v>
      </c>
      <c r="K641" s="33">
        <v>5.000000074505806E-2</v>
      </c>
      <c r="L641" s="33">
        <v>0.43999999761581421</v>
      </c>
      <c r="M641" s="33">
        <v>1</v>
      </c>
      <c r="N641" s="33">
        <v>0</v>
      </c>
      <c r="O641" s="33">
        <v>130.80000305175781</v>
      </c>
      <c r="P641" s="33">
        <v>756</v>
      </c>
      <c r="Q641" s="33">
        <v>20.600000381469727</v>
      </c>
      <c r="R641" s="34" t="s">
        <v>937</v>
      </c>
      <c r="S641" s="33">
        <v>0</v>
      </c>
      <c r="T641" s="35">
        <v>120</v>
      </c>
    </row>
    <row r="642" spans="1:20">
      <c r="A642" s="31">
        <v>640</v>
      </c>
      <c r="B642" s="33" t="s">
        <v>964</v>
      </c>
      <c r="C642" s="33">
        <v>100</v>
      </c>
      <c r="D642" s="33">
        <v>72</v>
      </c>
      <c r="E642" s="33">
        <v>84.699996948242188</v>
      </c>
      <c r="F642" s="33">
        <v>2.5</v>
      </c>
      <c r="G642" s="33">
        <v>2.7000000476837158</v>
      </c>
      <c r="H642" s="33">
        <v>0</v>
      </c>
      <c r="I642" s="33">
        <v>9.3000001907348633</v>
      </c>
      <c r="J642" s="33">
        <v>26</v>
      </c>
      <c r="K642" s="33">
        <v>2.9999999329447746E-2</v>
      </c>
      <c r="L642" s="33">
        <v>0.15000000596046448</v>
      </c>
      <c r="M642" s="33">
        <v>0.20000000298023224</v>
      </c>
      <c r="N642" s="33">
        <v>0.11999999731779099</v>
      </c>
      <c r="O642" s="33">
        <v>39.799999237060547</v>
      </c>
      <c r="P642" s="33">
        <v>118</v>
      </c>
      <c r="Q642" s="33">
        <v>0.40000000596046448</v>
      </c>
      <c r="R642" s="34" t="s">
        <v>937</v>
      </c>
      <c r="S642" s="33">
        <v>0</v>
      </c>
      <c r="T642" s="35">
        <v>15</v>
      </c>
    </row>
    <row r="643" spans="1:20">
      <c r="A643" s="31">
        <v>641</v>
      </c>
      <c r="B643" s="33" t="s">
        <v>965</v>
      </c>
      <c r="C643" s="33">
        <v>100</v>
      </c>
      <c r="D643" s="33">
        <v>62</v>
      </c>
      <c r="E643" s="33">
        <v>86.599998474121094</v>
      </c>
      <c r="F643" s="33">
        <v>3.2000000476837158</v>
      </c>
      <c r="G643" s="33">
        <v>2.2000000476837158</v>
      </c>
      <c r="H643" s="33">
        <v>0</v>
      </c>
      <c r="I643" s="33">
        <v>7.3000001907348633</v>
      </c>
      <c r="J643" s="33">
        <v>0</v>
      </c>
      <c r="K643" s="33">
        <v>7.0000000298023224E-2</v>
      </c>
      <c r="L643" s="33">
        <v>7.9999998211860657E-2</v>
      </c>
      <c r="M643" s="33">
        <v>0.10000000149011612</v>
      </c>
      <c r="N643" s="33">
        <v>0</v>
      </c>
      <c r="O643" s="33">
        <v>43</v>
      </c>
      <c r="P643" s="33">
        <v>161</v>
      </c>
      <c r="Q643" s="33">
        <v>0</v>
      </c>
      <c r="R643" s="34" t="s">
        <v>937</v>
      </c>
      <c r="S643" s="33">
        <v>0</v>
      </c>
      <c r="T643" s="35">
        <v>15</v>
      </c>
    </row>
    <row r="644" spans="1:20">
      <c r="A644" s="31">
        <v>642</v>
      </c>
      <c r="B644" s="33" t="s">
        <v>966</v>
      </c>
      <c r="C644" s="33">
        <v>100</v>
      </c>
      <c r="D644" s="33">
        <v>67</v>
      </c>
      <c r="E644" s="33">
        <v>84.400001525878906</v>
      </c>
      <c r="F644" s="33">
        <v>3.0999999046325684</v>
      </c>
      <c r="G644" s="33">
        <v>1.3999999761581421</v>
      </c>
      <c r="H644" s="33">
        <v>0</v>
      </c>
      <c r="I644" s="33">
        <v>10.399999618530273</v>
      </c>
      <c r="J644" s="33">
        <v>19</v>
      </c>
      <c r="K644" s="33">
        <v>2.9999999329447746E-2</v>
      </c>
      <c r="L644" s="33">
        <v>0.18999999761581421</v>
      </c>
      <c r="M644" s="33">
        <v>0.10000000149011612</v>
      </c>
      <c r="N644" s="33">
        <v>0.68000000715255737</v>
      </c>
      <c r="O644" s="33">
        <v>32.5</v>
      </c>
      <c r="P644" s="33">
        <v>140</v>
      </c>
      <c r="Q644" s="33">
        <v>0.40000000596046448</v>
      </c>
      <c r="R644" s="34" t="s">
        <v>937</v>
      </c>
      <c r="S644" s="33">
        <v>0</v>
      </c>
      <c r="T644" s="35">
        <v>15</v>
      </c>
    </row>
    <row r="645" spans="1:20">
      <c r="A645" s="31">
        <v>643</v>
      </c>
      <c r="B645" s="33" t="s">
        <v>967</v>
      </c>
      <c r="C645" s="33">
        <v>100</v>
      </c>
      <c r="D645" s="33">
        <v>48</v>
      </c>
      <c r="E645" s="33">
        <v>87.599998474121094</v>
      </c>
      <c r="F645" s="33">
        <v>3.2000000476837158</v>
      </c>
      <c r="G645" s="33">
        <v>0.30000001192092896</v>
      </c>
      <c r="H645" s="33">
        <v>0</v>
      </c>
      <c r="I645" s="33">
        <v>8.1999998092651367</v>
      </c>
      <c r="J645" s="33">
        <v>1</v>
      </c>
      <c r="K645" s="33">
        <v>1.9999999552965164E-2</v>
      </c>
      <c r="L645" s="33">
        <v>0.20999999344348907</v>
      </c>
      <c r="M645" s="33">
        <v>0.10000000149011612</v>
      </c>
      <c r="N645" s="33">
        <v>2.9999999329447746E-2</v>
      </c>
      <c r="O645" s="33">
        <v>2.5999999046325684</v>
      </c>
      <c r="P645" s="33">
        <v>89</v>
      </c>
      <c r="Q645" s="33">
        <v>0.20000000298023224</v>
      </c>
      <c r="R645" s="34" t="s">
        <v>937</v>
      </c>
      <c r="S645" s="33">
        <v>0</v>
      </c>
      <c r="T645" s="35">
        <v>15</v>
      </c>
    </row>
    <row r="646" spans="1:20">
      <c r="A646" s="31">
        <v>644</v>
      </c>
      <c r="B646" s="33" t="s">
        <v>968</v>
      </c>
      <c r="C646" s="33">
        <v>100</v>
      </c>
      <c r="D646" s="33">
        <v>57</v>
      </c>
      <c r="E646" s="33">
        <v>85.5</v>
      </c>
      <c r="F646" s="33">
        <v>3.2999999523162842</v>
      </c>
      <c r="G646" s="33">
        <v>0.40000000596046448</v>
      </c>
      <c r="H646" s="33">
        <v>0</v>
      </c>
      <c r="I646" s="33">
        <v>10</v>
      </c>
      <c r="J646" s="33">
        <v>0</v>
      </c>
      <c r="K646" s="33">
        <v>1.9999999552965164E-2</v>
      </c>
      <c r="L646" s="33">
        <v>0.10000000149011612</v>
      </c>
      <c r="M646" s="33">
        <v>0.10000000149011612</v>
      </c>
      <c r="N646" s="33">
        <v>0</v>
      </c>
      <c r="O646" s="33">
        <v>27.700000762939453</v>
      </c>
      <c r="P646" s="33">
        <v>146</v>
      </c>
      <c r="Q646" s="33">
        <v>0.10000000149011612</v>
      </c>
      <c r="R646" s="34" t="s">
        <v>937</v>
      </c>
      <c r="S646" s="33">
        <v>0</v>
      </c>
      <c r="T646" s="35">
        <v>15</v>
      </c>
    </row>
    <row r="647" spans="1:20">
      <c r="A647" s="31">
        <v>645</v>
      </c>
      <c r="B647" s="33" t="s">
        <v>969</v>
      </c>
      <c r="C647" s="33">
        <v>100</v>
      </c>
      <c r="D647" s="33">
        <v>64</v>
      </c>
      <c r="E647" s="33">
        <v>85.800003051757813</v>
      </c>
      <c r="F647" s="33">
        <v>2.7000000476837158</v>
      </c>
      <c r="G647" s="33">
        <v>1.8999999761581421</v>
      </c>
      <c r="H647" s="33">
        <v>0</v>
      </c>
      <c r="I647" s="33">
        <v>9</v>
      </c>
      <c r="J647" s="33">
        <v>32</v>
      </c>
      <c r="K647" s="33">
        <v>1.9999999552965164E-2</v>
      </c>
      <c r="L647" s="33">
        <v>0.12999999523162842</v>
      </c>
      <c r="M647" s="33">
        <v>0.10000000149011612</v>
      </c>
      <c r="N647" s="33">
        <v>0.12999999523162842</v>
      </c>
      <c r="O647" s="33">
        <v>13</v>
      </c>
      <c r="P647" s="33">
        <v>81</v>
      </c>
      <c r="Q647" s="33">
        <v>0</v>
      </c>
      <c r="R647" s="34" t="s">
        <v>937</v>
      </c>
      <c r="S647" s="33">
        <v>0</v>
      </c>
      <c r="T647" s="35">
        <v>15</v>
      </c>
    </row>
    <row r="648" spans="1:20">
      <c r="A648" s="31">
        <v>646</v>
      </c>
      <c r="B648" s="33" t="s">
        <v>970</v>
      </c>
      <c r="C648" s="33">
        <v>100</v>
      </c>
      <c r="D648" s="33">
        <v>59</v>
      </c>
      <c r="E648" s="33">
        <v>88.900001525878906</v>
      </c>
      <c r="F648" s="33">
        <v>1.5</v>
      </c>
      <c r="G648" s="33">
        <v>3.5</v>
      </c>
      <c r="H648" s="33">
        <v>0</v>
      </c>
      <c r="I648" s="33">
        <v>5.4000000953674316</v>
      </c>
      <c r="J648" s="33">
        <v>84</v>
      </c>
      <c r="K648" s="33">
        <v>3.9999999105930328E-2</v>
      </c>
      <c r="L648" s="33">
        <v>0.11999999731779099</v>
      </c>
      <c r="M648" s="33">
        <v>2.0999999046325684</v>
      </c>
      <c r="N648" s="33">
        <v>0.18999999761581421</v>
      </c>
      <c r="O648" s="33">
        <v>20.600000381469727</v>
      </c>
      <c r="P648" s="33">
        <v>82</v>
      </c>
      <c r="Q648" s="33">
        <v>0.5</v>
      </c>
      <c r="R648" s="34" t="s">
        <v>937</v>
      </c>
      <c r="S648" s="33">
        <v>0</v>
      </c>
      <c r="T648" s="35">
        <v>31</v>
      </c>
    </row>
    <row r="649" spans="1:20">
      <c r="A649" s="31">
        <v>647</v>
      </c>
      <c r="B649" s="33" t="s">
        <v>971</v>
      </c>
      <c r="C649" s="33">
        <v>100</v>
      </c>
      <c r="D649" s="33">
        <v>498</v>
      </c>
      <c r="E649" s="33">
        <v>1.3999999761581421</v>
      </c>
      <c r="F649" s="33">
        <v>18.799999237060547</v>
      </c>
      <c r="G649" s="33">
        <v>25.200000762939453</v>
      </c>
      <c r="H649" s="33">
        <v>0</v>
      </c>
      <c r="I649" s="33">
        <v>49</v>
      </c>
      <c r="J649" s="33">
        <v>0</v>
      </c>
      <c r="K649" s="33">
        <v>5.9999998658895493E-2</v>
      </c>
      <c r="L649" s="33">
        <v>1.6000000238418579</v>
      </c>
      <c r="M649" s="33">
        <v>0.89999997615814209</v>
      </c>
      <c r="N649" s="33">
        <v>0.20000000298023224</v>
      </c>
      <c r="O649" s="33">
        <v>0</v>
      </c>
      <c r="P649" s="33">
        <v>0</v>
      </c>
      <c r="Q649" s="33">
        <v>0</v>
      </c>
      <c r="R649" s="34" t="s">
        <v>937</v>
      </c>
      <c r="S649" s="33">
        <v>0</v>
      </c>
      <c r="T649" s="35">
        <v>75</v>
      </c>
    </row>
    <row r="650" spans="1:20">
      <c r="A650" s="31">
        <v>648</v>
      </c>
      <c r="B650" s="33" t="s">
        <v>972</v>
      </c>
      <c r="C650" s="33">
        <v>86</v>
      </c>
      <c r="D650" s="33">
        <v>160</v>
      </c>
      <c r="E650" s="33">
        <v>73</v>
      </c>
      <c r="F650" s="33">
        <v>12.800000190734863</v>
      </c>
      <c r="G650" s="33">
        <v>11.100000381469727</v>
      </c>
      <c r="H650" s="33">
        <v>0</v>
      </c>
      <c r="I650" s="33">
        <v>2.0999999046325684</v>
      </c>
      <c r="J650" s="33">
        <v>337</v>
      </c>
      <c r="K650" s="33">
        <v>0.10999999940395355</v>
      </c>
      <c r="L650" s="33">
        <v>0.49000000953674316</v>
      </c>
      <c r="M650" s="33">
        <v>0.10000000149011612</v>
      </c>
      <c r="N650" s="33">
        <v>3.0799999237060547</v>
      </c>
      <c r="O650" s="33">
        <v>106.59999847412109</v>
      </c>
      <c r="P650" s="33">
        <v>47</v>
      </c>
      <c r="Q650" s="33">
        <v>3.2000000476837158</v>
      </c>
      <c r="R650" s="34" t="s">
        <v>973</v>
      </c>
      <c r="S650" s="33">
        <v>0</v>
      </c>
      <c r="T650" s="35">
        <v>515</v>
      </c>
    </row>
    <row r="651" spans="1:20">
      <c r="A651" s="31">
        <v>649</v>
      </c>
      <c r="B651" s="33" t="s">
        <v>974</v>
      </c>
      <c r="C651" s="33">
        <v>89</v>
      </c>
      <c r="D651" s="33">
        <v>152</v>
      </c>
      <c r="E651" s="33">
        <v>74.400001525878906</v>
      </c>
      <c r="F651" s="33">
        <v>11.600000381469727</v>
      </c>
      <c r="G651" s="33">
        <v>11.699999809265137</v>
      </c>
      <c r="H651" s="33">
        <v>0</v>
      </c>
      <c r="I651" s="33">
        <v>0</v>
      </c>
      <c r="J651" s="33">
        <v>98</v>
      </c>
      <c r="K651" s="33">
        <v>9.9999997764825821E-3</v>
      </c>
      <c r="L651" s="33">
        <v>5.9999998658895493E-2</v>
      </c>
      <c r="M651" s="33">
        <v>0.30000001192092896</v>
      </c>
      <c r="N651" s="33">
        <v>5.3400001525878906</v>
      </c>
      <c r="O651" s="33">
        <v>711.5</v>
      </c>
      <c r="P651" s="33">
        <v>157</v>
      </c>
      <c r="Q651" s="33">
        <v>2.5999999046325684</v>
      </c>
      <c r="R651" s="34" t="s">
        <v>973</v>
      </c>
      <c r="S651" s="33">
        <v>0</v>
      </c>
      <c r="T651" s="35">
        <v>480</v>
      </c>
    </row>
    <row r="652" spans="1:20">
      <c r="A652" s="31">
        <v>650</v>
      </c>
      <c r="B652" s="33" t="s">
        <v>975</v>
      </c>
      <c r="C652" s="33">
        <v>87</v>
      </c>
      <c r="D652" s="33">
        <v>196</v>
      </c>
      <c r="E652" s="33">
        <v>69.300003051757813</v>
      </c>
      <c r="F652" s="33">
        <v>11.100000381469727</v>
      </c>
      <c r="G652" s="33">
        <v>15.600000381469727</v>
      </c>
      <c r="H652" s="33">
        <v>0</v>
      </c>
      <c r="I652" s="33">
        <v>2.7999999523162842</v>
      </c>
      <c r="J652" s="33">
        <v>192</v>
      </c>
      <c r="K652" s="33">
        <v>7.9999998211860657E-2</v>
      </c>
      <c r="L652" s="33">
        <v>0.30000001192092896</v>
      </c>
      <c r="M652" s="33">
        <v>0.40000000596046448</v>
      </c>
      <c r="N652" s="33">
        <v>4.5</v>
      </c>
      <c r="O652" s="33">
        <v>90.599998474121094</v>
      </c>
      <c r="P652" s="33">
        <v>34</v>
      </c>
      <c r="Q652" s="33">
        <v>4.0999999046325684</v>
      </c>
      <c r="R652" s="34" t="s">
        <v>973</v>
      </c>
      <c r="S652" s="33">
        <v>0</v>
      </c>
      <c r="T652" s="35">
        <v>704</v>
      </c>
    </row>
    <row r="653" spans="1:20">
      <c r="A653" s="31">
        <v>651</v>
      </c>
      <c r="B653" s="33" t="s">
        <v>976</v>
      </c>
      <c r="C653" s="33">
        <v>100</v>
      </c>
      <c r="D653" s="33">
        <v>48</v>
      </c>
      <c r="E653" s="33">
        <v>87.199996948242188</v>
      </c>
      <c r="F653" s="33">
        <v>8.8999996185302734</v>
      </c>
      <c r="G653" s="33">
        <v>0</v>
      </c>
      <c r="H653" s="33">
        <v>0</v>
      </c>
      <c r="I653" s="33">
        <v>3.2000000476837158</v>
      </c>
      <c r="J653" s="33">
        <v>7</v>
      </c>
      <c r="K653" s="33">
        <v>2.9999999329447746E-2</v>
      </c>
      <c r="L653" s="33">
        <v>3.9999999105930328E-2</v>
      </c>
      <c r="M653" s="33">
        <v>0.30000001192092896</v>
      </c>
      <c r="N653" s="33">
        <v>0.34000000357627869</v>
      </c>
      <c r="O653" s="33">
        <v>77.300003051757813</v>
      </c>
      <c r="P653" s="33">
        <v>4</v>
      </c>
      <c r="Q653" s="33">
        <v>2.7999999523162842</v>
      </c>
      <c r="R653" s="34" t="s">
        <v>973</v>
      </c>
      <c r="S653" s="33">
        <v>0</v>
      </c>
      <c r="T653" s="35">
        <v>0</v>
      </c>
    </row>
    <row r="654" spans="1:20">
      <c r="A654" s="31">
        <v>652</v>
      </c>
      <c r="B654" s="33" t="s">
        <v>977</v>
      </c>
      <c r="C654" s="33">
        <v>100</v>
      </c>
      <c r="D654" s="33">
        <v>324</v>
      </c>
      <c r="E654" s="33">
        <v>50.099998474121094</v>
      </c>
      <c r="F654" s="33">
        <v>15.5</v>
      </c>
      <c r="G654" s="33">
        <v>26.399999618530273</v>
      </c>
      <c r="H654" s="33">
        <v>0</v>
      </c>
      <c r="I654" s="33">
        <v>6.1999998092651367</v>
      </c>
      <c r="J654" s="33">
        <v>1977</v>
      </c>
      <c r="K654" s="33">
        <v>5.9999998658895493E-2</v>
      </c>
      <c r="L654" s="33">
        <v>0.5899999737739563</v>
      </c>
      <c r="M654" s="33">
        <v>0.60000002384185791</v>
      </c>
      <c r="N654" s="33">
        <v>95.699996948242188</v>
      </c>
      <c r="O654" s="33">
        <v>24.399999618530273</v>
      </c>
      <c r="P654" s="33">
        <v>13</v>
      </c>
      <c r="Q654" s="33">
        <v>2.7999999523162842</v>
      </c>
      <c r="R654" s="34" t="s">
        <v>973</v>
      </c>
      <c r="S654" s="33">
        <v>0</v>
      </c>
      <c r="T654" s="35">
        <v>1696</v>
      </c>
    </row>
    <row r="655" spans="1:20">
      <c r="A655" s="31">
        <v>653</v>
      </c>
      <c r="B655" s="33" t="s">
        <v>978</v>
      </c>
      <c r="C655" s="33">
        <v>87</v>
      </c>
      <c r="D655" s="33">
        <v>138</v>
      </c>
      <c r="E655" s="33">
        <v>75.800003051757813</v>
      </c>
      <c r="F655" s="33">
        <v>12.699999809265137</v>
      </c>
      <c r="G655" s="33">
        <v>9</v>
      </c>
      <c r="H655" s="33">
        <v>0</v>
      </c>
      <c r="I655" s="33">
        <v>1.5</v>
      </c>
      <c r="J655" s="33">
        <v>310</v>
      </c>
      <c r="K655" s="33">
        <v>9.0000003576278687E-2</v>
      </c>
      <c r="L655" s="33">
        <v>0.31000000238418579</v>
      </c>
      <c r="M655" s="33">
        <v>0.20000000298023224</v>
      </c>
      <c r="N655" s="33">
        <v>1.2300000190734863</v>
      </c>
      <c r="O655" s="33">
        <v>94.699996948242188</v>
      </c>
      <c r="P655" s="33">
        <v>48</v>
      </c>
      <c r="Q655" s="33">
        <v>2</v>
      </c>
      <c r="R655" s="34" t="s">
        <v>973</v>
      </c>
      <c r="S655" s="33">
        <v>0</v>
      </c>
      <c r="T655" s="35">
        <v>585</v>
      </c>
    </row>
    <row r="656" spans="1:20">
      <c r="A656" s="31">
        <v>654</v>
      </c>
      <c r="B656" s="33" t="s">
        <v>979</v>
      </c>
      <c r="C656" s="33">
        <v>88</v>
      </c>
      <c r="D656" s="33">
        <v>156</v>
      </c>
      <c r="E656" s="33">
        <v>73.800003051757813</v>
      </c>
      <c r="F656" s="33">
        <v>12.800000190734863</v>
      </c>
      <c r="G656" s="33">
        <v>11.100000381469727</v>
      </c>
      <c r="H656" s="33">
        <v>0</v>
      </c>
      <c r="I656" s="33">
        <v>1.2999999523162842</v>
      </c>
      <c r="J656" s="33">
        <v>194</v>
      </c>
      <c r="K656" s="33">
        <v>0.12999999523162842</v>
      </c>
      <c r="L656" s="33">
        <v>0.31999999284744263</v>
      </c>
      <c r="M656" s="33">
        <v>0.20000000298023224</v>
      </c>
      <c r="N656" s="33">
        <v>2.2899999618530273</v>
      </c>
      <c r="O656" s="33">
        <v>125.69999694824219</v>
      </c>
      <c r="P656" s="33">
        <v>44</v>
      </c>
      <c r="Q656" s="33">
        <v>2.2999999523162842</v>
      </c>
      <c r="R656" s="34" t="s">
        <v>973</v>
      </c>
      <c r="S656" s="33">
        <v>0</v>
      </c>
      <c r="T656" s="35">
        <v>585</v>
      </c>
    </row>
    <row r="657" spans="1:20">
      <c r="A657" s="31">
        <v>655</v>
      </c>
      <c r="B657" s="33" t="s">
        <v>980</v>
      </c>
      <c r="C657" s="33">
        <v>100</v>
      </c>
      <c r="D657" s="33">
        <v>60</v>
      </c>
      <c r="E657" s="33">
        <v>84.400001525878906</v>
      </c>
      <c r="F657" s="33">
        <v>11.600000381469727</v>
      </c>
      <c r="G657" s="33">
        <v>0.10000000149011612</v>
      </c>
      <c r="H657" s="33">
        <v>0</v>
      </c>
      <c r="I657" s="33">
        <v>3.0999999046325684</v>
      </c>
      <c r="J657" s="33">
        <v>0</v>
      </c>
      <c r="K657" s="33">
        <v>3.9999999105930328E-2</v>
      </c>
      <c r="L657" s="33">
        <v>0.31000000238418579</v>
      </c>
      <c r="M657" s="33">
        <v>0.20000000298023224</v>
      </c>
      <c r="N657" s="33">
        <v>9.9999997764825821E-3</v>
      </c>
      <c r="O657" s="33">
        <v>79.400001525878906</v>
      </c>
      <c r="P657" s="33">
        <v>9</v>
      </c>
      <c r="Q657" s="33">
        <v>1.6000000238418579</v>
      </c>
      <c r="R657" s="34" t="s">
        <v>973</v>
      </c>
      <c r="S657" s="33">
        <v>0</v>
      </c>
      <c r="T657" s="35">
        <v>0</v>
      </c>
    </row>
    <row r="658" spans="1:20">
      <c r="A658" s="31">
        <v>656</v>
      </c>
      <c r="B658" s="33" t="s">
        <v>981</v>
      </c>
      <c r="C658" s="33">
        <v>87</v>
      </c>
      <c r="D658" s="33">
        <v>44</v>
      </c>
      <c r="E658" s="33">
        <v>88.400001525878906</v>
      </c>
      <c r="F658" s="33">
        <v>9.8000001907348633</v>
      </c>
      <c r="G658" s="33">
        <v>0.10000000149011612</v>
      </c>
      <c r="H658" s="33">
        <v>0</v>
      </c>
      <c r="I658" s="33">
        <v>1</v>
      </c>
      <c r="J658" s="33">
        <v>0</v>
      </c>
      <c r="K658" s="33">
        <v>0</v>
      </c>
      <c r="L658" s="33">
        <v>0.31000000238418579</v>
      </c>
      <c r="M658" s="33">
        <v>0.10000000149011612</v>
      </c>
      <c r="N658" s="33">
        <v>0</v>
      </c>
      <c r="O658" s="33">
        <v>165.10000610351563</v>
      </c>
      <c r="P658" s="33">
        <v>9</v>
      </c>
      <c r="Q658" s="33">
        <v>0</v>
      </c>
      <c r="R658" s="34" t="s">
        <v>973</v>
      </c>
      <c r="S658" s="33">
        <v>0</v>
      </c>
      <c r="T658" s="35">
        <v>0</v>
      </c>
    </row>
    <row r="659" spans="1:20">
      <c r="A659" s="31">
        <v>657</v>
      </c>
      <c r="B659" s="33" t="s">
        <v>982</v>
      </c>
      <c r="C659" s="33">
        <v>100</v>
      </c>
      <c r="D659" s="33">
        <v>367</v>
      </c>
      <c r="E659" s="33">
        <v>7.1999998092651367</v>
      </c>
      <c r="F659" s="33">
        <v>47.5</v>
      </c>
      <c r="G659" s="33">
        <v>4.8000001907348633</v>
      </c>
      <c r="H659" s="33">
        <v>0</v>
      </c>
      <c r="I659" s="33">
        <v>33.5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4" t="s">
        <v>973</v>
      </c>
      <c r="S659" s="33">
        <v>0</v>
      </c>
      <c r="T659" s="35">
        <v>0</v>
      </c>
    </row>
    <row r="660" spans="1:20">
      <c r="A660" s="31">
        <v>658</v>
      </c>
      <c r="B660" s="33" t="s">
        <v>983</v>
      </c>
      <c r="C660" s="33">
        <v>100</v>
      </c>
      <c r="D660" s="33">
        <v>545</v>
      </c>
      <c r="E660" s="33">
        <v>2.5</v>
      </c>
      <c r="F660" s="33">
        <v>43.400001525878906</v>
      </c>
      <c r="G660" s="33">
        <v>36.200000762939453</v>
      </c>
      <c r="H660" s="33">
        <v>0</v>
      </c>
      <c r="I660" s="33">
        <v>11.300000190734863</v>
      </c>
      <c r="J660" s="33">
        <v>525</v>
      </c>
      <c r="K660" s="33">
        <v>5.000000074505806E-2</v>
      </c>
      <c r="L660" s="33">
        <v>0.40000000596046448</v>
      </c>
      <c r="M660" s="33">
        <v>0</v>
      </c>
      <c r="N660" s="33">
        <v>11.560000419616699</v>
      </c>
      <c r="O660" s="33">
        <v>393.20001220703125</v>
      </c>
      <c r="P660" s="33">
        <v>954</v>
      </c>
      <c r="Q660" s="33">
        <v>10.5</v>
      </c>
      <c r="R660" s="34" t="s">
        <v>973</v>
      </c>
      <c r="S660" s="33">
        <v>0</v>
      </c>
      <c r="T660" s="35">
        <v>2251</v>
      </c>
    </row>
    <row r="661" spans="1:20">
      <c r="A661" s="31">
        <v>659</v>
      </c>
      <c r="B661" s="33" t="s">
        <v>984</v>
      </c>
      <c r="C661" s="33">
        <v>100</v>
      </c>
      <c r="D661" s="33">
        <v>328</v>
      </c>
      <c r="E661" s="33">
        <v>51.5</v>
      </c>
      <c r="F661" s="33">
        <v>15.199999809265137</v>
      </c>
      <c r="G661" s="33">
        <v>28.200000762939453</v>
      </c>
      <c r="H661" s="33">
        <v>0</v>
      </c>
      <c r="I661" s="33">
        <v>3.4000000953674316</v>
      </c>
      <c r="J661" s="33">
        <v>438</v>
      </c>
      <c r="K661" s="33">
        <v>0.33000001311302185</v>
      </c>
      <c r="L661" s="33">
        <v>0.28999999165534973</v>
      </c>
      <c r="M661" s="33">
        <v>0.10000000149011612</v>
      </c>
      <c r="N661" s="33">
        <v>5.059999942779541</v>
      </c>
      <c r="O661" s="33">
        <v>54.900001525878906</v>
      </c>
      <c r="P661" s="33">
        <v>112</v>
      </c>
      <c r="Q661" s="33">
        <v>6.5</v>
      </c>
      <c r="R661" s="34" t="s">
        <v>973</v>
      </c>
      <c r="S661" s="33">
        <v>0</v>
      </c>
      <c r="T661" s="35">
        <v>1510</v>
      </c>
    </row>
    <row r="662" spans="1:20">
      <c r="A662" s="31">
        <v>660</v>
      </c>
      <c r="B662" s="33" t="s">
        <v>985</v>
      </c>
      <c r="C662" s="33">
        <v>100</v>
      </c>
      <c r="D662" s="33">
        <v>263</v>
      </c>
      <c r="E662" s="33">
        <v>57.799999237060547</v>
      </c>
      <c r="F662" s="33">
        <v>15.199999809265137</v>
      </c>
      <c r="G662" s="33">
        <v>19.899999618530273</v>
      </c>
      <c r="H662" s="33">
        <v>0</v>
      </c>
      <c r="I662" s="33">
        <v>5.6999998092651367</v>
      </c>
      <c r="J662" s="33">
        <v>179</v>
      </c>
      <c r="K662" s="33">
        <v>7.0000000298023224E-2</v>
      </c>
      <c r="L662" s="33">
        <v>0.36000001430511475</v>
      </c>
      <c r="M662" s="33">
        <v>0.10000000149011612</v>
      </c>
      <c r="N662" s="33">
        <v>7.6399998664855957</v>
      </c>
      <c r="O662" s="33">
        <v>57.200000762939453</v>
      </c>
      <c r="P662" s="33">
        <v>107</v>
      </c>
      <c r="Q662" s="33">
        <v>0.5</v>
      </c>
      <c r="R662" s="34" t="s">
        <v>973</v>
      </c>
      <c r="S662" s="33">
        <v>0</v>
      </c>
      <c r="T662" s="35">
        <v>2057</v>
      </c>
    </row>
    <row r="663" spans="1:20">
      <c r="A663" s="31">
        <v>661</v>
      </c>
      <c r="B663" s="33" t="s">
        <v>986</v>
      </c>
      <c r="C663" s="33">
        <v>100</v>
      </c>
      <c r="D663" s="33">
        <v>644</v>
      </c>
      <c r="E663" s="33">
        <v>4.5999999046325684</v>
      </c>
      <c r="F663" s="33">
        <v>31.600000381469727</v>
      </c>
      <c r="G663" s="33">
        <v>55.099998474121094</v>
      </c>
      <c r="H663" s="33">
        <v>0</v>
      </c>
      <c r="I663" s="33">
        <v>5.3000001907348633</v>
      </c>
      <c r="J663" s="33">
        <v>776</v>
      </c>
      <c r="K663" s="33">
        <v>0</v>
      </c>
      <c r="L663" s="33">
        <v>0.25</v>
      </c>
      <c r="M663" s="33">
        <v>0</v>
      </c>
      <c r="N663" s="33">
        <v>14.430000305175781</v>
      </c>
      <c r="O663" s="33">
        <v>89.800003051757813</v>
      </c>
      <c r="P663" s="33">
        <v>266</v>
      </c>
      <c r="Q663" s="33">
        <v>10.600000381469727</v>
      </c>
      <c r="R663" s="34" t="s">
        <v>973</v>
      </c>
      <c r="S663" s="33">
        <v>0</v>
      </c>
      <c r="T663" s="35">
        <v>2850</v>
      </c>
    </row>
    <row r="664" spans="1:20">
      <c r="A664" s="31">
        <v>662</v>
      </c>
      <c r="B664" s="33" t="s">
        <v>987</v>
      </c>
      <c r="C664" s="33">
        <v>83</v>
      </c>
      <c r="D664" s="33">
        <v>178</v>
      </c>
      <c r="E664" s="33">
        <v>66.400001525878906</v>
      </c>
      <c r="F664" s="33">
        <v>14.800000190734863</v>
      </c>
      <c r="G664" s="33">
        <v>10.600000381469727</v>
      </c>
      <c r="H664" s="33">
        <v>0</v>
      </c>
      <c r="I664" s="33">
        <v>5.8000001907348633</v>
      </c>
      <c r="J664" s="33">
        <v>310</v>
      </c>
      <c r="K664" s="33">
        <v>1.9999999552965164E-2</v>
      </c>
      <c r="L664" s="33">
        <v>0.12999999523162842</v>
      </c>
      <c r="M664" s="33">
        <v>0.20000000298023224</v>
      </c>
      <c r="N664" s="33">
        <v>1.059999942779541</v>
      </c>
      <c r="O664" s="33">
        <v>0</v>
      </c>
      <c r="P664" s="33">
        <v>26</v>
      </c>
      <c r="Q664" s="33">
        <v>3.9000000953674316</v>
      </c>
      <c r="R664" s="34" t="s">
        <v>973</v>
      </c>
      <c r="S664" s="33">
        <v>0</v>
      </c>
      <c r="T664" s="35">
        <v>595</v>
      </c>
    </row>
    <row r="665" spans="1:20">
      <c r="A665" s="31">
        <v>663</v>
      </c>
      <c r="B665" s="33" t="s">
        <v>988</v>
      </c>
      <c r="C665" s="33">
        <v>90</v>
      </c>
      <c r="D665" s="33">
        <v>171</v>
      </c>
      <c r="E665" s="33">
        <v>68.400001525878906</v>
      </c>
      <c r="F665" s="33">
        <v>14.199999809265137</v>
      </c>
      <c r="G665" s="33">
        <v>10.699999809265137</v>
      </c>
      <c r="H665" s="33">
        <v>0</v>
      </c>
      <c r="I665" s="33">
        <v>4.5</v>
      </c>
      <c r="J665" s="33">
        <v>215</v>
      </c>
      <c r="K665" s="33">
        <v>5.9999998658895493E-2</v>
      </c>
      <c r="L665" s="33">
        <v>0.18000000715255737</v>
      </c>
      <c r="M665" s="33">
        <v>0.10000000149011612</v>
      </c>
      <c r="N665" s="33">
        <v>3.0499999523162842</v>
      </c>
      <c r="O665" s="33">
        <v>542.70001220703125</v>
      </c>
      <c r="P665" s="33">
        <v>63</v>
      </c>
      <c r="Q665" s="33">
        <v>3.2999999523162842</v>
      </c>
      <c r="R665" s="34" t="s">
        <v>973</v>
      </c>
      <c r="S665" s="33">
        <v>0</v>
      </c>
      <c r="T665" s="35">
        <v>608</v>
      </c>
    </row>
    <row r="666" spans="1:20">
      <c r="A666" s="31">
        <v>664</v>
      </c>
      <c r="B666" s="33" t="s">
        <v>989</v>
      </c>
      <c r="C666" s="33">
        <v>87</v>
      </c>
      <c r="D666" s="33">
        <v>180</v>
      </c>
      <c r="E666" s="33">
        <v>70.300003051757813</v>
      </c>
      <c r="F666" s="33">
        <v>12.600000381469727</v>
      </c>
      <c r="G666" s="33">
        <v>13</v>
      </c>
      <c r="H666" s="33">
        <v>0</v>
      </c>
      <c r="I666" s="33">
        <v>3.0999999046325684</v>
      </c>
      <c r="J666" s="33">
        <v>261</v>
      </c>
      <c r="K666" s="33">
        <v>0.17000000178813934</v>
      </c>
      <c r="L666" s="33">
        <v>0.34999999403953552</v>
      </c>
      <c r="M666" s="33">
        <v>0.20000000298023224</v>
      </c>
      <c r="N666" s="33">
        <v>4.9800000190734863</v>
      </c>
      <c r="O666" s="33">
        <v>106</v>
      </c>
      <c r="P666" s="33">
        <v>62</v>
      </c>
      <c r="Q666" s="33">
        <v>2.9000000953674316</v>
      </c>
      <c r="R666" s="34" t="s">
        <v>973</v>
      </c>
      <c r="S666" s="33">
        <v>0</v>
      </c>
      <c r="T666" s="35">
        <v>565</v>
      </c>
    </row>
    <row r="667" spans="1:20">
      <c r="A667" s="31">
        <v>665</v>
      </c>
      <c r="B667" s="33" t="s">
        <v>990</v>
      </c>
      <c r="C667" s="33">
        <v>65</v>
      </c>
      <c r="D667" s="33">
        <v>84</v>
      </c>
      <c r="E667" s="33">
        <v>77.5</v>
      </c>
      <c r="F667" s="33">
        <v>12.600000381469727</v>
      </c>
      <c r="G667" s="33">
        <v>0.80000001192092896</v>
      </c>
      <c r="H667" s="33">
        <v>0</v>
      </c>
      <c r="I667" s="33">
        <v>6.5999999046325684</v>
      </c>
      <c r="J667" s="33">
        <v>24</v>
      </c>
      <c r="K667" s="33">
        <v>9.9999997764825821E-3</v>
      </c>
      <c r="L667" s="33">
        <v>0.15999999642372131</v>
      </c>
      <c r="M667" s="33">
        <v>0.20000000298023224</v>
      </c>
      <c r="N667" s="33">
        <v>2.2000000476837158</v>
      </c>
      <c r="O667" s="33">
        <v>2011.699951171875</v>
      </c>
      <c r="P667" s="33">
        <v>266</v>
      </c>
      <c r="Q667" s="33">
        <v>22.600000381469727</v>
      </c>
      <c r="R667" s="34" t="s">
        <v>991</v>
      </c>
      <c r="S667" s="33">
        <v>0</v>
      </c>
      <c r="T667" s="35">
        <v>242</v>
      </c>
    </row>
    <row r="668" spans="1:20">
      <c r="A668" s="31">
        <v>666</v>
      </c>
      <c r="B668" s="33" t="s">
        <v>992</v>
      </c>
      <c r="C668" s="33">
        <v>100</v>
      </c>
      <c r="D668" s="33">
        <v>322</v>
      </c>
      <c r="E668" s="33">
        <v>18.299999237060547</v>
      </c>
      <c r="F668" s="33">
        <v>54.099998474121094</v>
      </c>
      <c r="G668" s="33">
        <v>5.5999999046325684</v>
      </c>
      <c r="H668" s="33">
        <v>0</v>
      </c>
      <c r="I668" s="33">
        <v>13.699999809265137</v>
      </c>
      <c r="J668" s="33">
        <v>28</v>
      </c>
      <c r="K668" s="33">
        <v>1.9999999552965164E-2</v>
      </c>
      <c r="L668" s="33">
        <v>0.12999999523162842</v>
      </c>
      <c r="M668" s="33">
        <v>7.1999998092651367</v>
      </c>
      <c r="N668" s="33">
        <v>0.85000002384185791</v>
      </c>
      <c r="O668" s="33">
        <v>2316.199951171875</v>
      </c>
      <c r="P668" s="33">
        <v>143</v>
      </c>
      <c r="Q668" s="33">
        <v>6.8000001907348633</v>
      </c>
      <c r="R668" s="34" t="s">
        <v>991</v>
      </c>
      <c r="S668" s="33">
        <v>0</v>
      </c>
      <c r="T668" s="35">
        <v>0</v>
      </c>
    </row>
    <row r="669" spans="1:20">
      <c r="A669" s="31">
        <v>667</v>
      </c>
      <c r="B669" s="33" t="s">
        <v>993</v>
      </c>
      <c r="C669" s="33">
        <v>100</v>
      </c>
      <c r="D669" s="33">
        <v>340</v>
      </c>
      <c r="E669" s="33">
        <v>12.199999809265137</v>
      </c>
      <c r="F669" s="33">
        <v>46.5</v>
      </c>
      <c r="G669" s="33">
        <v>4.9000000953674316</v>
      </c>
      <c r="H669" s="33">
        <v>0</v>
      </c>
      <c r="I669" s="33">
        <v>27.399999618530273</v>
      </c>
      <c r="J669" s="33">
        <v>20</v>
      </c>
      <c r="K669" s="33">
        <v>7.0000000298023224E-2</v>
      </c>
      <c r="L669" s="33">
        <v>0.31000000238418579</v>
      </c>
      <c r="M669" s="33">
        <v>5.0999999046325684</v>
      </c>
      <c r="N669" s="33">
        <v>0.40999999642372131</v>
      </c>
      <c r="O669" s="33">
        <v>1175</v>
      </c>
      <c r="P669" s="33">
        <v>107</v>
      </c>
      <c r="Q669" s="33">
        <v>88.800003051757813</v>
      </c>
      <c r="R669" s="34" t="s">
        <v>991</v>
      </c>
      <c r="S669" s="33">
        <v>0</v>
      </c>
      <c r="T669" s="35">
        <v>469</v>
      </c>
    </row>
    <row r="670" spans="1:20">
      <c r="A670" s="31">
        <v>668</v>
      </c>
      <c r="B670" s="33" t="s">
        <v>994</v>
      </c>
      <c r="C670" s="33">
        <v>57</v>
      </c>
      <c r="D670" s="33">
        <v>40</v>
      </c>
      <c r="E670" s="33">
        <v>88.400001525878906</v>
      </c>
      <c r="F670" s="33">
        <v>7.3000001907348633</v>
      </c>
      <c r="G670" s="33">
        <v>0.30000001192092896</v>
      </c>
      <c r="H670" s="33">
        <v>0</v>
      </c>
      <c r="I670" s="33">
        <v>2.0999999046325684</v>
      </c>
      <c r="J670" s="33">
        <v>59</v>
      </c>
      <c r="K670" s="33">
        <v>1.9999999552965164E-2</v>
      </c>
      <c r="L670" s="33">
        <v>0.11999999731779099</v>
      </c>
      <c r="M670" s="33">
        <v>1.2000000476837158</v>
      </c>
      <c r="N670" s="33">
        <v>0.5899999737739563</v>
      </c>
      <c r="O670" s="33">
        <v>175.89999389648438</v>
      </c>
      <c r="P670" s="33">
        <v>134</v>
      </c>
      <c r="Q670" s="33">
        <v>33.599998474121094</v>
      </c>
      <c r="R670" s="34" t="s">
        <v>991</v>
      </c>
      <c r="S670" s="33">
        <v>0</v>
      </c>
      <c r="T670" s="35">
        <v>131</v>
      </c>
    </row>
    <row r="671" spans="1:20">
      <c r="A671" s="31">
        <v>669</v>
      </c>
      <c r="B671" s="33" t="s">
        <v>995</v>
      </c>
      <c r="C671" s="33">
        <v>100</v>
      </c>
      <c r="D671" s="33">
        <v>355</v>
      </c>
      <c r="E671" s="33">
        <v>15.600000381469727</v>
      </c>
      <c r="F671" s="33">
        <v>47.799999237060547</v>
      </c>
      <c r="G671" s="33">
        <v>9.3000001907348633</v>
      </c>
      <c r="H671" s="33">
        <v>0</v>
      </c>
      <c r="I671" s="33">
        <v>20.100000381469727</v>
      </c>
      <c r="J671" s="33">
        <v>36</v>
      </c>
      <c r="K671" s="33">
        <v>3.9999999105930328E-2</v>
      </c>
      <c r="L671" s="33">
        <v>0.31999999284744263</v>
      </c>
      <c r="M671" s="33">
        <v>4.3000001907348633</v>
      </c>
      <c r="N671" s="33">
        <v>7.3499999046325684</v>
      </c>
      <c r="O671" s="33">
        <v>779</v>
      </c>
      <c r="P671" s="33">
        <v>157</v>
      </c>
      <c r="Q671" s="33">
        <v>12.5</v>
      </c>
      <c r="R671" s="34" t="s">
        <v>991</v>
      </c>
      <c r="S671" s="33">
        <v>0</v>
      </c>
      <c r="T671" s="35">
        <v>493</v>
      </c>
    </row>
    <row r="672" spans="1:20">
      <c r="A672" s="31">
        <v>670</v>
      </c>
      <c r="B672" s="33" t="s">
        <v>996</v>
      </c>
      <c r="C672" s="33">
        <v>49</v>
      </c>
      <c r="D672" s="33">
        <v>80</v>
      </c>
      <c r="E672" s="33">
        <v>79.900001525878906</v>
      </c>
      <c r="F672" s="33">
        <v>11.399999618530273</v>
      </c>
      <c r="G672" s="33">
        <v>1.7000000476837158</v>
      </c>
      <c r="H672" s="33">
        <v>0</v>
      </c>
      <c r="I672" s="33">
        <v>4.6999998092651367</v>
      </c>
      <c r="J672" s="33">
        <v>73</v>
      </c>
      <c r="K672" s="33">
        <v>0.11999999731779099</v>
      </c>
      <c r="L672" s="33">
        <v>0.2199999988079071</v>
      </c>
      <c r="M672" s="33">
        <v>1.7999999523162842</v>
      </c>
      <c r="N672" s="33">
        <v>14.020000457763672</v>
      </c>
      <c r="O672" s="33">
        <v>451.39999389648438</v>
      </c>
      <c r="P672" s="33">
        <v>63</v>
      </c>
      <c r="Q672" s="33">
        <v>6.6999998092651367</v>
      </c>
      <c r="R672" s="34" t="s">
        <v>991</v>
      </c>
      <c r="S672" s="33">
        <v>0</v>
      </c>
      <c r="T672" s="35">
        <v>123</v>
      </c>
    </row>
    <row r="673" spans="1:20">
      <c r="A673" s="31">
        <v>671</v>
      </c>
      <c r="B673" s="33" t="s">
        <v>997</v>
      </c>
      <c r="C673" s="33">
        <v>100</v>
      </c>
      <c r="D673" s="33">
        <v>264</v>
      </c>
      <c r="E673" s="33">
        <v>27.399999618530273</v>
      </c>
      <c r="F673" s="33">
        <v>55.599998474121094</v>
      </c>
      <c r="G673" s="33">
        <v>2.4000000953674316</v>
      </c>
      <c r="H673" s="33">
        <v>0</v>
      </c>
      <c r="I673" s="33">
        <v>5.0999999046325684</v>
      </c>
      <c r="J673" s="33">
        <v>11</v>
      </c>
      <c r="K673" s="33">
        <v>0</v>
      </c>
      <c r="L673" s="33">
        <v>0.20999999344348907</v>
      </c>
      <c r="M673" s="33">
        <v>2.5</v>
      </c>
      <c r="N673" s="33">
        <v>1.5299999713897705</v>
      </c>
      <c r="O673" s="33">
        <v>306.39999389648438</v>
      </c>
      <c r="P673" s="33">
        <v>77</v>
      </c>
      <c r="Q673" s="33">
        <v>5.5999999046325684</v>
      </c>
      <c r="R673" s="34" t="s">
        <v>991</v>
      </c>
      <c r="S673" s="33">
        <v>0</v>
      </c>
      <c r="T673" s="35">
        <v>348</v>
      </c>
    </row>
    <row r="674" spans="1:20">
      <c r="A674" s="31">
        <v>672</v>
      </c>
      <c r="B674" s="33" t="s">
        <v>998</v>
      </c>
      <c r="C674" s="33">
        <v>100</v>
      </c>
      <c r="D674" s="33">
        <v>66</v>
      </c>
      <c r="E674" s="33">
        <v>85.599998474121094</v>
      </c>
      <c r="F674" s="33">
        <v>8.3999996185302734</v>
      </c>
      <c r="G674" s="33">
        <v>2.2999999523162842</v>
      </c>
      <c r="H674" s="33">
        <v>0</v>
      </c>
      <c r="I674" s="33">
        <v>2.9000000953674316</v>
      </c>
      <c r="J674" s="33">
        <v>0</v>
      </c>
      <c r="K674" s="33">
        <v>2.9999999329447746E-2</v>
      </c>
      <c r="L674" s="33">
        <v>7.0000000298023224E-2</v>
      </c>
      <c r="M674" s="33">
        <v>1.7000000476837158</v>
      </c>
      <c r="N674" s="33">
        <v>7.6599998474121094</v>
      </c>
      <c r="O674" s="33">
        <v>194</v>
      </c>
      <c r="P674" s="33">
        <v>167</v>
      </c>
      <c r="Q674" s="33">
        <v>5.4000000953674316</v>
      </c>
      <c r="R674" s="34" t="s">
        <v>991</v>
      </c>
      <c r="S674" s="33">
        <v>0</v>
      </c>
      <c r="T674" s="35">
        <v>0</v>
      </c>
    </row>
    <row r="675" spans="1:20">
      <c r="A675" s="31">
        <v>673</v>
      </c>
      <c r="B675" s="33" t="s">
        <v>999</v>
      </c>
      <c r="C675" s="33">
        <v>93</v>
      </c>
      <c r="D675" s="33">
        <v>262</v>
      </c>
      <c r="E675" s="33">
        <v>18.899999618530273</v>
      </c>
      <c r="F675" s="33">
        <v>50.200000762939453</v>
      </c>
      <c r="G675" s="33">
        <v>4.8000001907348633</v>
      </c>
      <c r="H675" s="33">
        <v>0</v>
      </c>
      <c r="I675" s="33">
        <v>4.5</v>
      </c>
      <c r="J675" s="33">
        <v>39</v>
      </c>
      <c r="K675" s="33">
        <v>3.9999999105930328E-2</v>
      </c>
      <c r="L675" s="33">
        <v>0.12999999523162842</v>
      </c>
      <c r="M675" s="33">
        <v>1.2999999523162842</v>
      </c>
      <c r="N675" s="33">
        <v>0</v>
      </c>
      <c r="O675" s="33">
        <v>4967.7998046875</v>
      </c>
      <c r="P675" s="33">
        <v>0</v>
      </c>
      <c r="Q675" s="33">
        <v>9</v>
      </c>
      <c r="R675" s="34" t="s">
        <v>991</v>
      </c>
      <c r="S675" s="33">
        <v>0</v>
      </c>
      <c r="T675" s="35">
        <v>62</v>
      </c>
    </row>
    <row r="676" spans="1:20">
      <c r="A676" s="31">
        <v>674</v>
      </c>
      <c r="B676" s="33" t="s">
        <v>1000</v>
      </c>
      <c r="C676" s="33">
        <v>100</v>
      </c>
      <c r="D676" s="33">
        <v>24</v>
      </c>
      <c r="E676" s="33">
        <v>93.5</v>
      </c>
      <c r="F676" s="33">
        <v>6</v>
      </c>
      <c r="G676" s="33">
        <v>0.10000000149011612</v>
      </c>
      <c r="H676" s="33">
        <v>0</v>
      </c>
      <c r="I676" s="33">
        <v>0</v>
      </c>
      <c r="J676" s="33">
        <v>11</v>
      </c>
      <c r="K676" s="33">
        <v>0</v>
      </c>
      <c r="L676" s="33">
        <v>2.9999999329447746E-2</v>
      </c>
      <c r="M676" s="33">
        <v>0.30000001192092896</v>
      </c>
      <c r="N676" s="33">
        <v>0</v>
      </c>
      <c r="O676" s="33">
        <v>80.900001525878906</v>
      </c>
      <c r="P676" s="33">
        <v>240</v>
      </c>
      <c r="Q676" s="33">
        <v>0.60000002384185791</v>
      </c>
      <c r="R676" s="34" t="s">
        <v>991</v>
      </c>
      <c r="S676" s="33">
        <v>0</v>
      </c>
      <c r="T676" s="35">
        <v>51</v>
      </c>
    </row>
    <row r="677" spans="1:20">
      <c r="A677" s="31">
        <v>675</v>
      </c>
      <c r="B677" s="33" t="s">
        <v>1001</v>
      </c>
      <c r="C677" s="33">
        <v>100</v>
      </c>
      <c r="D677" s="33">
        <v>71</v>
      </c>
      <c r="E677" s="33">
        <v>77.099998474121094</v>
      </c>
      <c r="F677" s="33">
        <v>16.5</v>
      </c>
      <c r="G677" s="33">
        <v>0.20000000298023224</v>
      </c>
      <c r="H677" s="33">
        <v>0</v>
      </c>
      <c r="I677" s="33">
        <v>0.89999997615814209</v>
      </c>
      <c r="J677" s="33">
        <v>0</v>
      </c>
      <c r="K677" s="33">
        <v>2.9999999329447746E-2</v>
      </c>
      <c r="L677" s="33">
        <v>3.9999999105930328E-2</v>
      </c>
      <c r="M677" s="33">
        <v>0.10000000149011612</v>
      </c>
      <c r="N677" s="33">
        <v>3.1400001049041748</v>
      </c>
      <c r="O677" s="33">
        <v>502.89999389648438</v>
      </c>
      <c r="P677" s="33">
        <v>285</v>
      </c>
      <c r="Q677" s="33">
        <v>13.199999809265137</v>
      </c>
      <c r="R677" s="34" t="s">
        <v>991</v>
      </c>
      <c r="S677" s="33">
        <v>0</v>
      </c>
      <c r="T677" s="35">
        <v>51</v>
      </c>
    </row>
    <row r="678" spans="1:20">
      <c r="A678" s="31">
        <v>676</v>
      </c>
      <c r="B678" s="33" t="s">
        <v>1002</v>
      </c>
      <c r="C678" s="33">
        <v>100</v>
      </c>
      <c r="D678" s="33">
        <v>33</v>
      </c>
      <c r="E678" s="33">
        <v>76.5</v>
      </c>
      <c r="F678" s="33">
        <v>3.7000000476837158</v>
      </c>
      <c r="G678" s="33">
        <v>0.30000001192092896</v>
      </c>
      <c r="H678" s="33">
        <v>0</v>
      </c>
      <c r="I678" s="33">
        <v>3.7999999523162842</v>
      </c>
      <c r="J678" s="33">
        <v>0</v>
      </c>
      <c r="K678" s="33">
        <v>2.9999999329447746E-2</v>
      </c>
      <c r="L678" s="33">
        <v>5.000000074505806E-2</v>
      </c>
      <c r="M678" s="33">
        <v>0.20000000298023224</v>
      </c>
      <c r="N678" s="33">
        <v>2.130000114440918</v>
      </c>
      <c r="O678" s="33">
        <v>325</v>
      </c>
      <c r="P678" s="33">
        <v>150</v>
      </c>
      <c r="Q678" s="33">
        <v>4.8000001907348633</v>
      </c>
      <c r="R678" s="34" t="s">
        <v>991</v>
      </c>
      <c r="S678" s="33">
        <v>0</v>
      </c>
      <c r="T678" s="35">
        <v>8</v>
      </c>
    </row>
    <row r="679" spans="1:20">
      <c r="A679" s="31">
        <v>677</v>
      </c>
      <c r="B679" s="33" t="s">
        <v>1003</v>
      </c>
      <c r="C679" s="33">
        <v>100</v>
      </c>
      <c r="D679" s="33">
        <v>74</v>
      </c>
      <c r="E679" s="33">
        <v>69</v>
      </c>
      <c r="F679" s="33">
        <v>6</v>
      </c>
      <c r="G679" s="33">
        <v>0.30000001192092896</v>
      </c>
      <c r="H679" s="33">
        <v>0</v>
      </c>
      <c r="I679" s="33">
        <v>11.800000190734863</v>
      </c>
      <c r="J679" s="33">
        <v>14</v>
      </c>
      <c r="K679" s="33">
        <v>7.0000000298023224E-2</v>
      </c>
      <c r="L679" s="33">
        <v>3.9999999105930328E-2</v>
      </c>
      <c r="M679" s="33">
        <v>0.30000001192092896</v>
      </c>
      <c r="N679" s="33">
        <v>2.8199999332427979</v>
      </c>
      <c r="O679" s="33">
        <v>467.70001220703125</v>
      </c>
      <c r="P679" s="33">
        <v>120</v>
      </c>
      <c r="Q679" s="33">
        <v>5.0999999046325684</v>
      </c>
      <c r="R679" s="34" t="s">
        <v>991</v>
      </c>
      <c r="S679" s="33">
        <v>0</v>
      </c>
      <c r="T679" s="35">
        <v>10</v>
      </c>
    </row>
    <row r="680" spans="1:20">
      <c r="A680" s="31">
        <v>678</v>
      </c>
      <c r="B680" s="33" t="s">
        <v>1004</v>
      </c>
      <c r="C680" s="33">
        <v>45</v>
      </c>
      <c r="D680" s="33">
        <v>31</v>
      </c>
      <c r="E680" s="33">
        <v>91</v>
      </c>
      <c r="F680" s="33">
        <v>5.8000001907348633</v>
      </c>
      <c r="G680" s="33">
        <v>0.40000000596046448</v>
      </c>
      <c r="H680" s="33">
        <v>0</v>
      </c>
      <c r="I680" s="33">
        <v>1.1000000238418579</v>
      </c>
      <c r="J680" s="33">
        <v>19</v>
      </c>
      <c r="K680" s="33">
        <v>9.9999997764825821E-3</v>
      </c>
      <c r="L680" s="33">
        <v>0.10000000149011612</v>
      </c>
      <c r="M680" s="33">
        <v>0.5</v>
      </c>
      <c r="N680" s="33">
        <v>0.86000001430511475</v>
      </c>
      <c r="O680" s="33">
        <v>317.29998779296875</v>
      </c>
      <c r="P680" s="33">
        <v>138</v>
      </c>
      <c r="Q680" s="33">
        <v>2.9000000953674316</v>
      </c>
      <c r="R680" s="34" t="s">
        <v>991</v>
      </c>
      <c r="S680" s="33">
        <v>0</v>
      </c>
      <c r="T680" s="35">
        <v>156</v>
      </c>
    </row>
    <row r="681" spans="1:20">
      <c r="A681" s="31">
        <v>679</v>
      </c>
      <c r="B681" s="33" t="s">
        <v>1005</v>
      </c>
      <c r="C681" s="33">
        <v>46</v>
      </c>
      <c r="D681" s="33">
        <v>45</v>
      </c>
      <c r="E681" s="33">
        <v>87.199996948242188</v>
      </c>
      <c r="F681" s="33">
        <v>7.6999998092651367</v>
      </c>
      <c r="G681" s="33">
        <v>0.60000002384185791</v>
      </c>
      <c r="H681" s="33">
        <v>0</v>
      </c>
      <c r="I681" s="33">
        <v>2.2000000476837158</v>
      </c>
      <c r="J681" s="33">
        <v>23</v>
      </c>
      <c r="K681" s="33">
        <v>0</v>
      </c>
      <c r="L681" s="33">
        <v>0.12999999523162842</v>
      </c>
      <c r="M681" s="33">
        <v>1.8999999761581421</v>
      </c>
      <c r="N681" s="33">
        <v>0.50999999046325684</v>
      </c>
      <c r="O681" s="33">
        <v>309</v>
      </c>
      <c r="P681" s="33">
        <v>59</v>
      </c>
      <c r="Q681" s="33">
        <v>6.0999999046325684</v>
      </c>
      <c r="R681" s="34" t="s">
        <v>991</v>
      </c>
      <c r="S681" s="33">
        <v>0</v>
      </c>
      <c r="T681" s="35">
        <v>63</v>
      </c>
    </row>
    <row r="682" spans="1:20">
      <c r="A682" s="31">
        <v>680</v>
      </c>
      <c r="B682" s="33" t="s">
        <v>1006</v>
      </c>
      <c r="C682" s="33">
        <v>25</v>
      </c>
      <c r="D682" s="33">
        <v>97</v>
      </c>
      <c r="E682" s="33">
        <v>75.599998474121094</v>
      </c>
      <c r="F682" s="33">
        <v>15</v>
      </c>
      <c r="G682" s="33">
        <v>1</v>
      </c>
      <c r="H682" s="33">
        <v>0</v>
      </c>
      <c r="I682" s="33">
        <v>7.0999999046325684</v>
      </c>
      <c r="J682" s="33">
        <v>0</v>
      </c>
      <c r="K682" s="33">
        <v>9.9999997764825821E-3</v>
      </c>
      <c r="L682" s="33">
        <v>0.14000000059604645</v>
      </c>
      <c r="M682" s="33">
        <v>1.3999999761581421</v>
      </c>
      <c r="N682" s="33">
        <v>3.5399999618530273</v>
      </c>
      <c r="O682" s="33">
        <v>363</v>
      </c>
      <c r="P682" s="33">
        <v>137</v>
      </c>
      <c r="Q682" s="33">
        <v>15.300000190734863</v>
      </c>
      <c r="R682" s="34" t="s">
        <v>991</v>
      </c>
      <c r="S682" s="33">
        <v>0</v>
      </c>
      <c r="T682" s="35">
        <v>113</v>
      </c>
    </row>
    <row r="683" spans="1:20">
      <c r="A683" s="31">
        <v>681</v>
      </c>
      <c r="B683" s="33" t="s">
        <v>1007</v>
      </c>
      <c r="C683" s="33">
        <v>26</v>
      </c>
      <c r="D683" s="33">
        <v>89</v>
      </c>
      <c r="E683" s="33">
        <v>76.400001525878906</v>
      </c>
      <c r="F683" s="33">
        <v>15.600000381469727</v>
      </c>
      <c r="G683" s="33">
        <v>0.69999998807907104</v>
      </c>
      <c r="H683" s="33">
        <v>0</v>
      </c>
      <c r="I683" s="33">
        <v>5</v>
      </c>
      <c r="J683" s="33">
        <v>0</v>
      </c>
      <c r="K683" s="33">
        <v>2.9999999329447746E-2</v>
      </c>
      <c r="L683" s="33">
        <v>0.20000000298023224</v>
      </c>
      <c r="M683" s="33">
        <v>1.7999999523162842</v>
      </c>
      <c r="N683" s="33">
        <v>17.899999618530273</v>
      </c>
      <c r="O683" s="33">
        <v>492.29998779296875</v>
      </c>
      <c r="P683" s="33">
        <v>177</v>
      </c>
      <c r="Q683" s="33">
        <v>22</v>
      </c>
      <c r="R683" s="34" t="s">
        <v>991</v>
      </c>
      <c r="S683" s="33">
        <v>0</v>
      </c>
      <c r="T683" s="35">
        <v>180</v>
      </c>
    </row>
    <row r="684" spans="1:20">
      <c r="A684" s="31">
        <v>682</v>
      </c>
      <c r="B684" s="33" t="s">
        <v>1008</v>
      </c>
      <c r="C684" s="33">
        <v>50</v>
      </c>
      <c r="D684" s="33">
        <v>56</v>
      </c>
      <c r="E684" s="33">
        <v>86.599998474121094</v>
      </c>
      <c r="F684" s="33">
        <v>8.8999996185302734</v>
      </c>
      <c r="G684" s="33">
        <v>1.8999999761581421</v>
      </c>
      <c r="H684" s="33">
        <v>0</v>
      </c>
      <c r="I684" s="33">
        <v>0.80000001192092896</v>
      </c>
      <c r="J684" s="33">
        <v>0</v>
      </c>
      <c r="K684" s="33">
        <v>9.9999997764825821E-3</v>
      </c>
      <c r="L684" s="33">
        <v>9.9999997764825821E-3</v>
      </c>
      <c r="M684" s="33">
        <v>1.7000000476837158</v>
      </c>
      <c r="N684" s="33">
        <v>2.2599999904632568</v>
      </c>
      <c r="O684" s="33">
        <v>577.70001220703125</v>
      </c>
      <c r="P684" s="33">
        <v>111</v>
      </c>
      <c r="Q684" s="33">
        <v>6.5</v>
      </c>
      <c r="R684" s="34" t="s">
        <v>991</v>
      </c>
      <c r="S684" s="33">
        <v>0</v>
      </c>
      <c r="T684" s="35">
        <v>74</v>
      </c>
    </row>
    <row r="685" spans="1:20">
      <c r="A685" s="31">
        <v>683</v>
      </c>
      <c r="B685" s="33" t="s">
        <v>1009</v>
      </c>
      <c r="C685" s="33">
        <v>40</v>
      </c>
      <c r="D685" s="33">
        <v>53</v>
      </c>
      <c r="E685" s="33">
        <v>87.699996948242188</v>
      </c>
      <c r="F685" s="33">
        <v>7.5</v>
      </c>
      <c r="G685" s="33">
        <v>2.2000000476837158</v>
      </c>
      <c r="H685" s="33">
        <v>0</v>
      </c>
      <c r="I685" s="33">
        <v>0.80000001192092896</v>
      </c>
      <c r="J685" s="33">
        <v>0</v>
      </c>
      <c r="K685" s="33">
        <v>9.9999997764825821E-3</v>
      </c>
      <c r="L685" s="33">
        <v>0.20999999344348907</v>
      </c>
      <c r="M685" s="33">
        <v>1.5</v>
      </c>
      <c r="N685" s="33">
        <v>3.8599998950958252</v>
      </c>
      <c r="O685" s="33">
        <v>494.60000610351563</v>
      </c>
      <c r="P685" s="33">
        <v>177</v>
      </c>
      <c r="Q685" s="33">
        <v>12.699999809265137</v>
      </c>
      <c r="R685" s="34" t="s">
        <v>991</v>
      </c>
      <c r="S685" s="33">
        <v>0</v>
      </c>
      <c r="T685" s="35">
        <v>106</v>
      </c>
    </row>
    <row r="686" spans="1:20">
      <c r="A686" s="31">
        <v>684</v>
      </c>
      <c r="B686" s="33" t="s">
        <v>1010</v>
      </c>
      <c r="C686" s="33">
        <v>27</v>
      </c>
      <c r="D686" s="33">
        <v>71</v>
      </c>
      <c r="E686" s="33">
        <v>82.699996948242188</v>
      </c>
      <c r="F686" s="33">
        <v>12.199999809265137</v>
      </c>
      <c r="G686" s="33">
        <v>1.3999999761581421</v>
      </c>
      <c r="H686" s="33">
        <v>0</v>
      </c>
      <c r="I686" s="33">
        <v>2.2999999523162842</v>
      </c>
      <c r="J686" s="33">
        <v>0</v>
      </c>
      <c r="K686" s="33">
        <v>0</v>
      </c>
      <c r="L686" s="33">
        <v>5.9999998658895493E-2</v>
      </c>
      <c r="M686" s="33">
        <v>0.89999997615814209</v>
      </c>
      <c r="N686" s="33">
        <v>0.55000001192092896</v>
      </c>
      <c r="O686" s="33">
        <v>280.10000610351563</v>
      </c>
      <c r="P686" s="33">
        <v>49</v>
      </c>
      <c r="Q686" s="33">
        <v>7.3000001907348633</v>
      </c>
      <c r="R686" s="34" t="s">
        <v>991</v>
      </c>
      <c r="S686" s="33">
        <v>0</v>
      </c>
      <c r="T686" s="35">
        <v>89</v>
      </c>
    </row>
    <row r="687" spans="1:20">
      <c r="A687" s="31">
        <v>685</v>
      </c>
      <c r="B687" s="33" t="s">
        <v>1011</v>
      </c>
      <c r="C687" s="33">
        <v>23</v>
      </c>
      <c r="D687" s="33">
        <v>36</v>
      </c>
      <c r="E687" s="33">
        <v>89.800003051757813</v>
      </c>
      <c r="F687" s="33">
        <v>6.8000001907348633</v>
      </c>
      <c r="G687" s="33">
        <v>0.60000002384185791</v>
      </c>
      <c r="H687" s="33">
        <v>0</v>
      </c>
      <c r="I687" s="33">
        <v>0.80000001192092896</v>
      </c>
      <c r="J687" s="33">
        <v>202</v>
      </c>
      <c r="K687" s="33">
        <v>9.9999997764825821E-3</v>
      </c>
      <c r="L687" s="33">
        <v>0.12999999523162842</v>
      </c>
      <c r="M687" s="33">
        <v>1</v>
      </c>
      <c r="N687" s="33">
        <v>1.3600000143051147</v>
      </c>
      <c r="O687" s="33">
        <v>28.700000762939453</v>
      </c>
      <c r="P687" s="33">
        <v>306</v>
      </c>
      <c r="Q687" s="33">
        <v>3.0999999046325684</v>
      </c>
      <c r="R687" s="34" t="s">
        <v>991</v>
      </c>
      <c r="S687" s="33">
        <v>0</v>
      </c>
      <c r="T687" s="35">
        <v>57</v>
      </c>
    </row>
    <row r="688" spans="1:20">
      <c r="A688" s="31">
        <v>686</v>
      </c>
      <c r="B688" s="33" t="s">
        <v>1012</v>
      </c>
      <c r="C688" s="33">
        <v>35</v>
      </c>
      <c r="D688" s="33">
        <v>47</v>
      </c>
      <c r="E688" s="33">
        <v>88.5</v>
      </c>
      <c r="F688" s="33">
        <v>7</v>
      </c>
      <c r="G688" s="33">
        <v>1.3999999761581421</v>
      </c>
      <c r="H688" s="33">
        <v>0</v>
      </c>
      <c r="I688" s="33">
        <v>1.7000000476837158</v>
      </c>
      <c r="J688" s="33">
        <v>37</v>
      </c>
      <c r="K688" s="33">
        <v>7.9999998211860657E-2</v>
      </c>
      <c r="L688" s="33">
        <v>0.12999999523162842</v>
      </c>
      <c r="M688" s="33">
        <v>1.3999999761581421</v>
      </c>
      <c r="N688" s="33">
        <v>0.37999999523162842</v>
      </c>
      <c r="O688" s="33">
        <v>18.399999618530273</v>
      </c>
      <c r="P688" s="33">
        <v>39</v>
      </c>
      <c r="Q688" s="33">
        <v>11.399999618530273</v>
      </c>
      <c r="R688" s="34" t="s">
        <v>991</v>
      </c>
      <c r="S688" s="33">
        <v>0</v>
      </c>
      <c r="T688" s="35">
        <v>257</v>
      </c>
    </row>
    <row r="689" spans="1:20">
      <c r="A689" s="31">
        <v>687</v>
      </c>
      <c r="B689" s="33" t="s">
        <v>1013</v>
      </c>
      <c r="C689" s="33">
        <v>43</v>
      </c>
      <c r="D689" s="33">
        <v>106</v>
      </c>
      <c r="E689" s="33">
        <v>70.699996948242188</v>
      </c>
      <c r="F689" s="33">
        <v>19.799999237060547</v>
      </c>
      <c r="G689" s="33">
        <v>1</v>
      </c>
      <c r="H689" s="33">
        <v>0</v>
      </c>
      <c r="I689" s="33">
        <v>4.5</v>
      </c>
      <c r="J689" s="33">
        <v>2</v>
      </c>
      <c r="K689" s="33">
        <v>5.9999998658895493E-2</v>
      </c>
      <c r="L689" s="33">
        <v>1.0199999809265137</v>
      </c>
      <c r="M689" s="33">
        <v>2.0999999046325684</v>
      </c>
      <c r="N689" s="33">
        <v>0.33000001311302185</v>
      </c>
      <c r="O689" s="33">
        <v>129.39999389648438</v>
      </c>
      <c r="P689" s="33">
        <v>55</v>
      </c>
      <c r="Q689" s="33">
        <v>3.2999999523162842</v>
      </c>
      <c r="R689" s="34" t="s">
        <v>991</v>
      </c>
      <c r="S689" s="33">
        <v>0</v>
      </c>
      <c r="T689" s="35">
        <v>0</v>
      </c>
    </row>
    <row r="690" spans="1:20">
      <c r="A690" s="31">
        <v>688</v>
      </c>
      <c r="B690" s="33" t="s">
        <v>1014</v>
      </c>
      <c r="C690" s="33">
        <v>55</v>
      </c>
      <c r="D690" s="33">
        <v>119</v>
      </c>
      <c r="E690" s="33">
        <v>68.699996948242188</v>
      </c>
      <c r="F690" s="33">
        <v>20.200000762939453</v>
      </c>
      <c r="G690" s="33">
        <v>0.89999997615814209</v>
      </c>
      <c r="H690" s="33">
        <v>0</v>
      </c>
      <c r="I690" s="33">
        <v>7.5999999046325684</v>
      </c>
      <c r="J690" s="33">
        <v>50</v>
      </c>
      <c r="K690" s="33">
        <v>0</v>
      </c>
      <c r="L690" s="33">
        <v>0.46000000834465027</v>
      </c>
      <c r="M690" s="33">
        <v>0.20000000298023224</v>
      </c>
      <c r="N690" s="33">
        <v>20.700000762939453</v>
      </c>
      <c r="O690" s="33">
        <v>219.60000610351563</v>
      </c>
      <c r="P690" s="33">
        <v>539</v>
      </c>
      <c r="Q690" s="33">
        <v>5.3000001907348633</v>
      </c>
      <c r="R690" s="34" t="s">
        <v>991</v>
      </c>
      <c r="S690" s="33">
        <v>0</v>
      </c>
      <c r="T690" s="35">
        <v>0</v>
      </c>
    </row>
    <row r="691" spans="1:20">
      <c r="A691" s="31">
        <v>689</v>
      </c>
      <c r="B691" s="33" t="s">
        <v>1015</v>
      </c>
      <c r="C691" s="33">
        <v>37</v>
      </c>
      <c r="D691" s="33">
        <v>59</v>
      </c>
      <c r="E691" s="33">
        <v>83.300003051757813</v>
      </c>
      <c r="F691" s="33">
        <v>7.5</v>
      </c>
      <c r="G691" s="33">
        <v>0.60000002384185791</v>
      </c>
      <c r="H691" s="33">
        <v>0</v>
      </c>
      <c r="I691" s="33">
        <v>6</v>
      </c>
      <c r="J691" s="33">
        <v>0</v>
      </c>
      <c r="K691" s="33">
        <v>0</v>
      </c>
      <c r="L691" s="33">
        <v>0.2800000011920929</v>
      </c>
      <c r="M691" s="33">
        <v>2</v>
      </c>
      <c r="N691" s="33">
        <v>0.43000000715255737</v>
      </c>
      <c r="O691" s="33">
        <v>252.60000610351563</v>
      </c>
      <c r="P691" s="33">
        <v>156</v>
      </c>
      <c r="Q691" s="33">
        <v>1.3999999761581421</v>
      </c>
      <c r="R691" s="34" t="s">
        <v>991</v>
      </c>
      <c r="S691" s="33">
        <v>0</v>
      </c>
      <c r="T691" s="35">
        <v>86</v>
      </c>
    </row>
    <row r="692" spans="1:20">
      <c r="A692" s="31">
        <v>690</v>
      </c>
      <c r="B692" s="33" t="s">
        <v>1016</v>
      </c>
      <c r="C692" s="33">
        <v>27</v>
      </c>
      <c r="D692" s="33">
        <v>91</v>
      </c>
      <c r="E692" s="33">
        <v>75.199996948242188</v>
      </c>
      <c r="F692" s="33">
        <v>12.800000190734863</v>
      </c>
      <c r="G692" s="33">
        <v>0.69999998807907104</v>
      </c>
      <c r="H692" s="33">
        <v>0</v>
      </c>
      <c r="I692" s="33">
        <v>8.1999998092651367</v>
      </c>
      <c r="J692" s="33">
        <v>0</v>
      </c>
      <c r="K692" s="33">
        <v>1.9999999552965164E-2</v>
      </c>
      <c r="L692" s="33">
        <v>0.20000000298023224</v>
      </c>
      <c r="M692" s="33">
        <v>0.69999998807907104</v>
      </c>
      <c r="N692" s="33">
        <v>1.5700000524520874</v>
      </c>
      <c r="O692" s="33">
        <v>13</v>
      </c>
      <c r="P692" s="33">
        <v>2458</v>
      </c>
      <c r="Q692" s="33">
        <v>9</v>
      </c>
      <c r="R692" s="34" t="s">
        <v>991</v>
      </c>
      <c r="S692" s="33">
        <v>0</v>
      </c>
      <c r="T692" s="35">
        <v>198</v>
      </c>
    </row>
    <row r="693" spans="1:20">
      <c r="A693" s="31">
        <v>691</v>
      </c>
      <c r="B693" s="33" t="s">
        <v>1017</v>
      </c>
      <c r="C693" s="33">
        <v>26</v>
      </c>
      <c r="D693" s="33">
        <v>60</v>
      </c>
      <c r="E693" s="33">
        <v>82</v>
      </c>
      <c r="F693" s="33">
        <v>11</v>
      </c>
      <c r="G693" s="33">
        <v>0.20000000298023224</v>
      </c>
      <c r="H693" s="33">
        <v>0</v>
      </c>
      <c r="I693" s="33">
        <v>3.5999999046325684</v>
      </c>
      <c r="J693" s="33">
        <v>0</v>
      </c>
      <c r="K693" s="33">
        <v>1.9999999552965164E-2</v>
      </c>
      <c r="L693" s="33">
        <v>0.18999999761581421</v>
      </c>
      <c r="M693" s="33">
        <v>2.2000000476837158</v>
      </c>
      <c r="N693" s="33">
        <v>0.75</v>
      </c>
      <c r="O693" s="33">
        <v>26</v>
      </c>
      <c r="P693" s="33">
        <v>0</v>
      </c>
      <c r="Q693" s="33">
        <v>19.700000762939453</v>
      </c>
      <c r="R693" s="34" t="s">
        <v>991</v>
      </c>
      <c r="S693" s="33">
        <v>0</v>
      </c>
      <c r="T693" s="35">
        <v>154</v>
      </c>
    </row>
    <row r="694" spans="1:20">
      <c r="A694" s="31">
        <v>692</v>
      </c>
      <c r="B694" s="33" t="s">
        <v>1018</v>
      </c>
      <c r="C694" s="33">
        <v>59</v>
      </c>
      <c r="D694" s="33">
        <v>163</v>
      </c>
      <c r="E694" s="33">
        <v>61.599998474121094</v>
      </c>
      <c r="F694" s="33">
        <v>22.700000762939453</v>
      </c>
      <c r="G694" s="33">
        <v>3.5</v>
      </c>
      <c r="H694" s="33">
        <v>0</v>
      </c>
      <c r="I694" s="33">
        <v>10.100000381469727</v>
      </c>
      <c r="J694" s="33">
        <v>0</v>
      </c>
      <c r="K694" s="33">
        <v>0</v>
      </c>
      <c r="L694" s="33">
        <v>0.23999999463558197</v>
      </c>
      <c r="M694" s="33">
        <v>3.2999999523162842</v>
      </c>
      <c r="N694" s="33">
        <v>7.1700000762939453</v>
      </c>
      <c r="O694" s="33">
        <v>278.89999389648438</v>
      </c>
      <c r="P694" s="33">
        <v>91</v>
      </c>
      <c r="Q694" s="33">
        <v>3.2000000476837158</v>
      </c>
      <c r="R694" s="34" t="s">
        <v>991</v>
      </c>
      <c r="S694" s="33">
        <v>0</v>
      </c>
      <c r="T694" s="35">
        <v>195</v>
      </c>
    </row>
    <row r="695" spans="1:20">
      <c r="A695" s="31">
        <v>693</v>
      </c>
      <c r="B695" s="33" t="s">
        <v>1019</v>
      </c>
      <c r="C695" s="33">
        <v>69</v>
      </c>
      <c r="D695" s="33">
        <v>82</v>
      </c>
      <c r="E695" s="33">
        <v>79.199996948242188</v>
      </c>
      <c r="F695" s="33">
        <v>15.199999809265137</v>
      </c>
      <c r="G695" s="33">
        <v>0.89999997615814209</v>
      </c>
      <c r="H695" s="33">
        <v>0</v>
      </c>
      <c r="I695" s="33">
        <v>3.4000000953674316</v>
      </c>
      <c r="J695" s="33">
        <v>0</v>
      </c>
      <c r="K695" s="33">
        <v>1.9999999552965164E-2</v>
      </c>
      <c r="L695" s="33">
        <v>3.9999999105930328E-2</v>
      </c>
      <c r="M695" s="33">
        <v>1.7999999523162842</v>
      </c>
      <c r="N695" s="33">
        <v>1.4900000095367432</v>
      </c>
      <c r="O695" s="33">
        <v>165.5</v>
      </c>
      <c r="P695" s="33">
        <v>15</v>
      </c>
      <c r="Q695" s="33">
        <v>1</v>
      </c>
      <c r="R695" s="34" t="s">
        <v>991</v>
      </c>
      <c r="S695" s="33">
        <v>0</v>
      </c>
      <c r="T695" s="35">
        <v>226</v>
      </c>
    </row>
    <row r="696" spans="1:20">
      <c r="A696" s="31">
        <v>694</v>
      </c>
      <c r="B696" s="33" t="s">
        <v>1020</v>
      </c>
      <c r="C696" s="33">
        <v>82</v>
      </c>
      <c r="D696" s="33">
        <v>287</v>
      </c>
      <c r="E696" s="33">
        <v>24.799999237060547</v>
      </c>
      <c r="F696" s="33">
        <v>65.300003051757813</v>
      </c>
      <c r="G696" s="33">
        <v>1.8999999761581421</v>
      </c>
      <c r="H696" s="33">
        <v>0</v>
      </c>
      <c r="I696" s="33">
        <v>2.0999999046325684</v>
      </c>
      <c r="J696" s="33">
        <v>0</v>
      </c>
      <c r="K696" s="33">
        <v>1.9999999552965164E-2</v>
      </c>
      <c r="L696" s="33">
        <v>5.000000074505806E-2</v>
      </c>
      <c r="M696" s="33">
        <v>3.5999999046325684</v>
      </c>
      <c r="N696" s="33">
        <v>6.7300000190734863</v>
      </c>
      <c r="O696" s="33">
        <v>1744</v>
      </c>
      <c r="P696" s="33">
        <v>82</v>
      </c>
      <c r="Q696" s="33">
        <v>23.899999618530273</v>
      </c>
      <c r="R696" s="34" t="s">
        <v>991</v>
      </c>
      <c r="S696" s="33">
        <v>0</v>
      </c>
      <c r="T696" s="35">
        <v>316</v>
      </c>
    </row>
    <row r="697" spans="1:20">
      <c r="A697" s="31">
        <v>695</v>
      </c>
      <c r="B697" s="33" t="s">
        <v>1021</v>
      </c>
      <c r="C697" s="33">
        <v>100</v>
      </c>
      <c r="D697" s="33">
        <v>73</v>
      </c>
      <c r="E697" s="33">
        <v>82</v>
      </c>
      <c r="F697" s="33">
        <v>5.3000001907348633</v>
      </c>
      <c r="G697" s="33">
        <v>2.0999999046325684</v>
      </c>
      <c r="H697" s="33">
        <v>0</v>
      </c>
      <c r="I697" s="33">
        <v>8.1999998092651367</v>
      </c>
      <c r="J697" s="33">
        <v>27</v>
      </c>
      <c r="K697" s="33">
        <v>9.9999997764825821E-3</v>
      </c>
      <c r="L697" s="33">
        <v>0.12999999523162842</v>
      </c>
      <c r="M697" s="33">
        <v>1.3999999761581421</v>
      </c>
      <c r="N697" s="33">
        <v>0.81000000238418579</v>
      </c>
      <c r="O697" s="33">
        <v>462.10000610351563</v>
      </c>
      <c r="P697" s="33">
        <v>131</v>
      </c>
      <c r="Q697" s="33">
        <v>7.0999999046325684</v>
      </c>
      <c r="R697" s="34" t="s">
        <v>991</v>
      </c>
      <c r="S697" s="33">
        <v>0</v>
      </c>
      <c r="T697" s="35">
        <v>100</v>
      </c>
    </row>
    <row r="698" spans="1:20">
      <c r="A698" s="31">
        <v>696</v>
      </c>
      <c r="B698" s="33" t="s">
        <v>1022</v>
      </c>
      <c r="C698" s="33">
        <v>30</v>
      </c>
      <c r="D698" s="33">
        <v>71</v>
      </c>
      <c r="E698" s="33">
        <v>81.800003051757813</v>
      </c>
      <c r="F698" s="33">
        <v>10</v>
      </c>
      <c r="G698" s="33">
        <v>0.80000001192092896</v>
      </c>
      <c r="H698" s="33">
        <v>0</v>
      </c>
      <c r="I698" s="33">
        <v>6</v>
      </c>
      <c r="J698" s="33">
        <v>6</v>
      </c>
      <c r="K698" s="33">
        <v>9.9999997764825821E-3</v>
      </c>
      <c r="L698" s="33">
        <v>7.0000000298023224E-2</v>
      </c>
      <c r="M698" s="33">
        <v>1.1000000238418579</v>
      </c>
      <c r="N698" s="33">
        <v>0.2800000011920929</v>
      </c>
      <c r="O698" s="33">
        <v>354.89999389648438</v>
      </c>
      <c r="P698" s="33">
        <v>59</v>
      </c>
      <c r="Q698" s="33">
        <v>11.399999618530273</v>
      </c>
      <c r="R698" s="34" t="s">
        <v>991</v>
      </c>
      <c r="S698" s="33">
        <v>0</v>
      </c>
      <c r="T698" s="35">
        <v>124</v>
      </c>
    </row>
    <row r="699" spans="1:20">
      <c r="A699" s="31">
        <v>697</v>
      </c>
      <c r="B699" s="33" t="s">
        <v>1023</v>
      </c>
      <c r="C699" s="33">
        <v>100</v>
      </c>
      <c r="D699" s="33">
        <v>57</v>
      </c>
      <c r="E699" s="33">
        <v>87.099998474121094</v>
      </c>
      <c r="F699" s="33">
        <v>10.899999618530273</v>
      </c>
      <c r="G699" s="33">
        <v>1.5</v>
      </c>
      <c r="H699" s="33">
        <v>0</v>
      </c>
      <c r="I699" s="33">
        <v>0</v>
      </c>
      <c r="J699" s="33">
        <v>0</v>
      </c>
      <c r="K699" s="33">
        <v>3.9999999105930328E-2</v>
      </c>
      <c r="L699" s="33">
        <v>0.12999999523162842</v>
      </c>
      <c r="M699" s="33">
        <v>1.5</v>
      </c>
      <c r="N699" s="33">
        <v>0.12999999523162842</v>
      </c>
      <c r="O699" s="33">
        <v>270</v>
      </c>
      <c r="P699" s="33">
        <v>35</v>
      </c>
      <c r="Q699" s="33">
        <v>5.5</v>
      </c>
      <c r="R699" s="34" t="s">
        <v>991</v>
      </c>
      <c r="S699" s="33">
        <v>0</v>
      </c>
      <c r="T699" s="35">
        <v>94</v>
      </c>
    </row>
    <row r="700" spans="1:20">
      <c r="A700" s="31">
        <v>698</v>
      </c>
      <c r="B700" s="33" t="s">
        <v>1024</v>
      </c>
      <c r="C700" s="33">
        <v>73</v>
      </c>
      <c r="D700" s="33">
        <v>66</v>
      </c>
      <c r="E700" s="33">
        <v>85.300003051757813</v>
      </c>
      <c r="F700" s="33">
        <v>14.100000381469727</v>
      </c>
      <c r="G700" s="33">
        <v>1.1000000238418579</v>
      </c>
      <c r="H700" s="33">
        <v>0</v>
      </c>
      <c r="I700" s="33">
        <v>0</v>
      </c>
      <c r="J700" s="33">
        <v>0</v>
      </c>
      <c r="K700" s="33">
        <v>9.9999997764825821E-3</v>
      </c>
      <c r="L700" s="33">
        <v>3.9999999105930328E-2</v>
      </c>
      <c r="M700" s="33">
        <v>2</v>
      </c>
      <c r="N700" s="33">
        <v>10.539999961853027</v>
      </c>
      <c r="O700" s="33">
        <v>126.80000305175781</v>
      </c>
      <c r="P700" s="33">
        <v>11</v>
      </c>
      <c r="Q700" s="33">
        <v>0.30000001192092896</v>
      </c>
      <c r="R700" s="34" t="s">
        <v>991</v>
      </c>
      <c r="S700" s="33">
        <v>0</v>
      </c>
      <c r="T700" s="35">
        <v>243</v>
      </c>
    </row>
    <row r="701" spans="1:20">
      <c r="A701" s="31">
        <v>699</v>
      </c>
      <c r="B701" s="33" t="s">
        <v>1025</v>
      </c>
      <c r="C701" s="33">
        <v>97</v>
      </c>
      <c r="D701" s="33">
        <v>84</v>
      </c>
      <c r="E701" s="33">
        <v>80.400001525878906</v>
      </c>
      <c r="F701" s="33">
        <v>17.399999618530273</v>
      </c>
      <c r="G701" s="33">
        <v>1.6000000238418579</v>
      </c>
      <c r="H701" s="33">
        <v>0</v>
      </c>
      <c r="I701" s="33">
        <v>0</v>
      </c>
      <c r="J701" s="33">
        <v>35</v>
      </c>
      <c r="K701" s="33">
        <v>1.9999999552965164E-2</v>
      </c>
      <c r="L701" s="33">
        <v>5.9999998658895493E-2</v>
      </c>
      <c r="M701" s="33">
        <v>1.6000000238418579</v>
      </c>
      <c r="N701" s="33">
        <v>1.6799999475479126</v>
      </c>
      <c r="O701" s="33">
        <v>110</v>
      </c>
      <c r="P701" s="33">
        <v>44</v>
      </c>
      <c r="Q701" s="33">
        <v>0.89999997615814209</v>
      </c>
      <c r="R701" s="34" t="s">
        <v>991</v>
      </c>
      <c r="S701" s="33">
        <v>0</v>
      </c>
      <c r="T701" s="35">
        <v>268</v>
      </c>
    </row>
    <row r="702" spans="1:20">
      <c r="A702" s="31">
        <v>700</v>
      </c>
      <c r="B702" s="33" t="s">
        <v>1026</v>
      </c>
      <c r="C702" s="33">
        <v>100</v>
      </c>
      <c r="D702" s="33">
        <v>77</v>
      </c>
      <c r="E702" s="33">
        <v>80.300003051757813</v>
      </c>
      <c r="F702" s="33">
        <v>15.699999809265137</v>
      </c>
      <c r="G702" s="33">
        <v>0.5</v>
      </c>
      <c r="H702" s="33">
        <v>0</v>
      </c>
      <c r="I702" s="33">
        <v>2.5</v>
      </c>
      <c r="J702" s="33">
        <v>0</v>
      </c>
      <c r="K702" s="33">
        <v>0</v>
      </c>
      <c r="L702" s="33">
        <v>0.20999999344348907</v>
      </c>
      <c r="M702" s="33">
        <v>2.5</v>
      </c>
      <c r="N702" s="33">
        <v>1.4600000381469727</v>
      </c>
      <c r="O702" s="33">
        <v>120</v>
      </c>
      <c r="P702" s="33">
        <v>28</v>
      </c>
      <c r="Q702" s="33">
        <v>0.69999998807907104</v>
      </c>
      <c r="R702" s="34" t="s">
        <v>991</v>
      </c>
      <c r="S702" s="33">
        <v>0</v>
      </c>
      <c r="T702" s="35">
        <v>116</v>
      </c>
    </row>
    <row r="703" spans="1:20">
      <c r="A703" s="31">
        <v>701</v>
      </c>
      <c r="B703" s="33" t="s">
        <v>1027</v>
      </c>
      <c r="C703" s="33">
        <v>34</v>
      </c>
      <c r="D703" s="33">
        <v>61</v>
      </c>
      <c r="E703" s="33">
        <v>84.900001525878906</v>
      </c>
      <c r="F703" s="33">
        <v>13.899999618530273</v>
      </c>
      <c r="G703" s="33">
        <v>0.60000002384185791</v>
      </c>
      <c r="H703" s="33">
        <v>0</v>
      </c>
      <c r="I703" s="33">
        <v>0</v>
      </c>
      <c r="J703" s="33">
        <v>0</v>
      </c>
      <c r="K703" s="33">
        <v>0</v>
      </c>
      <c r="L703" s="33">
        <v>0.10000000149011612</v>
      </c>
      <c r="M703" s="33">
        <v>0.20000000298023224</v>
      </c>
      <c r="N703" s="33">
        <v>13.220000267028809</v>
      </c>
      <c r="O703" s="33">
        <v>266.10000610351563</v>
      </c>
      <c r="P703" s="33">
        <v>35</v>
      </c>
      <c r="Q703" s="33">
        <v>4.8000001907348633</v>
      </c>
      <c r="R703" s="34" t="s">
        <v>991</v>
      </c>
      <c r="S703" s="33">
        <v>0</v>
      </c>
      <c r="T703" s="35">
        <v>0</v>
      </c>
    </row>
    <row r="704" spans="1:20">
      <c r="A704" s="31">
        <v>702</v>
      </c>
      <c r="B704" s="33" t="s">
        <v>1028</v>
      </c>
      <c r="C704" s="33">
        <v>35</v>
      </c>
      <c r="D704" s="33">
        <v>60</v>
      </c>
      <c r="E704" s="33">
        <v>84.199996948242188</v>
      </c>
      <c r="F704" s="33">
        <v>11.100000381469727</v>
      </c>
      <c r="G704" s="33">
        <v>0.60000002384185791</v>
      </c>
      <c r="H704" s="33">
        <v>0</v>
      </c>
      <c r="I704" s="33">
        <v>2.5999999046325684</v>
      </c>
      <c r="J704" s="33">
        <v>0</v>
      </c>
      <c r="K704" s="33">
        <v>0</v>
      </c>
      <c r="L704" s="33">
        <v>0.10000000149011612</v>
      </c>
      <c r="M704" s="33">
        <v>0.20000000298023224</v>
      </c>
      <c r="N704" s="33">
        <v>11.850000381469727</v>
      </c>
      <c r="O704" s="33">
        <v>339</v>
      </c>
      <c r="P704" s="33">
        <v>142</v>
      </c>
      <c r="Q704" s="33">
        <v>7.1999998092651367</v>
      </c>
      <c r="R704" s="34" t="s">
        <v>991</v>
      </c>
      <c r="S704" s="33">
        <v>0</v>
      </c>
      <c r="T704" s="35">
        <v>0</v>
      </c>
    </row>
    <row r="705" spans="1:20">
      <c r="A705" s="31">
        <v>703</v>
      </c>
      <c r="B705" s="33" t="s">
        <v>1029</v>
      </c>
      <c r="C705" s="33">
        <v>98</v>
      </c>
      <c r="D705" s="33">
        <v>313</v>
      </c>
      <c r="E705" s="33">
        <v>21.799999237060547</v>
      </c>
      <c r="F705" s="33">
        <v>60</v>
      </c>
      <c r="G705" s="33">
        <v>4.5999999046325684</v>
      </c>
      <c r="H705" s="33">
        <v>0</v>
      </c>
      <c r="I705" s="33">
        <v>7.8000001907348633</v>
      </c>
      <c r="J705" s="33">
        <v>0</v>
      </c>
      <c r="K705" s="33">
        <v>1.9999999552965164E-2</v>
      </c>
      <c r="L705" s="33">
        <v>0.12999999523162842</v>
      </c>
      <c r="M705" s="33">
        <v>4.9000000953674316</v>
      </c>
      <c r="N705" s="33">
        <v>9.7200002670288086</v>
      </c>
      <c r="O705" s="33">
        <v>965.29998779296875</v>
      </c>
      <c r="P705" s="33">
        <v>87</v>
      </c>
      <c r="Q705" s="33">
        <v>4.0999999046325684</v>
      </c>
      <c r="R705" s="34" t="s">
        <v>991</v>
      </c>
      <c r="S705" s="33">
        <v>0</v>
      </c>
      <c r="T705" s="35">
        <v>871</v>
      </c>
    </row>
    <row r="706" spans="1:20">
      <c r="A706" s="31">
        <v>704</v>
      </c>
      <c r="B706" s="33" t="s">
        <v>1030</v>
      </c>
      <c r="C706" s="33">
        <v>98</v>
      </c>
      <c r="D706" s="33">
        <v>75</v>
      </c>
      <c r="E706" s="33">
        <v>81.400001525878906</v>
      </c>
      <c r="F706" s="33">
        <v>18.299999237060547</v>
      </c>
      <c r="G706" s="33">
        <v>0.80000001192092896</v>
      </c>
      <c r="H706" s="33">
        <v>0</v>
      </c>
      <c r="I706" s="33">
        <v>0</v>
      </c>
      <c r="J706" s="33">
        <v>16</v>
      </c>
      <c r="K706" s="33">
        <v>0</v>
      </c>
      <c r="L706" s="33">
        <v>2.9999999329447746E-2</v>
      </c>
      <c r="M706" s="33">
        <v>0</v>
      </c>
      <c r="N706" s="33">
        <v>0.93999999761581421</v>
      </c>
      <c r="O706" s="33">
        <v>134.69999694824219</v>
      </c>
      <c r="P706" s="33">
        <v>43</v>
      </c>
      <c r="Q706" s="33">
        <v>0.5</v>
      </c>
      <c r="R706" s="34" t="s">
        <v>991</v>
      </c>
      <c r="S706" s="33">
        <v>0</v>
      </c>
      <c r="T706" s="35">
        <v>0</v>
      </c>
    </row>
    <row r="707" spans="1:20">
      <c r="A707" s="31">
        <v>705</v>
      </c>
      <c r="B707" s="33" t="s">
        <v>1031</v>
      </c>
      <c r="C707" s="33">
        <v>100</v>
      </c>
      <c r="D707" s="33">
        <v>52</v>
      </c>
      <c r="E707" s="33">
        <v>86.400001525878906</v>
      </c>
      <c r="F707" s="33">
        <v>10.600000381469727</v>
      </c>
      <c r="G707" s="33">
        <v>0.40000000596046448</v>
      </c>
      <c r="H707" s="33">
        <v>0</v>
      </c>
      <c r="I707" s="33">
        <v>1.3999999761581421</v>
      </c>
      <c r="J707" s="33">
        <v>7</v>
      </c>
      <c r="K707" s="33">
        <v>7.0000000298023224E-2</v>
      </c>
      <c r="L707" s="33">
        <v>0.12999999523162842</v>
      </c>
      <c r="M707" s="33">
        <v>1.3999999761581421</v>
      </c>
      <c r="N707" s="33">
        <v>0.15999999642372131</v>
      </c>
      <c r="O707" s="33">
        <v>288.10000610351563</v>
      </c>
      <c r="P707" s="33">
        <v>22</v>
      </c>
      <c r="Q707" s="33">
        <v>1.3999999761581421</v>
      </c>
      <c r="R707" s="34" t="s">
        <v>991</v>
      </c>
      <c r="S707" s="33">
        <v>0</v>
      </c>
      <c r="T707" s="35">
        <v>114</v>
      </c>
    </row>
    <row r="708" spans="1:20">
      <c r="A708" s="31">
        <v>706</v>
      </c>
      <c r="B708" s="33" t="s">
        <v>1032</v>
      </c>
      <c r="C708" s="33">
        <v>31</v>
      </c>
      <c r="D708" s="33">
        <v>93</v>
      </c>
      <c r="E708" s="33">
        <v>80.099998474121094</v>
      </c>
      <c r="F708" s="33">
        <v>14.800000190734863</v>
      </c>
      <c r="G708" s="33">
        <v>3.7999999523162842</v>
      </c>
      <c r="H708" s="33">
        <v>0</v>
      </c>
      <c r="I708" s="33">
        <v>0</v>
      </c>
      <c r="J708" s="33">
        <v>1</v>
      </c>
      <c r="K708" s="33">
        <v>1.9999999552965164E-2</v>
      </c>
      <c r="L708" s="33">
        <v>0.18000000715255737</v>
      </c>
      <c r="M708" s="33">
        <v>2.7000000476837158</v>
      </c>
      <c r="N708" s="33">
        <v>4.309999942779541</v>
      </c>
      <c r="O708" s="33">
        <v>225.19999694824219</v>
      </c>
      <c r="P708" s="33">
        <v>85</v>
      </c>
      <c r="Q708" s="33">
        <v>6.4000000953674316</v>
      </c>
      <c r="R708" s="34" t="s">
        <v>1033</v>
      </c>
      <c r="S708" s="33">
        <v>0</v>
      </c>
      <c r="T708" s="35">
        <v>0</v>
      </c>
    </row>
    <row r="709" spans="1:20">
      <c r="A709" s="31">
        <v>707</v>
      </c>
      <c r="B709" s="33" t="s">
        <v>1034</v>
      </c>
      <c r="C709" s="33">
        <v>57</v>
      </c>
      <c r="D709" s="33">
        <v>81</v>
      </c>
      <c r="E709" s="33">
        <v>77.300003051757813</v>
      </c>
      <c r="F709" s="33">
        <v>17.299999237060547</v>
      </c>
      <c r="G709" s="33">
        <v>0.40000000596046448</v>
      </c>
      <c r="H709" s="33">
        <v>0</v>
      </c>
      <c r="I709" s="33">
        <v>2</v>
      </c>
      <c r="J709" s="33">
        <v>54</v>
      </c>
      <c r="K709" s="33">
        <v>5.000000074505806E-2</v>
      </c>
      <c r="L709" s="33">
        <v>2.9999999329447746E-2</v>
      </c>
      <c r="M709" s="33">
        <v>0</v>
      </c>
      <c r="N709" s="33">
        <v>3.3399999141693115</v>
      </c>
      <c r="O709" s="33">
        <v>90.699996948242188</v>
      </c>
      <c r="P709" s="33">
        <v>403</v>
      </c>
      <c r="Q709" s="33">
        <v>2.0999999046325684</v>
      </c>
      <c r="R709" s="34" t="s">
        <v>1033</v>
      </c>
      <c r="S709" s="33">
        <v>0</v>
      </c>
      <c r="T709" s="35">
        <v>103</v>
      </c>
    </row>
    <row r="710" spans="1:20">
      <c r="A710" s="31">
        <v>708</v>
      </c>
      <c r="B710" s="33" t="s">
        <v>1035</v>
      </c>
      <c r="C710" s="33">
        <v>59</v>
      </c>
      <c r="D710" s="33">
        <v>103</v>
      </c>
      <c r="E710" s="33">
        <v>73.599998474121094</v>
      </c>
      <c r="F710" s="33">
        <v>17.600000381469727</v>
      </c>
      <c r="G710" s="33">
        <v>0.80000001192092896</v>
      </c>
      <c r="H710" s="33">
        <v>0</v>
      </c>
      <c r="I710" s="33">
        <v>5.4000000953674316</v>
      </c>
      <c r="J710" s="33">
        <v>81</v>
      </c>
      <c r="K710" s="33">
        <v>0</v>
      </c>
      <c r="L710" s="33">
        <v>0</v>
      </c>
      <c r="M710" s="33">
        <v>2.4000000953674316</v>
      </c>
      <c r="N710" s="33">
        <v>1.6399999856948853</v>
      </c>
      <c r="O710" s="33">
        <v>168.80000305175781</v>
      </c>
      <c r="P710" s="33">
        <v>59</v>
      </c>
      <c r="Q710" s="33">
        <v>2</v>
      </c>
      <c r="R710" s="34" t="s">
        <v>1033</v>
      </c>
      <c r="S710" s="33">
        <v>0</v>
      </c>
      <c r="T710" s="35">
        <v>148</v>
      </c>
    </row>
    <row r="711" spans="1:20">
      <c r="A711" s="31">
        <v>709</v>
      </c>
      <c r="B711" s="33" t="s">
        <v>1036</v>
      </c>
      <c r="C711" s="33">
        <v>65</v>
      </c>
      <c r="D711" s="33">
        <v>90</v>
      </c>
      <c r="E711" s="33">
        <v>76.400001525878906</v>
      </c>
      <c r="F711" s="33">
        <v>18.5</v>
      </c>
      <c r="G711" s="33">
        <v>0.40000000596046448</v>
      </c>
      <c r="H711" s="33">
        <v>0</v>
      </c>
      <c r="I711" s="33">
        <v>3</v>
      </c>
      <c r="J711" s="33">
        <v>79</v>
      </c>
      <c r="K711" s="33">
        <v>2.9999999329447746E-2</v>
      </c>
      <c r="L711" s="33">
        <v>5.9999998658895493E-2</v>
      </c>
      <c r="M711" s="33">
        <v>3.0999999046325684</v>
      </c>
      <c r="N711" s="33">
        <v>3.5199999809265137</v>
      </c>
      <c r="O711" s="33">
        <v>208.80000305175781</v>
      </c>
      <c r="P711" s="33">
        <v>36</v>
      </c>
      <c r="Q711" s="33">
        <v>2.9000000953674316</v>
      </c>
      <c r="R711" s="34" t="s">
        <v>1033</v>
      </c>
      <c r="S711" s="33">
        <v>0</v>
      </c>
      <c r="T711" s="35">
        <v>136</v>
      </c>
    </row>
    <row r="712" spans="1:20">
      <c r="A712" s="31">
        <v>710</v>
      </c>
      <c r="B712" s="33" t="s">
        <v>1037</v>
      </c>
      <c r="C712" s="33">
        <v>14</v>
      </c>
      <c r="D712" s="33">
        <v>77</v>
      </c>
      <c r="E712" s="33">
        <v>83.300003051757813</v>
      </c>
      <c r="F712" s="33">
        <v>16</v>
      </c>
      <c r="G712" s="33">
        <v>1.3999999761581421</v>
      </c>
      <c r="H712" s="33">
        <v>0</v>
      </c>
      <c r="I712" s="33">
        <v>0</v>
      </c>
      <c r="J712" s="33">
        <v>0</v>
      </c>
      <c r="K712" s="33">
        <v>2.9999999329447746E-2</v>
      </c>
      <c r="L712" s="33">
        <v>0.18000000715255737</v>
      </c>
      <c r="M712" s="33">
        <v>3</v>
      </c>
      <c r="N712" s="33">
        <v>0</v>
      </c>
      <c r="O712" s="33">
        <v>86.800003051757813</v>
      </c>
      <c r="P712" s="33">
        <v>0</v>
      </c>
      <c r="Q712" s="33">
        <v>14.5</v>
      </c>
      <c r="R712" s="34" t="s">
        <v>1033</v>
      </c>
      <c r="S712" s="33">
        <v>0</v>
      </c>
      <c r="T712" s="35">
        <v>98</v>
      </c>
    </row>
    <row r="713" spans="1:20">
      <c r="A713" s="31">
        <v>711</v>
      </c>
      <c r="B713" s="33" t="s">
        <v>1038</v>
      </c>
      <c r="C713" s="33">
        <v>67</v>
      </c>
      <c r="D713" s="33">
        <v>84</v>
      </c>
      <c r="E713" s="33">
        <v>78</v>
      </c>
      <c r="F713" s="33">
        <v>18.299999237060547</v>
      </c>
      <c r="G713" s="33">
        <v>0.5</v>
      </c>
      <c r="H713" s="33">
        <v>0</v>
      </c>
      <c r="I713" s="33">
        <v>1.6000000238418579</v>
      </c>
      <c r="J713" s="33">
        <v>87</v>
      </c>
      <c r="K713" s="33">
        <v>1.9999999552965164E-2</v>
      </c>
      <c r="L713" s="33">
        <v>0.10999999940395355</v>
      </c>
      <c r="M713" s="33">
        <v>0.89999997615814209</v>
      </c>
      <c r="N713" s="33">
        <v>3.9200000762939453</v>
      </c>
      <c r="O713" s="33">
        <v>133.60000610351563</v>
      </c>
      <c r="P713" s="33">
        <v>35</v>
      </c>
      <c r="Q713" s="33">
        <v>1</v>
      </c>
      <c r="R713" s="34" t="s">
        <v>1033</v>
      </c>
      <c r="S713" s="33">
        <v>0</v>
      </c>
      <c r="T713" s="35">
        <v>183</v>
      </c>
    </row>
    <row r="714" spans="1:20">
      <c r="A714" s="31">
        <v>712</v>
      </c>
      <c r="B714" s="33" t="s">
        <v>1039</v>
      </c>
      <c r="C714" s="33">
        <v>61</v>
      </c>
      <c r="D714" s="33">
        <v>93</v>
      </c>
      <c r="E714" s="33">
        <v>76.5</v>
      </c>
      <c r="F714" s="33">
        <v>18.600000381469727</v>
      </c>
      <c r="G714" s="33">
        <v>0.80000001192092896</v>
      </c>
      <c r="H714" s="33">
        <v>0</v>
      </c>
      <c r="I714" s="33">
        <v>2.7999999523162842</v>
      </c>
      <c r="J714" s="33">
        <v>15</v>
      </c>
      <c r="K714" s="33">
        <v>9.9999997764825821E-3</v>
      </c>
      <c r="L714" s="33">
        <v>7.0000000298023224E-2</v>
      </c>
      <c r="M714" s="33">
        <v>1.7000000476837158</v>
      </c>
      <c r="N714" s="33">
        <v>0.62000000476837158</v>
      </c>
      <c r="O714" s="33">
        <v>165.19999694824219</v>
      </c>
      <c r="P714" s="33">
        <v>62</v>
      </c>
      <c r="Q714" s="33">
        <v>1.5</v>
      </c>
      <c r="R714" s="34" t="s">
        <v>1033</v>
      </c>
      <c r="S714" s="33">
        <v>0</v>
      </c>
      <c r="T714" s="35">
        <v>193</v>
      </c>
    </row>
    <row r="715" spans="1:20">
      <c r="A715" s="31">
        <v>713</v>
      </c>
      <c r="B715" s="33" t="s">
        <v>1040</v>
      </c>
      <c r="C715" s="33">
        <v>51</v>
      </c>
      <c r="D715" s="33">
        <v>79</v>
      </c>
      <c r="E715" s="33">
        <v>79.300003051757813</v>
      </c>
      <c r="F715" s="33">
        <v>16.799999237060547</v>
      </c>
      <c r="G715" s="33">
        <v>0.60000002384185791</v>
      </c>
      <c r="H715" s="33">
        <v>0</v>
      </c>
      <c r="I715" s="33">
        <v>1.5</v>
      </c>
      <c r="J715" s="33">
        <v>0</v>
      </c>
      <c r="K715" s="33">
        <v>9.9999997764825821E-3</v>
      </c>
      <c r="L715" s="33">
        <v>5.000000074505806E-2</v>
      </c>
      <c r="M715" s="33">
        <v>1.8999999761581421</v>
      </c>
      <c r="N715" s="33">
        <v>2.7899999618530273</v>
      </c>
      <c r="O715" s="33">
        <v>302.20001220703125</v>
      </c>
      <c r="P715" s="33">
        <v>146</v>
      </c>
      <c r="Q715" s="33">
        <v>3</v>
      </c>
      <c r="R715" s="34" t="s">
        <v>1033</v>
      </c>
      <c r="S715" s="33">
        <v>0</v>
      </c>
      <c r="T715" s="35">
        <v>117</v>
      </c>
    </row>
    <row r="716" spans="1:20">
      <c r="A716" s="31">
        <v>714</v>
      </c>
      <c r="B716" s="33" t="s">
        <v>1041</v>
      </c>
      <c r="C716" s="33">
        <v>100</v>
      </c>
      <c r="D716" s="33">
        <v>392</v>
      </c>
      <c r="E716" s="33">
        <v>4.0999999046325684</v>
      </c>
      <c r="F716" s="33">
        <v>10.399999618530273</v>
      </c>
      <c r="G716" s="33">
        <v>2.0999999046325684</v>
      </c>
      <c r="H716" s="33">
        <v>0.10000000149011612</v>
      </c>
      <c r="I716" s="33">
        <v>82.800003051757813</v>
      </c>
      <c r="J716" s="33">
        <v>0</v>
      </c>
      <c r="K716" s="33">
        <v>0</v>
      </c>
      <c r="L716" s="33">
        <v>3.9999999105930328E-2</v>
      </c>
      <c r="M716" s="33">
        <v>0.10000000149011612</v>
      </c>
      <c r="N716" s="33">
        <v>0.40999999642372131</v>
      </c>
      <c r="O716" s="33">
        <v>30</v>
      </c>
      <c r="P716" s="33">
        <v>19</v>
      </c>
      <c r="Q716" s="33">
        <v>9</v>
      </c>
      <c r="R716" s="34" t="s">
        <v>1042</v>
      </c>
      <c r="S716" s="33">
        <v>0</v>
      </c>
      <c r="T716" s="35">
        <v>0</v>
      </c>
    </row>
    <row r="717" spans="1:20">
      <c r="A717" s="31">
        <v>715</v>
      </c>
      <c r="B717" s="33" t="s">
        <v>1043</v>
      </c>
      <c r="C717" s="33">
        <v>100</v>
      </c>
      <c r="D717" s="33">
        <v>372</v>
      </c>
      <c r="E717" s="33">
        <v>4.3000001907348633</v>
      </c>
      <c r="F717" s="33">
        <v>27</v>
      </c>
      <c r="G717" s="33">
        <v>2</v>
      </c>
      <c r="H717" s="33">
        <v>2.2000000476837158</v>
      </c>
      <c r="I717" s="33">
        <v>61.599998474121094</v>
      </c>
      <c r="J717" s="33">
        <v>18</v>
      </c>
      <c r="K717" s="33">
        <v>0.2199999988079071</v>
      </c>
      <c r="L717" s="33">
        <v>0.11999999731779099</v>
      </c>
      <c r="M717" s="33">
        <v>4.8000001907348633</v>
      </c>
      <c r="N717" s="33">
        <v>5.1599998474121094</v>
      </c>
      <c r="O717" s="33">
        <v>10.899999618530273</v>
      </c>
      <c r="P717" s="33">
        <v>229</v>
      </c>
      <c r="Q717" s="33">
        <v>5.3000001907348633</v>
      </c>
      <c r="R717" s="34" t="s">
        <v>1042</v>
      </c>
      <c r="S717" s="33">
        <v>0</v>
      </c>
      <c r="T717" s="35">
        <v>0</v>
      </c>
    </row>
    <row r="718" spans="1:20">
      <c r="A718" s="31">
        <v>716</v>
      </c>
      <c r="B718" s="33" t="s">
        <v>1044</v>
      </c>
      <c r="C718" s="33">
        <v>100</v>
      </c>
      <c r="D718" s="33">
        <v>446</v>
      </c>
      <c r="E718" s="33">
        <v>10.5</v>
      </c>
      <c r="F718" s="33">
        <v>26.700000762939453</v>
      </c>
      <c r="G718" s="33">
        <v>20</v>
      </c>
      <c r="H718" s="33">
        <v>0.5</v>
      </c>
      <c r="I718" s="33">
        <v>39.900001525878906</v>
      </c>
      <c r="J718" s="33">
        <v>5</v>
      </c>
      <c r="K718" s="33">
        <v>0.15999999642372131</v>
      </c>
      <c r="L718" s="33">
        <v>0.11999999731779099</v>
      </c>
      <c r="M718" s="33">
        <v>7.6999998092651367</v>
      </c>
      <c r="N718" s="33">
        <v>5.1500000953674316</v>
      </c>
      <c r="O718" s="33">
        <v>547.9000244140625</v>
      </c>
      <c r="P718" s="33">
        <v>207</v>
      </c>
      <c r="Q718" s="33">
        <v>3.5999999046325684</v>
      </c>
      <c r="R718" s="34" t="s">
        <v>1042</v>
      </c>
      <c r="S718" s="33">
        <v>0</v>
      </c>
      <c r="T718" s="35">
        <v>0</v>
      </c>
    </row>
    <row r="719" spans="1:20">
      <c r="A719" s="31">
        <v>717</v>
      </c>
      <c r="B719" s="33" t="s">
        <v>1045</v>
      </c>
      <c r="C719" s="33">
        <v>100</v>
      </c>
      <c r="D719" s="33">
        <v>96</v>
      </c>
      <c r="E719" s="33">
        <v>84.800003051757813</v>
      </c>
      <c r="F719" s="33">
        <v>2.7999999523162842</v>
      </c>
      <c r="G719" s="33">
        <v>8</v>
      </c>
      <c r="H719" s="33">
        <v>0</v>
      </c>
      <c r="I719" s="33">
        <v>3.2999999523162842</v>
      </c>
      <c r="J719" s="33">
        <v>150</v>
      </c>
      <c r="K719" s="33">
        <v>9.9999997764825821E-3</v>
      </c>
      <c r="L719" s="33">
        <v>1.9999999552965164E-2</v>
      </c>
      <c r="M719" s="33">
        <v>2.0999999046325684</v>
      </c>
      <c r="N719" s="33">
        <v>0</v>
      </c>
      <c r="O719" s="33">
        <v>259.60000610351563</v>
      </c>
      <c r="P719" s="33">
        <v>22</v>
      </c>
      <c r="Q719" s="33">
        <v>2.9000000953674316</v>
      </c>
      <c r="R719" s="34" t="s">
        <v>1042</v>
      </c>
      <c r="S719" s="33">
        <v>0</v>
      </c>
      <c r="T719" s="35">
        <v>91</v>
      </c>
    </row>
    <row r="720" spans="1:20">
      <c r="A720" s="31">
        <v>718</v>
      </c>
      <c r="B720" s="33" t="s">
        <v>1046</v>
      </c>
      <c r="C720" s="33">
        <v>100</v>
      </c>
      <c r="D720" s="33">
        <v>92</v>
      </c>
      <c r="E720" s="33">
        <v>75.199996948242188</v>
      </c>
      <c r="F720" s="33">
        <v>1.5</v>
      </c>
      <c r="G720" s="33">
        <v>0.10000000149011612</v>
      </c>
      <c r="H720" s="33">
        <v>0.10000000149011612</v>
      </c>
      <c r="I720" s="33">
        <v>21.399999618530273</v>
      </c>
      <c r="J720" s="33">
        <v>0</v>
      </c>
      <c r="K720" s="33">
        <v>5.000000074505806E-2</v>
      </c>
      <c r="L720" s="33">
        <v>3.9999999105930328E-2</v>
      </c>
      <c r="M720" s="33">
        <v>0.40000000596046448</v>
      </c>
      <c r="N720" s="33">
        <v>0.25</v>
      </c>
      <c r="O720" s="33">
        <v>23.600000381469727</v>
      </c>
      <c r="P720" s="33">
        <v>17</v>
      </c>
      <c r="Q720" s="33">
        <v>1.1000000238418579</v>
      </c>
      <c r="R720" s="34" t="s">
        <v>1042</v>
      </c>
      <c r="S720" s="33">
        <v>0</v>
      </c>
      <c r="T720" s="35">
        <v>0</v>
      </c>
    </row>
    <row r="721" spans="1:20">
      <c r="A721" s="31">
        <v>719</v>
      </c>
      <c r="B721" s="33" t="s">
        <v>1047</v>
      </c>
      <c r="C721" s="33">
        <v>100</v>
      </c>
      <c r="D721" s="33">
        <v>463</v>
      </c>
      <c r="E721" s="33">
        <v>23.5</v>
      </c>
      <c r="F721" s="33">
        <v>6.0999999046325684</v>
      </c>
      <c r="G721" s="33">
        <v>33.700000762939453</v>
      </c>
      <c r="H721" s="33">
        <v>1</v>
      </c>
      <c r="I721" s="33">
        <v>33.799999237060547</v>
      </c>
      <c r="J721" s="33">
        <v>0</v>
      </c>
      <c r="K721" s="33">
        <v>9.9999997764825821E-3</v>
      </c>
      <c r="L721" s="33">
        <v>9.9999997764825821E-3</v>
      </c>
      <c r="M721" s="33">
        <v>3</v>
      </c>
      <c r="N721" s="33">
        <v>3.8900001049041748</v>
      </c>
      <c r="O721" s="33">
        <v>485.79998779296875</v>
      </c>
      <c r="P721" s="33">
        <v>10</v>
      </c>
      <c r="Q721" s="33">
        <v>1.8999999761581421</v>
      </c>
      <c r="R721" s="34" t="s">
        <v>1042</v>
      </c>
      <c r="S721" s="33">
        <v>0</v>
      </c>
      <c r="T721" s="35">
        <v>0</v>
      </c>
    </row>
    <row r="722" spans="1:20">
      <c r="A722" s="31">
        <v>720</v>
      </c>
      <c r="B722" s="33" t="s">
        <v>1048</v>
      </c>
      <c r="C722" s="33">
        <v>100</v>
      </c>
      <c r="D722" s="33">
        <v>339</v>
      </c>
      <c r="E722" s="33">
        <v>17.799999237060547</v>
      </c>
      <c r="F722" s="33">
        <v>6.5</v>
      </c>
      <c r="G722" s="33">
        <v>2.4000000953674316</v>
      </c>
      <c r="H722" s="33">
        <v>0</v>
      </c>
      <c r="I722" s="33">
        <v>72.900001525878906</v>
      </c>
      <c r="J722" s="33">
        <v>55</v>
      </c>
      <c r="K722" s="33">
        <v>0.18000000715255737</v>
      </c>
      <c r="L722" s="33">
        <v>0.31000000238418579</v>
      </c>
      <c r="M722" s="33">
        <v>0</v>
      </c>
      <c r="N722" s="33">
        <v>1.6000000238418579</v>
      </c>
      <c r="O722" s="33">
        <v>49</v>
      </c>
      <c r="P722" s="33">
        <v>30</v>
      </c>
      <c r="Q722" s="33">
        <v>1.6000000238418579</v>
      </c>
      <c r="R722" s="34" t="s">
        <v>1042</v>
      </c>
      <c r="S722" s="33">
        <v>0</v>
      </c>
      <c r="T722" s="35">
        <v>0</v>
      </c>
    </row>
    <row r="723" spans="1:20">
      <c r="A723" s="31">
        <v>721</v>
      </c>
      <c r="B723" s="33" t="s">
        <v>1049</v>
      </c>
      <c r="C723" s="33">
        <v>100</v>
      </c>
      <c r="D723" s="33">
        <v>383</v>
      </c>
      <c r="E723" s="33">
        <v>14.600000381469727</v>
      </c>
      <c r="F723" s="33">
        <v>13</v>
      </c>
      <c r="G723" s="33">
        <v>9.6000003814697266</v>
      </c>
      <c r="H723" s="33">
        <v>0.60000002384185791</v>
      </c>
      <c r="I723" s="33">
        <v>61.200000762939453</v>
      </c>
      <c r="J723" s="33">
        <v>75</v>
      </c>
      <c r="K723" s="33">
        <v>0.17000000178813934</v>
      </c>
      <c r="L723" s="33">
        <v>0.31000000238418579</v>
      </c>
      <c r="M723" s="33">
        <v>2</v>
      </c>
      <c r="N723" s="33">
        <v>3.7200000286102295</v>
      </c>
      <c r="O723" s="33">
        <v>118.5</v>
      </c>
      <c r="P723" s="33">
        <v>96</v>
      </c>
      <c r="Q723" s="33">
        <v>4.4000000953674316</v>
      </c>
      <c r="R723" s="34" t="s">
        <v>1042</v>
      </c>
      <c r="S723" s="33">
        <v>0</v>
      </c>
      <c r="T723" s="35">
        <v>0</v>
      </c>
    </row>
    <row r="724" spans="1:20">
      <c r="A724" s="31">
        <v>722</v>
      </c>
      <c r="B724" s="33" t="s">
        <v>1050</v>
      </c>
      <c r="C724" s="33">
        <v>100</v>
      </c>
      <c r="D724" s="33">
        <v>378</v>
      </c>
      <c r="E724" s="33">
        <v>21.899999618530273</v>
      </c>
      <c r="F724" s="33">
        <v>7.1999998092651367</v>
      </c>
      <c r="G724" s="33">
        <v>13.899999618530273</v>
      </c>
      <c r="H724" s="33">
        <v>0.60000002384185791</v>
      </c>
      <c r="I724" s="33">
        <v>55.900001525878906</v>
      </c>
      <c r="J724" s="33">
        <v>175</v>
      </c>
      <c r="K724" s="33">
        <v>0.12999999523162842</v>
      </c>
      <c r="L724" s="33">
        <v>0.10999999940395355</v>
      </c>
      <c r="M724" s="33">
        <v>1.3999999761581421</v>
      </c>
      <c r="N724" s="33">
        <v>3.309999942779541</v>
      </c>
      <c r="O724" s="33">
        <v>80.699996948242188</v>
      </c>
      <c r="P724" s="33">
        <v>38</v>
      </c>
      <c r="Q724" s="33">
        <v>2.2999999523162842</v>
      </c>
      <c r="R724" s="34" t="s">
        <v>1042</v>
      </c>
      <c r="S724" s="33">
        <v>0</v>
      </c>
      <c r="T724" s="35">
        <v>161</v>
      </c>
    </row>
    <row r="725" spans="1:20">
      <c r="A725" s="31">
        <v>723</v>
      </c>
      <c r="B725" s="33" t="s">
        <v>1051</v>
      </c>
      <c r="C725" s="33">
        <v>100</v>
      </c>
      <c r="D725" s="33">
        <v>347</v>
      </c>
      <c r="E725" s="33">
        <v>18.600000381469727</v>
      </c>
      <c r="F725" s="33">
        <v>8.6000003814697266</v>
      </c>
      <c r="G725" s="33">
        <v>5.0999999046325684</v>
      </c>
      <c r="H725" s="33">
        <v>0.40000000596046448</v>
      </c>
      <c r="I725" s="33">
        <v>66.699996948242188</v>
      </c>
      <c r="J725" s="33">
        <v>86</v>
      </c>
      <c r="K725" s="33">
        <v>9.0000003576278687E-2</v>
      </c>
      <c r="L725" s="33">
        <v>9.0000003576278687E-2</v>
      </c>
      <c r="M725" s="33">
        <v>0.80000001192092896</v>
      </c>
      <c r="N725" s="33">
        <v>2.7999999523162842</v>
      </c>
      <c r="O725" s="33">
        <v>67.800003051757813</v>
      </c>
      <c r="P725" s="33">
        <v>39</v>
      </c>
      <c r="Q725" s="33">
        <v>2.5</v>
      </c>
      <c r="R725" s="34" t="s">
        <v>1042</v>
      </c>
      <c r="S725" s="33">
        <v>0</v>
      </c>
      <c r="T725" s="35">
        <v>0</v>
      </c>
    </row>
    <row r="726" spans="1:20">
      <c r="A726" s="31">
        <v>724</v>
      </c>
      <c r="B726" s="33" t="s">
        <v>1052</v>
      </c>
      <c r="C726" s="33">
        <v>100</v>
      </c>
      <c r="D726" s="33">
        <v>320</v>
      </c>
      <c r="E726" s="33">
        <v>27</v>
      </c>
      <c r="F726" s="33">
        <v>9.5</v>
      </c>
      <c r="G726" s="33">
        <v>6</v>
      </c>
      <c r="H726" s="33">
        <v>0.20000000298023224</v>
      </c>
      <c r="I726" s="33">
        <v>56.900001525878906</v>
      </c>
      <c r="J726" s="33">
        <v>48</v>
      </c>
      <c r="K726" s="33">
        <v>0.12999999523162842</v>
      </c>
      <c r="L726" s="33">
        <v>2.9999999329447746E-2</v>
      </c>
      <c r="M726" s="33">
        <v>0.80000001192092896</v>
      </c>
      <c r="N726" s="33">
        <v>3.0499999523162842</v>
      </c>
      <c r="O726" s="33">
        <v>32</v>
      </c>
      <c r="P726" s="33">
        <v>27</v>
      </c>
      <c r="Q726" s="33">
        <v>2.2000000476837158</v>
      </c>
      <c r="R726" s="34" t="s">
        <v>1042</v>
      </c>
      <c r="S726" s="33">
        <v>0</v>
      </c>
      <c r="T726" s="35">
        <v>0</v>
      </c>
    </row>
    <row r="727" spans="1:20">
      <c r="A727" s="31">
        <v>725</v>
      </c>
      <c r="B727" s="33" t="s">
        <v>1053</v>
      </c>
      <c r="C727" s="33">
        <v>100</v>
      </c>
      <c r="D727" s="33">
        <v>386</v>
      </c>
      <c r="E727" s="33">
        <v>6.3000001907348633</v>
      </c>
      <c r="F727" s="33">
        <v>11.699999809265137</v>
      </c>
      <c r="G727" s="33">
        <v>3.9000000953674316</v>
      </c>
      <c r="H727" s="33">
        <v>0.80000001192092896</v>
      </c>
      <c r="I727" s="33">
        <v>76.099998474121094</v>
      </c>
      <c r="J727" s="33">
        <v>33</v>
      </c>
      <c r="K727" s="33">
        <v>0.15000000596046448</v>
      </c>
      <c r="L727" s="33">
        <v>3.9999999105930328E-2</v>
      </c>
      <c r="M727" s="33">
        <v>4.1999998092651367</v>
      </c>
      <c r="N727" s="33">
        <v>1.0800000429153442</v>
      </c>
      <c r="O727" s="33">
        <v>100</v>
      </c>
      <c r="P727" s="33">
        <v>47</v>
      </c>
      <c r="Q727" s="33">
        <v>3</v>
      </c>
      <c r="R727" s="34" t="s">
        <v>1042</v>
      </c>
      <c r="S727" s="33">
        <v>0</v>
      </c>
      <c r="T727" s="35">
        <v>0</v>
      </c>
    </row>
    <row r="728" spans="1:20">
      <c r="A728" s="31">
        <v>726</v>
      </c>
      <c r="B728" s="33" t="s">
        <v>1054</v>
      </c>
      <c r="C728" s="33">
        <v>100</v>
      </c>
      <c r="D728" s="33">
        <v>452</v>
      </c>
      <c r="E728" s="33">
        <v>5.1999998092651367</v>
      </c>
      <c r="F728" s="33">
        <v>9</v>
      </c>
      <c r="G728" s="33">
        <v>17.399999618530273</v>
      </c>
      <c r="H728" s="33">
        <v>1.7999999523162842</v>
      </c>
      <c r="I728" s="33">
        <v>64.900001525878906</v>
      </c>
      <c r="J728" s="33">
        <v>174</v>
      </c>
      <c r="K728" s="33">
        <v>9.9999997764825821E-3</v>
      </c>
      <c r="L728" s="33">
        <v>0</v>
      </c>
      <c r="M728" s="33">
        <v>4.4000000953674316</v>
      </c>
      <c r="N728" s="33">
        <v>3.1099998950958252</v>
      </c>
      <c r="O728" s="33">
        <v>67.900001525878906</v>
      </c>
      <c r="P728" s="33">
        <v>59</v>
      </c>
      <c r="Q728" s="33">
        <v>2.4000000953674316</v>
      </c>
      <c r="R728" s="34" t="s">
        <v>1042</v>
      </c>
      <c r="S728" s="33">
        <v>0</v>
      </c>
      <c r="T728" s="35">
        <v>0</v>
      </c>
    </row>
    <row r="729" spans="1:20">
      <c r="A729" s="31">
        <v>727</v>
      </c>
      <c r="B729" s="33" t="s">
        <v>1055</v>
      </c>
      <c r="C729" s="33">
        <v>100</v>
      </c>
      <c r="D729" s="33">
        <v>456</v>
      </c>
      <c r="E729" s="33">
        <v>4.4000000953674316</v>
      </c>
      <c r="F729" s="33">
        <v>5.9000000953674316</v>
      </c>
      <c r="G729" s="33">
        <v>18.700000762939453</v>
      </c>
      <c r="H729" s="33">
        <v>3.9000000953674316</v>
      </c>
      <c r="I729" s="33">
        <v>66.099998474121094</v>
      </c>
      <c r="J729" s="33">
        <v>0</v>
      </c>
      <c r="K729" s="33">
        <v>0</v>
      </c>
      <c r="L729" s="33">
        <v>0</v>
      </c>
      <c r="M729" s="33">
        <v>5</v>
      </c>
      <c r="N729" s="33">
        <v>0</v>
      </c>
      <c r="O729" s="33">
        <v>599</v>
      </c>
      <c r="P729" s="33">
        <v>38</v>
      </c>
      <c r="Q729" s="33">
        <v>1</v>
      </c>
      <c r="R729" s="34" t="s">
        <v>1042</v>
      </c>
      <c r="S729" s="33">
        <v>0</v>
      </c>
      <c r="T729" s="35">
        <v>50</v>
      </c>
    </row>
    <row r="730" spans="1:20">
      <c r="A730" s="31">
        <v>728</v>
      </c>
      <c r="B730" s="33" t="s">
        <v>1056</v>
      </c>
      <c r="C730" s="33">
        <v>100</v>
      </c>
      <c r="D730" s="33">
        <v>47</v>
      </c>
      <c r="E730" s="33">
        <v>88.099998474121094</v>
      </c>
      <c r="F730" s="33">
        <v>2.5999999046325684</v>
      </c>
      <c r="G730" s="33">
        <v>1.7999999523162842</v>
      </c>
      <c r="H730" s="33">
        <v>0.20000000298023224</v>
      </c>
      <c r="I730" s="33">
        <v>5.1999998092651367</v>
      </c>
      <c r="J730" s="33">
        <v>0</v>
      </c>
      <c r="K730" s="33">
        <v>9.9999997764825821E-3</v>
      </c>
      <c r="L730" s="33">
        <v>9.9999997764825821E-3</v>
      </c>
      <c r="M730" s="33">
        <v>0.40000000596046448</v>
      </c>
      <c r="N730" s="33">
        <v>0.87000000476837158</v>
      </c>
      <c r="O730" s="33">
        <v>235.60000610351563</v>
      </c>
      <c r="P730" s="33">
        <v>301</v>
      </c>
      <c r="Q730" s="33">
        <v>1.7000000476837158</v>
      </c>
      <c r="R730" s="34" t="s">
        <v>1042</v>
      </c>
      <c r="S730" s="33">
        <v>0</v>
      </c>
      <c r="T730" s="35">
        <v>0</v>
      </c>
    </row>
    <row r="731" spans="1:20">
      <c r="A731" s="31">
        <v>729</v>
      </c>
      <c r="B731" s="33" t="s">
        <v>1057</v>
      </c>
      <c r="C731" s="33">
        <v>100</v>
      </c>
      <c r="D731" s="33">
        <v>10</v>
      </c>
      <c r="E731" s="33">
        <v>97.400001525878906</v>
      </c>
      <c r="F731" s="33">
        <v>0.89999997615814209</v>
      </c>
      <c r="G731" s="33">
        <v>0.10000000149011612</v>
      </c>
      <c r="H731" s="33">
        <v>0.10000000149011612</v>
      </c>
      <c r="I731" s="33">
        <v>1.2999999523162842</v>
      </c>
      <c r="J731" s="33">
        <v>0</v>
      </c>
      <c r="K731" s="33">
        <v>1.9999999552965164E-2</v>
      </c>
      <c r="L731" s="33">
        <v>1.9999999552965164E-2</v>
      </c>
      <c r="M731" s="33">
        <v>0.10000000149011612</v>
      </c>
      <c r="N731" s="33">
        <v>0.34000000357627869</v>
      </c>
      <c r="O731" s="33">
        <v>6.5</v>
      </c>
      <c r="P731" s="33">
        <v>8</v>
      </c>
      <c r="Q731" s="33">
        <v>0.40000000596046448</v>
      </c>
      <c r="R731" s="34" t="s">
        <v>1042</v>
      </c>
      <c r="S731" s="33">
        <v>0</v>
      </c>
      <c r="T731" s="35">
        <v>0</v>
      </c>
    </row>
    <row r="732" spans="1:20">
      <c r="A732" s="31">
        <v>730</v>
      </c>
      <c r="B732" s="33" t="s">
        <v>1058</v>
      </c>
      <c r="C732" s="33">
        <v>100</v>
      </c>
      <c r="D732" s="33">
        <v>461</v>
      </c>
      <c r="E732" s="33">
        <v>10</v>
      </c>
      <c r="F732" s="33">
        <v>8.3999996185302734</v>
      </c>
      <c r="G732" s="33">
        <v>22.700000762939453</v>
      </c>
      <c r="H732" s="33">
        <v>1.7000000476837158</v>
      </c>
      <c r="I732" s="33">
        <v>55.700000762939453</v>
      </c>
      <c r="J732" s="33">
        <v>17</v>
      </c>
      <c r="K732" s="33">
        <v>7.9999998211860657E-2</v>
      </c>
      <c r="L732" s="33">
        <v>0.34999999403953552</v>
      </c>
      <c r="M732" s="33">
        <v>10.300000190734863</v>
      </c>
      <c r="N732" s="33">
        <v>2.25</v>
      </c>
      <c r="O732" s="33">
        <v>23.799999237060547</v>
      </c>
      <c r="P732" s="33">
        <v>53</v>
      </c>
      <c r="Q732" s="33">
        <v>3.2000000476837158</v>
      </c>
      <c r="R732" s="34" t="s">
        <v>1042</v>
      </c>
      <c r="S732" s="33">
        <v>0</v>
      </c>
      <c r="T732" s="35">
        <v>0</v>
      </c>
    </row>
    <row r="733" spans="1:20">
      <c r="A733" s="31">
        <v>731</v>
      </c>
      <c r="B733" s="33" t="s">
        <v>1059</v>
      </c>
      <c r="C733" s="33">
        <v>100</v>
      </c>
      <c r="D733" s="33">
        <v>511</v>
      </c>
      <c r="E733" s="33">
        <v>3.2999999523162842</v>
      </c>
      <c r="F733" s="33">
        <v>6.5999999046325684</v>
      </c>
      <c r="G733" s="33">
        <v>25.299999237060547</v>
      </c>
      <c r="H733" s="33">
        <v>0</v>
      </c>
      <c r="I733" s="33">
        <v>64.199996948242188</v>
      </c>
      <c r="J733" s="33">
        <v>57</v>
      </c>
      <c r="K733" s="33">
        <v>0</v>
      </c>
      <c r="L733" s="33">
        <v>1.9999999552965164E-2</v>
      </c>
      <c r="M733" s="33">
        <v>0.60000002384185791</v>
      </c>
      <c r="N733" s="33">
        <v>1.5399999618530273</v>
      </c>
      <c r="O733" s="33">
        <v>0</v>
      </c>
      <c r="P733" s="33">
        <v>40</v>
      </c>
      <c r="Q733" s="33">
        <v>0</v>
      </c>
      <c r="R733" s="34" t="s">
        <v>1042</v>
      </c>
      <c r="S733" s="33">
        <v>0</v>
      </c>
      <c r="T733" s="35">
        <v>0</v>
      </c>
    </row>
    <row r="734" spans="1:20">
      <c r="A734" s="31">
        <v>732</v>
      </c>
      <c r="B734" s="33" t="s">
        <v>1060</v>
      </c>
      <c r="C734" s="33">
        <v>100</v>
      </c>
      <c r="D734" s="33">
        <v>465</v>
      </c>
      <c r="E734" s="33">
        <v>7.4000000953674316</v>
      </c>
      <c r="F734" s="33">
        <v>6.1999998092651367</v>
      </c>
      <c r="G734" s="33">
        <v>21.399999618530273</v>
      </c>
      <c r="H734" s="33">
        <v>2.2000000476837158</v>
      </c>
      <c r="I734" s="33">
        <v>62</v>
      </c>
      <c r="J734" s="33">
        <v>54</v>
      </c>
      <c r="K734" s="33">
        <v>0</v>
      </c>
      <c r="L734" s="33">
        <v>0</v>
      </c>
      <c r="M734" s="33">
        <v>1.8999999761581421</v>
      </c>
      <c r="N734" s="33">
        <v>0.98000001907348633</v>
      </c>
      <c r="O734" s="33">
        <v>44.599998474121094</v>
      </c>
      <c r="P734" s="33">
        <v>54</v>
      </c>
      <c r="Q734" s="33">
        <v>5</v>
      </c>
      <c r="R734" s="34" t="s">
        <v>1042</v>
      </c>
      <c r="S734" s="33">
        <v>0</v>
      </c>
      <c r="T734" s="35">
        <v>0</v>
      </c>
    </row>
    <row r="735" spans="1:20">
      <c r="A735" s="31">
        <v>733</v>
      </c>
      <c r="B735" s="33" t="s">
        <v>1061</v>
      </c>
      <c r="C735" s="33">
        <v>100</v>
      </c>
      <c r="D735" s="33">
        <v>332</v>
      </c>
      <c r="E735" s="33">
        <v>10</v>
      </c>
      <c r="F735" s="33">
        <v>4.4000000953674316</v>
      </c>
      <c r="G735" s="33">
        <v>0.40000000596046448</v>
      </c>
      <c r="H735" s="33">
        <v>6.5</v>
      </c>
      <c r="I735" s="33">
        <v>77.800003051757813</v>
      </c>
      <c r="J735" s="33">
        <v>0</v>
      </c>
      <c r="K735" s="33">
        <v>0.10999999940395355</v>
      </c>
      <c r="L735" s="33">
        <v>0.14000000059604645</v>
      </c>
      <c r="M735" s="33">
        <v>1.2999999523162842</v>
      </c>
      <c r="N735" s="33">
        <v>4.7300000190734863</v>
      </c>
      <c r="O735" s="33">
        <v>103.40000152587891</v>
      </c>
      <c r="P735" s="33">
        <v>65</v>
      </c>
      <c r="Q735" s="33">
        <v>5.6999998092651367</v>
      </c>
      <c r="R735" s="34" t="s">
        <v>1042</v>
      </c>
      <c r="S735" s="33">
        <v>0</v>
      </c>
      <c r="T735" s="35">
        <v>0</v>
      </c>
    </row>
    <row r="736" spans="1:20">
      <c r="A736" s="31">
        <v>734</v>
      </c>
      <c r="B736" s="33" t="s">
        <v>1062</v>
      </c>
      <c r="C736" s="33">
        <v>100</v>
      </c>
      <c r="D736" s="33">
        <v>134</v>
      </c>
      <c r="E736" s="33">
        <v>66.099998474121094</v>
      </c>
      <c r="F736" s="33">
        <v>0.20000000298023224</v>
      </c>
      <c r="G736" s="33">
        <v>0.30000001192092896</v>
      </c>
      <c r="H736" s="33">
        <v>0.30000001192092896</v>
      </c>
      <c r="I736" s="33">
        <v>32.5</v>
      </c>
      <c r="J736" s="33">
        <v>0</v>
      </c>
      <c r="K736" s="33">
        <v>9.9999997764825821E-3</v>
      </c>
      <c r="L736" s="33">
        <v>0.12999999523162842</v>
      </c>
      <c r="M736" s="33">
        <v>0.10000000149011612</v>
      </c>
      <c r="N736" s="33">
        <v>0</v>
      </c>
      <c r="O736" s="33">
        <v>12.5</v>
      </c>
      <c r="P736" s="33">
        <v>11</v>
      </c>
      <c r="Q736" s="33">
        <v>5.8000001907348633</v>
      </c>
      <c r="R736" s="34" t="s">
        <v>1042</v>
      </c>
      <c r="S736" s="33">
        <v>0</v>
      </c>
      <c r="T736" s="35">
        <v>0</v>
      </c>
    </row>
    <row r="737" spans="1:20">
      <c r="A737" s="31">
        <v>735</v>
      </c>
      <c r="B737" s="33" t="s">
        <v>1063</v>
      </c>
      <c r="C737" s="33">
        <v>100</v>
      </c>
      <c r="D737" s="33">
        <v>436</v>
      </c>
      <c r="E737" s="33">
        <v>6.8000001907348633</v>
      </c>
      <c r="F737" s="33">
        <v>5.5999999046325684</v>
      </c>
      <c r="G737" s="33">
        <v>16.100000381469727</v>
      </c>
      <c r="H737" s="33">
        <v>3.2999999523162842</v>
      </c>
      <c r="I737" s="33">
        <v>67.300003051757813</v>
      </c>
      <c r="J737" s="33">
        <v>274</v>
      </c>
      <c r="K737" s="33">
        <v>2.9999999329447746E-2</v>
      </c>
      <c r="L737" s="33">
        <v>9.9999997764825821E-3</v>
      </c>
      <c r="M737" s="33">
        <v>0.60000002384185791</v>
      </c>
      <c r="N737" s="33">
        <v>3.7400000095367432</v>
      </c>
      <c r="O737" s="33">
        <v>36.5</v>
      </c>
      <c r="P737" s="33">
        <v>89</v>
      </c>
      <c r="Q737" s="33">
        <v>7.0999999046325684</v>
      </c>
      <c r="R737" s="34" t="s">
        <v>1042</v>
      </c>
      <c r="S737" s="33">
        <v>0</v>
      </c>
      <c r="T737" s="35">
        <v>0</v>
      </c>
    </row>
    <row r="738" spans="1:20">
      <c r="A738" s="31">
        <v>736</v>
      </c>
      <c r="B738" s="33" t="s">
        <v>1064</v>
      </c>
      <c r="C738" s="33">
        <v>100</v>
      </c>
      <c r="D738" s="33">
        <v>417</v>
      </c>
      <c r="E738" s="33">
        <v>2.2999999523162842</v>
      </c>
      <c r="F738" s="33">
        <v>4.1999998092651367</v>
      </c>
      <c r="G738" s="33">
        <v>12.399999618530273</v>
      </c>
      <c r="H738" s="33">
        <v>7.5</v>
      </c>
      <c r="I738" s="33">
        <v>72.199996948242188</v>
      </c>
      <c r="J738" s="33">
        <v>0</v>
      </c>
      <c r="K738" s="33">
        <v>0</v>
      </c>
      <c r="L738" s="33">
        <v>0</v>
      </c>
      <c r="M738" s="33">
        <v>0</v>
      </c>
      <c r="N738" s="33">
        <v>0</v>
      </c>
      <c r="O738" s="33">
        <v>3.0999999046325684</v>
      </c>
      <c r="P738" s="33">
        <v>8</v>
      </c>
      <c r="Q738" s="33">
        <v>6.0999999046325684</v>
      </c>
      <c r="R738" s="34" t="s">
        <v>1042</v>
      </c>
      <c r="S738" s="33">
        <v>0</v>
      </c>
      <c r="T738" s="35">
        <v>0</v>
      </c>
    </row>
    <row r="739" spans="1:20">
      <c r="A739" s="31">
        <v>737</v>
      </c>
      <c r="B739" s="33" t="s">
        <v>1065</v>
      </c>
      <c r="C739" s="33">
        <v>100</v>
      </c>
      <c r="D739" s="33">
        <v>480</v>
      </c>
      <c r="E739" s="33">
        <v>3.2999999523162842</v>
      </c>
      <c r="F739" s="33">
        <v>9.8000001907348633</v>
      </c>
      <c r="G739" s="33">
        <v>24.600000381469727</v>
      </c>
      <c r="H739" s="33">
        <v>6.1999998092651367</v>
      </c>
      <c r="I739" s="33">
        <v>54.900001525878906</v>
      </c>
      <c r="J739" s="33">
        <v>10</v>
      </c>
      <c r="K739" s="33">
        <v>0.11999999731779099</v>
      </c>
      <c r="L739" s="33">
        <v>2.9999999329447746E-2</v>
      </c>
      <c r="M739" s="33">
        <v>5.8000001907348633</v>
      </c>
      <c r="N739" s="33">
        <v>4.3400001525878906</v>
      </c>
      <c r="O739" s="33">
        <v>251.30000305175781</v>
      </c>
      <c r="P739" s="33">
        <v>54</v>
      </c>
      <c r="Q739" s="33">
        <v>4.4000000953674316</v>
      </c>
      <c r="R739" s="34" t="s">
        <v>1042</v>
      </c>
      <c r="S739" s="33">
        <v>0</v>
      </c>
      <c r="T739" s="35">
        <v>0</v>
      </c>
    </row>
    <row r="740" spans="1:20">
      <c r="A740" s="31">
        <v>738</v>
      </c>
      <c r="B740" s="33" t="s">
        <v>1066</v>
      </c>
      <c r="C740" s="33">
        <v>100</v>
      </c>
      <c r="D740" s="33">
        <v>277</v>
      </c>
      <c r="E740" s="33">
        <v>59.599998474121094</v>
      </c>
      <c r="F740" s="33">
        <v>23.799999237060547</v>
      </c>
      <c r="G740" s="33">
        <v>20.200000762939453</v>
      </c>
      <c r="H740" s="33">
        <v>0</v>
      </c>
      <c r="I740" s="33">
        <v>0</v>
      </c>
      <c r="J740" s="33">
        <v>0</v>
      </c>
      <c r="K740" s="33">
        <v>0</v>
      </c>
      <c r="L740" s="33">
        <v>0</v>
      </c>
      <c r="M740" s="33">
        <v>0</v>
      </c>
      <c r="N740" s="33">
        <v>0</v>
      </c>
      <c r="O740" s="33">
        <v>0</v>
      </c>
      <c r="P740" s="33">
        <v>0</v>
      </c>
      <c r="Q740" s="33">
        <v>0</v>
      </c>
      <c r="R740" s="34" t="s">
        <v>1042</v>
      </c>
      <c r="S740" s="33">
        <v>0</v>
      </c>
      <c r="T740" s="35">
        <v>82</v>
      </c>
    </row>
    <row r="741" spans="1:20">
      <c r="A741" s="31">
        <v>739</v>
      </c>
      <c r="B741" s="33" t="s">
        <v>1067</v>
      </c>
      <c r="C741" s="33">
        <v>100</v>
      </c>
      <c r="D741" s="33">
        <v>453</v>
      </c>
      <c r="E741" s="33">
        <v>5.3000001907348633</v>
      </c>
      <c r="F741" s="33">
        <v>7.9000000953674316</v>
      </c>
      <c r="G741" s="33">
        <v>16.299999237060547</v>
      </c>
      <c r="H741" s="33">
        <v>0.80000001192092896</v>
      </c>
      <c r="I741" s="33">
        <v>68.699996948242188</v>
      </c>
      <c r="J741" s="33">
        <v>7</v>
      </c>
      <c r="K741" s="33">
        <v>7.9999998211860657E-2</v>
      </c>
      <c r="L741" s="33">
        <v>0.18000000715255737</v>
      </c>
      <c r="M741" s="33">
        <v>3</v>
      </c>
      <c r="N741" s="33">
        <v>6.3299999237060547</v>
      </c>
      <c r="O741" s="33">
        <v>135.19999694824219</v>
      </c>
      <c r="P741" s="33">
        <v>77</v>
      </c>
      <c r="Q741" s="33">
        <v>3.9000000953674316</v>
      </c>
      <c r="R741" s="34" t="s">
        <v>1042</v>
      </c>
      <c r="S741" s="33">
        <v>0</v>
      </c>
      <c r="T741" s="35">
        <v>0</v>
      </c>
    </row>
    <row r="742" spans="1:20">
      <c r="A742" s="31">
        <v>740</v>
      </c>
      <c r="B742" s="33" t="s">
        <v>1068</v>
      </c>
      <c r="C742" s="33">
        <v>100</v>
      </c>
      <c r="D742" s="33">
        <v>439</v>
      </c>
      <c r="E742" s="33">
        <v>4</v>
      </c>
      <c r="F742" s="33">
        <v>5.6999998092651367</v>
      </c>
      <c r="G742" s="33">
        <v>11.699999809265137</v>
      </c>
      <c r="H742" s="33">
        <v>0.40000000596046448</v>
      </c>
      <c r="I742" s="33">
        <v>77.699996948242188</v>
      </c>
      <c r="J742" s="33">
        <v>0</v>
      </c>
      <c r="K742" s="33">
        <v>0.18000000715255737</v>
      </c>
      <c r="L742" s="33">
        <v>2.9999999329447746E-2</v>
      </c>
      <c r="M742" s="33">
        <v>2.5</v>
      </c>
      <c r="N742" s="33">
        <v>14.319999694824219</v>
      </c>
      <c r="O742" s="33">
        <v>46.5</v>
      </c>
      <c r="P742" s="33">
        <v>33</v>
      </c>
      <c r="Q742" s="33">
        <v>2.5</v>
      </c>
      <c r="R742" s="34" t="s">
        <v>1042</v>
      </c>
      <c r="S742" s="33">
        <v>0</v>
      </c>
      <c r="T742" s="35">
        <v>0</v>
      </c>
    </row>
    <row r="743" spans="1:20">
      <c r="A743" s="31">
        <v>741</v>
      </c>
      <c r="B743" s="33" t="s">
        <v>1069</v>
      </c>
      <c r="C743" s="33">
        <v>100</v>
      </c>
      <c r="D743" s="33">
        <v>544</v>
      </c>
      <c r="E743" s="33">
        <v>5.6999998092651367</v>
      </c>
      <c r="F743" s="33">
        <v>6.9000000953674316</v>
      </c>
      <c r="G743" s="33">
        <v>34.900001525878906</v>
      </c>
      <c r="H743" s="33">
        <v>1.7999999523162842</v>
      </c>
      <c r="I743" s="33">
        <v>50.700000762939453</v>
      </c>
      <c r="J743" s="33">
        <v>0</v>
      </c>
      <c r="K743" s="33">
        <v>0</v>
      </c>
      <c r="L743" s="33">
        <v>9.9999997764825821E-3</v>
      </c>
      <c r="M743" s="33">
        <v>8.3999996185302734</v>
      </c>
      <c r="N743" s="33">
        <v>1.3600000143051147</v>
      </c>
      <c r="O743" s="33">
        <v>762.20001220703125</v>
      </c>
      <c r="P743" s="33">
        <v>24</v>
      </c>
      <c r="Q743" s="33">
        <v>0</v>
      </c>
      <c r="R743" s="34" t="s">
        <v>1042</v>
      </c>
      <c r="S743" s="33">
        <v>0</v>
      </c>
      <c r="T743" s="35">
        <v>0</v>
      </c>
    </row>
    <row r="744" spans="1:20">
      <c r="A744" s="31">
        <v>742</v>
      </c>
      <c r="B744" s="33" t="s">
        <v>1070</v>
      </c>
      <c r="C744" s="33">
        <v>100</v>
      </c>
      <c r="D744" s="33">
        <v>435</v>
      </c>
      <c r="E744" s="33">
        <v>8.3000001907348633</v>
      </c>
      <c r="F744" s="33">
        <v>7.1999998092651367</v>
      </c>
      <c r="G744" s="33">
        <v>16.399999618530273</v>
      </c>
      <c r="H744" s="33">
        <v>3</v>
      </c>
      <c r="I744" s="33">
        <v>64.599998474121094</v>
      </c>
      <c r="J744" s="33">
        <v>7</v>
      </c>
      <c r="K744" s="33">
        <v>7.9999998211860657E-2</v>
      </c>
      <c r="L744" s="33">
        <v>2.9999999329447746E-2</v>
      </c>
      <c r="M744" s="33">
        <v>4.1999998092651367</v>
      </c>
      <c r="N744" s="33">
        <v>5.5</v>
      </c>
      <c r="O744" s="33">
        <v>16.600000381469727</v>
      </c>
      <c r="P744" s="33">
        <v>15</v>
      </c>
      <c r="Q744" s="33">
        <v>2.5999999046325684</v>
      </c>
      <c r="R744" s="34" t="s">
        <v>1042</v>
      </c>
      <c r="S744" s="33">
        <v>0</v>
      </c>
      <c r="T744" s="35">
        <v>0</v>
      </c>
    </row>
    <row r="745" spans="1:20">
      <c r="A745" s="31">
        <v>743</v>
      </c>
      <c r="B745" s="33" t="s">
        <v>1071</v>
      </c>
      <c r="C745" s="33">
        <v>100</v>
      </c>
      <c r="D745" s="33">
        <v>504</v>
      </c>
      <c r="E745" s="33">
        <v>1.3999999761581421</v>
      </c>
      <c r="F745" s="33">
        <v>11.399999618530273</v>
      </c>
      <c r="G745" s="33">
        <v>23.100000381469727</v>
      </c>
      <c r="H745" s="33">
        <v>0</v>
      </c>
      <c r="I745" s="33">
        <v>62.400001525878906</v>
      </c>
      <c r="J745" s="33">
        <v>0</v>
      </c>
      <c r="K745" s="33">
        <v>7.0000000298023224E-2</v>
      </c>
      <c r="L745" s="33">
        <v>7.0000000298023224E-2</v>
      </c>
      <c r="M745" s="33">
        <v>2.4000000953674316</v>
      </c>
      <c r="N745" s="33">
        <v>5.630000114440918</v>
      </c>
      <c r="O745" s="33">
        <v>60</v>
      </c>
      <c r="P745" s="33">
        <v>508</v>
      </c>
      <c r="Q745" s="33">
        <v>8.8000001907348633</v>
      </c>
      <c r="R745" s="34" t="s">
        <v>1042</v>
      </c>
      <c r="S745" s="33">
        <v>0</v>
      </c>
      <c r="T745" s="35">
        <v>107</v>
      </c>
    </row>
    <row r="746" spans="1:20">
      <c r="A746" s="31">
        <v>744</v>
      </c>
      <c r="B746" s="33" t="s">
        <v>1072</v>
      </c>
      <c r="C746" s="33">
        <v>100</v>
      </c>
      <c r="D746" s="33">
        <v>490</v>
      </c>
      <c r="E746" s="33">
        <v>4.0999999046325684</v>
      </c>
      <c r="F746" s="33">
        <v>6</v>
      </c>
      <c r="G746" s="33">
        <v>21.799999237060547</v>
      </c>
      <c r="H746" s="33">
        <v>0.30000001192092896</v>
      </c>
      <c r="I746" s="33">
        <v>67.400001525878906</v>
      </c>
      <c r="J746" s="33">
        <v>17</v>
      </c>
      <c r="K746" s="33">
        <v>0.12999999523162842</v>
      </c>
      <c r="L746" s="33">
        <v>3.9999999105930328E-2</v>
      </c>
      <c r="M746" s="33">
        <v>2.2000000476837158</v>
      </c>
      <c r="N746" s="33">
        <v>3.6600000858306885</v>
      </c>
      <c r="O746" s="33">
        <v>52.700000762939453</v>
      </c>
      <c r="P746" s="33">
        <v>30</v>
      </c>
      <c r="Q746" s="33">
        <v>1.8999999761581421</v>
      </c>
      <c r="R746" s="34" t="s">
        <v>1042</v>
      </c>
      <c r="S746" s="33">
        <v>0</v>
      </c>
      <c r="T746" s="35">
        <v>0</v>
      </c>
    </row>
    <row r="747" spans="1:20">
      <c r="A747" s="31">
        <v>745</v>
      </c>
      <c r="B747" s="33" t="s">
        <v>1073</v>
      </c>
      <c r="C747" s="33">
        <v>100</v>
      </c>
      <c r="D747" s="33">
        <v>436</v>
      </c>
      <c r="E747" s="33">
        <v>7.0999999046325684</v>
      </c>
      <c r="F747" s="33">
        <v>6.1999998092651367</v>
      </c>
      <c r="G747" s="33">
        <v>13.399999618530273</v>
      </c>
      <c r="H747" s="33">
        <v>0</v>
      </c>
      <c r="I747" s="33">
        <v>72.699996948242188</v>
      </c>
      <c r="J747" s="33">
        <v>0</v>
      </c>
      <c r="K747" s="33">
        <v>0</v>
      </c>
      <c r="L747" s="33">
        <v>0</v>
      </c>
      <c r="M747" s="33">
        <v>0.89999997615814209</v>
      </c>
      <c r="N747" s="33">
        <v>1.5299999713897705</v>
      </c>
      <c r="O747" s="33">
        <v>406.79998779296875</v>
      </c>
      <c r="P747" s="33">
        <v>19</v>
      </c>
      <c r="Q747" s="33">
        <v>1.1000000238418579</v>
      </c>
      <c r="R747" s="34" t="s">
        <v>1042</v>
      </c>
      <c r="S747" s="33">
        <v>0</v>
      </c>
      <c r="T747" s="35">
        <v>0</v>
      </c>
    </row>
    <row r="748" spans="1:20">
      <c r="A748" s="31">
        <v>746</v>
      </c>
      <c r="B748" s="33" t="s">
        <v>1074</v>
      </c>
      <c r="C748" s="33">
        <v>100</v>
      </c>
      <c r="D748" s="33">
        <v>512</v>
      </c>
      <c r="E748" s="33">
        <v>5.3000001907348633</v>
      </c>
      <c r="F748" s="33">
        <v>8.3999996185302734</v>
      </c>
      <c r="G748" s="33">
        <v>30</v>
      </c>
      <c r="H748" s="33">
        <v>3.0999999046325684</v>
      </c>
      <c r="I748" s="33">
        <v>52.200000762939453</v>
      </c>
      <c r="J748" s="33">
        <v>12</v>
      </c>
      <c r="K748" s="33">
        <v>5.000000074505806E-2</v>
      </c>
      <c r="L748" s="33">
        <v>5.9999998658895493E-2</v>
      </c>
      <c r="M748" s="33">
        <v>5.9000000953674316</v>
      </c>
      <c r="N748" s="33">
        <v>27.790000915527344</v>
      </c>
      <c r="O748" s="33">
        <v>68.199996948242188</v>
      </c>
      <c r="P748" s="33">
        <v>39</v>
      </c>
      <c r="Q748" s="33">
        <v>4.4000000953674316</v>
      </c>
      <c r="R748" s="34" t="s">
        <v>1042</v>
      </c>
      <c r="S748" s="33">
        <v>0</v>
      </c>
      <c r="T748" s="35">
        <v>0</v>
      </c>
    </row>
    <row r="749" spans="1:20">
      <c r="A749" s="31">
        <v>747</v>
      </c>
      <c r="B749" s="33" t="s">
        <v>1075</v>
      </c>
      <c r="C749" s="33">
        <v>100</v>
      </c>
      <c r="D749" s="33">
        <v>451</v>
      </c>
      <c r="E749" s="33">
        <v>5.5999999046325684</v>
      </c>
      <c r="F749" s="33">
        <v>6.8000001907348633</v>
      </c>
      <c r="G749" s="33">
        <v>15.199999809265137</v>
      </c>
      <c r="H749" s="33">
        <v>0.20000000298023224</v>
      </c>
      <c r="I749" s="33">
        <v>71.800003051757813</v>
      </c>
      <c r="J749" s="33">
        <v>0</v>
      </c>
      <c r="K749" s="33">
        <v>5.9999998658895493E-2</v>
      </c>
      <c r="L749" s="33">
        <v>0</v>
      </c>
      <c r="M749" s="33">
        <v>0</v>
      </c>
      <c r="N749" s="33">
        <v>1.3999999761581421</v>
      </c>
      <c r="O749" s="33">
        <v>5.8000001907348633</v>
      </c>
      <c r="P749" s="33">
        <v>114</v>
      </c>
      <c r="Q749" s="33">
        <v>4.9000000953674316</v>
      </c>
      <c r="R749" s="34" t="s">
        <v>1042</v>
      </c>
      <c r="S749" s="33">
        <v>0</v>
      </c>
      <c r="T749" s="35">
        <v>27</v>
      </c>
    </row>
    <row r="750" spans="1:20">
      <c r="A750" s="31">
        <v>748</v>
      </c>
      <c r="B750" s="33" t="s">
        <v>1076</v>
      </c>
      <c r="C750" s="33">
        <v>100</v>
      </c>
      <c r="D750" s="33">
        <v>50</v>
      </c>
      <c r="E750" s="33">
        <v>87.800003051757813</v>
      </c>
      <c r="F750" s="33">
        <v>0.30000001192092896</v>
      </c>
      <c r="G750" s="33">
        <v>0.5</v>
      </c>
      <c r="H750" s="33">
        <v>0.10000000149011612</v>
      </c>
      <c r="I750" s="33">
        <v>11.199999809265137</v>
      </c>
      <c r="J750" s="33">
        <v>0</v>
      </c>
      <c r="K750" s="33">
        <v>0</v>
      </c>
      <c r="L750" s="33">
        <v>0</v>
      </c>
      <c r="M750" s="33">
        <v>0</v>
      </c>
      <c r="N750" s="33">
        <v>0</v>
      </c>
      <c r="O750" s="33">
        <v>0</v>
      </c>
      <c r="P750" s="33">
        <v>9</v>
      </c>
      <c r="Q750" s="33">
        <v>0.80000001192092896</v>
      </c>
      <c r="R750" s="34" t="s">
        <v>1042</v>
      </c>
      <c r="S750" s="33">
        <v>0</v>
      </c>
      <c r="T750" s="35">
        <v>0</v>
      </c>
    </row>
    <row r="751" spans="1:20">
      <c r="A751" s="31">
        <v>749</v>
      </c>
      <c r="B751" s="33" t="s">
        <v>1077</v>
      </c>
      <c r="C751" s="33">
        <v>100</v>
      </c>
      <c r="D751" s="33">
        <v>349</v>
      </c>
      <c r="E751" s="33">
        <v>11.5</v>
      </c>
      <c r="F751" s="33">
        <v>12.800000190734863</v>
      </c>
      <c r="G751" s="33">
        <v>1</v>
      </c>
      <c r="H751" s="33">
        <v>1.2000000476837158</v>
      </c>
      <c r="I751" s="33">
        <v>72.199996948242188</v>
      </c>
      <c r="J751" s="33">
        <v>47</v>
      </c>
      <c r="K751" s="33">
        <v>0.23000000417232513</v>
      </c>
      <c r="L751" s="33">
        <v>1.9999999552965164E-2</v>
      </c>
      <c r="M751" s="33">
        <v>6.0999999046325684</v>
      </c>
      <c r="N751" s="33">
        <v>3.6800000667572021</v>
      </c>
      <c r="O751" s="33">
        <v>11.600000381469727</v>
      </c>
      <c r="P751" s="33">
        <v>24</v>
      </c>
      <c r="Q751" s="33">
        <v>7.3000001907348633</v>
      </c>
      <c r="R751" s="34" t="s">
        <v>1042</v>
      </c>
      <c r="S751" s="33">
        <v>0</v>
      </c>
      <c r="T751" s="35">
        <v>0</v>
      </c>
    </row>
    <row r="752" spans="1:20">
      <c r="A752" s="31">
        <v>750</v>
      </c>
      <c r="B752" s="33" t="s">
        <v>1078</v>
      </c>
      <c r="C752" s="33">
        <v>100</v>
      </c>
      <c r="D752" s="33">
        <v>301</v>
      </c>
      <c r="E752" s="33">
        <v>24.100000381469727</v>
      </c>
      <c r="F752" s="33">
        <v>3.7000000476837158</v>
      </c>
      <c r="G752" s="33">
        <v>0.60000002384185791</v>
      </c>
      <c r="H752" s="33">
        <v>0.80000001192092896</v>
      </c>
      <c r="I752" s="33">
        <v>70.099998474121094</v>
      </c>
      <c r="J752" s="33">
        <v>0</v>
      </c>
      <c r="K752" s="33">
        <v>5.9999998658895493E-2</v>
      </c>
      <c r="L752" s="33">
        <v>0.11999999731779099</v>
      </c>
      <c r="M752" s="33">
        <v>0.40000000596046448</v>
      </c>
      <c r="N752" s="33">
        <v>0.93000000715255737</v>
      </c>
      <c r="O752" s="33">
        <v>6.0999999046325684</v>
      </c>
      <c r="P752" s="33">
        <v>80</v>
      </c>
      <c r="Q752" s="33">
        <v>0.89999997615814209</v>
      </c>
      <c r="R752" s="34" t="s">
        <v>1042</v>
      </c>
      <c r="S752" s="33">
        <v>0</v>
      </c>
      <c r="T752" s="35">
        <v>0</v>
      </c>
    </row>
    <row r="753" spans="1:20">
      <c r="A753" s="31">
        <v>751</v>
      </c>
      <c r="B753" s="33" t="s">
        <v>1079</v>
      </c>
      <c r="C753" s="33">
        <v>100</v>
      </c>
      <c r="D753" s="33">
        <v>194</v>
      </c>
      <c r="E753" s="33">
        <v>48.5</v>
      </c>
      <c r="F753" s="33">
        <v>8.1999998092651367</v>
      </c>
      <c r="G753" s="33">
        <v>0.20000000298023224</v>
      </c>
      <c r="H753" s="33">
        <v>1.8999999761581421</v>
      </c>
      <c r="I753" s="33">
        <v>39.900001525878906</v>
      </c>
      <c r="J753" s="33">
        <v>0</v>
      </c>
      <c r="K753" s="33">
        <v>5.000000074505806E-2</v>
      </c>
      <c r="L753" s="33">
        <v>7.0000000298023224E-2</v>
      </c>
      <c r="M753" s="33">
        <v>0.30000001192092896</v>
      </c>
      <c r="N753" s="33">
        <v>2.3299999237060547</v>
      </c>
      <c r="O753" s="33">
        <v>192.39999389648438</v>
      </c>
      <c r="P753" s="33">
        <v>34</v>
      </c>
      <c r="Q753" s="33">
        <v>8.6000003814697266</v>
      </c>
      <c r="R753" s="34" t="s">
        <v>1042</v>
      </c>
      <c r="S753" s="33">
        <v>0</v>
      </c>
      <c r="T753" s="35">
        <v>0</v>
      </c>
    </row>
    <row r="754" spans="1:20">
      <c r="A754" s="31">
        <v>752</v>
      </c>
      <c r="B754" s="33" t="s">
        <v>1080</v>
      </c>
      <c r="C754" s="33">
        <v>100</v>
      </c>
      <c r="D754" s="33">
        <v>397</v>
      </c>
      <c r="E754" s="33">
        <v>4.4000000953674316</v>
      </c>
      <c r="F754" s="33">
        <v>3.7999999523162842</v>
      </c>
      <c r="G754" s="33">
        <v>3.7999999523162842</v>
      </c>
      <c r="H754" s="33">
        <v>0.30000001192092896</v>
      </c>
      <c r="I754" s="33">
        <v>86.900001525878906</v>
      </c>
      <c r="J754" s="33">
        <v>0</v>
      </c>
      <c r="K754" s="33">
        <v>9.9999997764825821E-3</v>
      </c>
      <c r="L754" s="33">
        <v>0</v>
      </c>
      <c r="M754" s="33">
        <v>2.5</v>
      </c>
      <c r="N754" s="33">
        <v>0.34000000357627869</v>
      </c>
      <c r="O754" s="33">
        <v>1.7999999523162842</v>
      </c>
      <c r="P754" s="33">
        <v>59</v>
      </c>
      <c r="Q754" s="33">
        <v>6</v>
      </c>
      <c r="R754" s="34" t="s">
        <v>1042</v>
      </c>
      <c r="S754" s="33">
        <v>0</v>
      </c>
      <c r="T754" s="35">
        <v>0</v>
      </c>
    </row>
    <row r="755" spans="1:20">
      <c r="A755" s="31">
        <v>753</v>
      </c>
      <c r="B755" s="33" t="s">
        <v>1081</v>
      </c>
      <c r="C755" s="33">
        <v>100</v>
      </c>
      <c r="D755" s="33">
        <v>524</v>
      </c>
      <c r="E755" s="33">
        <v>6</v>
      </c>
      <c r="F755" s="33">
        <v>8.3000001907348633</v>
      </c>
      <c r="G755" s="33">
        <v>31.5</v>
      </c>
      <c r="H755" s="33">
        <v>1.5</v>
      </c>
      <c r="I755" s="33">
        <v>51.900001525878906</v>
      </c>
      <c r="J755" s="33">
        <v>0</v>
      </c>
      <c r="K755" s="33">
        <v>5.000000074505806E-2</v>
      </c>
      <c r="L755" s="33">
        <v>9.9999997764825821E-3</v>
      </c>
      <c r="M755" s="33">
        <v>3.2000000476837158</v>
      </c>
      <c r="N755" s="33">
        <v>21.600000381469727</v>
      </c>
      <c r="O755" s="33">
        <v>99.199996948242188</v>
      </c>
      <c r="P755" s="33">
        <v>26</v>
      </c>
      <c r="Q755" s="33">
        <v>0</v>
      </c>
      <c r="R755" s="34" t="s">
        <v>1042</v>
      </c>
      <c r="S755" s="33">
        <v>0</v>
      </c>
      <c r="T755" s="35">
        <v>0</v>
      </c>
    </row>
    <row r="756" spans="1:20">
      <c r="A756" s="31">
        <v>754</v>
      </c>
      <c r="B756" s="33" t="s">
        <v>1082</v>
      </c>
      <c r="C756" s="33">
        <v>100</v>
      </c>
      <c r="D756" s="33">
        <v>401</v>
      </c>
      <c r="E756" s="33">
        <v>3.5</v>
      </c>
      <c r="F756" s="33">
        <v>3.9000000953674316</v>
      </c>
      <c r="G756" s="33">
        <v>3.5999999046325684</v>
      </c>
      <c r="H756" s="33">
        <v>0.5</v>
      </c>
      <c r="I756" s="33">
        <v>88.199996948242188</v>
      </c>
      <c r="J756" s="33">
        <v>0</v>
      </c>
      <c r="K756" s="33">
        <v>9.9999997764825821E-3</v>
      </c>
      <c r="L756" s="33">
        <v>9.9999997764825821E-3</v>
      </c>
      <c r="M756" s="33">
        <v>2.4000000953674316</v>
      </c>
      <c r="N756" s="33">
        <v>1.0800000429153442</v>
      </c>
      <c r="O756" s="33">
        <v>2.5</v>
      </c>
      <c r="P756" s="33">
        <v>23</v>
      </c>
      <c r="Q756" s="33">
        <v>1.2000000476837158</v>
      </c>
      <c r="R756" s="34" t="s">
        <v>1042</v>
      </c>
      <c r="S756" s="33">
        <v>0</v>
      </c>
      <c r="T756" s="35">
        <v>0</v>
      </c>
    </row>
    <row r="757" spans="1:20">
      <c r="A757" s="31">
        <v>755</v>
      </c>
      <c r="B757" s="33" t="s">
        <v>1083</v>
      </c>
      <c r="C757" s="33">
        <v>100</v>
      </c>
      <c r="D757" s="33">
        <v>368</v>
      </c>
      <c r="E757" s="33">
        <v>10.699999809265137</v>
      </c>
      <c r="F757" s="33">
        <v>7.5</v>
      </c>
      <c r="G757" s="33">
        <v>3.5999999046325684</v>
      </c>
      <c r="H757" s="33">
        <v>0.40000000596046448</v>
      </c>
      <c r="I757" s="33">
        <v>76.300003051757813</v>
      </c>
      <c r="J757" s="33">
        <v>18</v>
      </c>
      <c r="K757" s="33">
        <v>0.11999999731779099</v>
      </c>
      <c r="L757" s="33">
        <v>0.51999998092651367</v>
      </c>
      <c r="M757" s="33">
        <v>1.6000000238418579</v>
      </c>
      <c r="N757" s="33">
        <v>4.5399999618530273</v>
      </c>
      <c r="O757" s="33">
        <v>185.80000305175781</v>
      </c>
      <c r="P757" s="33">
        <v>0</v>
      </c>
      <c r="Q757" s="33">
        <v>2.4000000953674316</v>
      </c>
      <c r="R757" s="34" t="s">
        <v>1042</v>
      </c>
      <c r="S757" s="33">
        <v>0</v>
      </c>
      <c r="T757" s="35">
        <v>0</v>
      </c>
    </row>
    <row r="758" spans="1:20">
      <c r="A758" s="31">
        <v>756</v>
      </c>
      <c r="B758" s="33" t="s">
        <v>1084</v>
      </c>
      <c r="C758" s="33">
        <v>100</v>
      </c>
      <c r="D758" s="33">
        <v>312</v>
      </c>
      <c r="E758" s="33">
        <v>27.399999618530273</v>
      </c>
      <c r="F758" s="33">
        <v>8.3000001907348633</v>
      </c>
      <c r="G758" s="33">
        <v>5.0999999046325684</v>
      </c>
      <c r="H758" s="33">
        <v>0.5</v>
      </c>
      <c r="I758" s="33">
        <v>58.099998474121094</v>
      </c>
      <c r="J758" s="33">
        <v>0</v>
      </c>
      <c r="K758" s="33">
        <v>2.9999999329447746E-2</v>
      </c>
      <c r="L758" s="33">
        <v>5.9999998658895493E-2</v>
      </c>
      <c r="M758" s="33">
        <v>1.7000000476837158</v>
      </c>
      <c r="N758" s="33">
        <v>1.6599999666213989</v>
      </c>
      <c r="O758" s="33">
        <v>230.39999389648438</v>
      </c>
      <c r="P758" s="33">
        <v>49</v>
      </c>
      <c r="Q758" s="33">
        <v>2</v>
      </c>
      <c r="R758" s="34" t="s">
        <v>1042</v>
      </c>
      <c r="S758" s="33">
        <v>0</v>
      </c>
      <c r="T758" s="35">
        <v>0</v>
      </c>
    </row>
    <row r="759" spans="1:20">
      <c r="A759" s="31">
        <v>757</v>
      </c>
      <c r="B759" s="33" t="s">
        <v>1085</v>
      </c>
      <c r="C759" s="33">
        <v>100</v>
      </c>
      <c r="D759" s="33">
        <v>318</v>
      </c>
      <c r="E759" s="33">
        <v>30.899999618530273</v>
      </c>
      <c r="F759" s="33">
        <v>8.8000001907348633</v>
      </c>
      <c r="G759" s="33">
        <v>8.3999996185302734</v>
      </c>
      <c r="H759" s="33">
        <v>0</v>
      </c>
      <c r="I759" s="33">
        <v>51.900001525878906</v>
      </c>
      <c r="J759" s="33">
        <v>0</v>
      </c>
      <c r="K759" s="33">
        <v>9.9999997764825821E-3</v>
      </c>
      <c r="L759" s="33">
        <v>9.9999997764825821E-3</v>
      </c>
      <c r="M759" s="33">
        <v>2.5999999046325684</v>
      </c>
      <c r="N759" s="33">
        <v>0.64999997615814209</v>
      </c>
      <c r="O759" s="33">
        <v>652.70001220703125</v>
      </c>
      <c r="P759" s="33">
        <v>0</v>
      </c>
      <c r="Q759" s="33">
        <v>2.9000000953674316</v>
      </c>
      <c r="R759" s="34" t="s">
        <v>1042</v>
      </c>
      <c r="S759" s="33">
        <v>0</v>
      </c>
      <c r="T759" s="35">
        <v>0</v>
      </c>
    </row>
    <row r="760" spans="1:20">
      <c r="A760" s="31">
        <v>758</v>
      </c>
      <c r="B760" s="33" t="s">
        <v>1086</v>
      </c>
      <c r="C760" s="33">
        <v>100</v>
      </c>
      <c r="D760" s="33">
        <v>282</v>
      </c>
      <c r="E760" s="33">
        <v>28.299999237060547</v>
      </c>
      <c r="F760" s="33">
        <v>10</v>
      </c>
      <c r="G760" s="33">
        <v>1.2000000476837158</v>
      </c>
      <c r="H760" s="33">
        <v>1</v>
      </c>
      <c r="I760" s="33">
        <v>57.700000762939453</v>
      </c>
      <c r="J760" s="33">
        <v>0</v>
      </c>
      <c r="K760" s="33">
        <v>1.9999999552965164E-2</v>
      </c>
      <c r="L760" s="33">
        <v>0</v>
      </c>
      <c r="M760" s="33">
        <v>6.0999999046325684</v>
      </c>
      <c r="N760" s="33">
        <v>1.440000057220459</v>
      </c>
      <c r="O760" s="33">
        <v>478.39999389648438</v>
      </c>
      <c r="P760" s="33">
        <v>127</v>
      </c>
      <c r="Q760" s="33">
        <v>1.8999999761581421</v>
      </c>
      <c r="R760" s="34" t="s">
        <v>1042</v>
      </c>
      <c r="S760" s="33">
        <v>0</v>
      </c>
      <c r="T760" s="35">
        <v>0</v>
      </c>
    </row>
    <row r="761" spans="1:20">
      <c r="A761" s="31">
        <v>759</v>
      </c>
      <c r="B761" s="33" t="s">
        <v>1087</v>
      </c>
      <c r="C761" s="33">
        <v>100</v>
      </c>
      <c r="D761" s="33">
        <v>375</v>
      </c>
      <c r="E761" s="33">
        <v>21.299999237060547</v>
      </c>
      <c r="F761" s="33">
        <v>8.3999996185302734</v>
      </c>
      <c r="G761" s="33">
        <v>14.300000190734863</v>
      </c>
      <c r="H761" s="33">
        <v>1.5</v>
      </c>
      <c r="I761" s="33">
        <v>53.099998474121094</v>
      </c>
      <c r="J761" s="33">
        <v>0</v>
      </c>
      <c r="K761" s="33">
        <v>5.000000074505806E-2</v>
      </c>
      <c r="L761" s="33">
        <v>9.9999997764825821E-3</v>
      </c>
      <c r="M761" s="33">
        <v>5</v>
      </c>
      <c r="N761" s="33">
        <v>3.75</v>
      </c>
      <c r="O761" s="33">
        <v>352.29998779296875</v>
      </c>
      <c r="P761" s="33">
        <v>83</v>
      </c>
      <c r="Q761" s="33">
        <v>1.7000000476837158</v>
      </c>
      <c r="R761" s="34" t="s">
        <v>1042</v>
      </c>
      <c r="S761" s="33">
        <v>0</v>
      </c>
      <c r="T761" s="35">
        <v>0</v>
      </c>
    </row>
    <row r="762" spans="1:20">
      <c r="A762" s="31">
        <v>760</v>
      </c>
      <c r="B762" s="33" t="s">
        <v>1088</v>
      </c>
      <c r="C762" s="33">
        <v>100</v>
      </c>
      <c r="D762" s="33">
        <v>278</v>
      </c>
      <c r="E762" s="33">
        <v>31.200000762939453</v>
      </c>
      <c r="F762" s="33">
        <v>8.5</v>
      </c>
      <c r="G762" s="33">
        <v>2.0999999046325684</v>
      </c>
      <c r="H762" s="33">
        <v>0.80000001192092896</v>
      </c>
      <c r="I762" s="33">
        <v>56.200000762939453</v>
      </c>
      <c r="J762" s="33">
        <v>0</v>
      </c>
      <c r="K762" s="33">
        <v>7.0000000298023224E-2</v>
      </c>
      <c r="L762" s="33">
        <v>7.0000000298023224E-2</v>
      </c>
      <c r="M762" s="33">
        <v>4.5999999046325684</v>
      </c>
      <c r="N762" s="33">
        <v>1.309999942779541</v>
      </c>
      <c r="O762" s="33">
        <v>210.5</v>
      </c>
      <c r="P762" s="33">
        <v>124</v>
      </c>
      <c r="Q762" s="33">
        <v>2</v>
      </c>
      <c r="R762" s="34" t="s">
        <v>1042</v>
      </c>
      <c r="S762" s="33">
        <v>0</v>
      </c>
      <c r="T762" s="35">
        <v>0</v>
      </c>
    </row>
    <row r="763" spans="1:20">
      <c r="A763" s="31">
        <v>761</v>
      </c>
      <c r="B763" s="33" t="s">
        <v>1089</v>
      </c>
      <c r="C763" s="33">
        <v>100</v>
      </c>
      <c r="D763" s="33">
        <v>246</v>
      </c>
      <c r="E763" s="33">
        <v>38</v>
      </c>
      <c r="F763" s="33">
        <v>8.5</v>
      </c>
      <c r="G763" s="33">
        <v>1</v>
      </c>
      <c r="H763" s="33">
        <v>0.10000000149011612</v>
      </c>
      <c r="I763" s="33">
        <v>50.799999237060547</v>
      </c>
      <c r="J763" s="33">
        <v>0</v>
      </c>
      <c r="K763" s="33">
        <v>2.9999999329447746E-2</v>
      </c>
      <c r="L763" s="33">
        <v>9.9999997764825821E-3</v>
      </c>
      <c r="M763" s="33">
        <v>6.1999998092651367</v>
      </c>
      <c r="N763" s="33">
        <v>0.87999999523162842</v>
      </c>
      <c r="O763" s="33">
        <v>457</v>
      </c>
      <c r="P763" s="33">
        <v>75</v>
      </c>
      <c r="Q763" s="33">
        <v>1.5</v>
      </c>
      <c r="R763" s="34" t="s">
        <v>1042</v>
      </c>
      <c r="S763" s="33">
        <v>0</v>
      </c>
      <c r="T763" s="35">
        <v>0</v>
      </c>
    </row>
    <row r="764" spans="1:20">
      <c r="A764" s="31">
        <v>762</v>
      </c>
      <c r="B764" s="33" t="s">
        <v>1090</v>
      </c>
      <c r="C764" s="33">
        <v>100</v>
      </c>
      <c r="D764" s="33">
        <v>270</v>
      </c>
      <c r="E764" s="33">
        <v>37.700000762939453</v>
      </c>
      <c r="F764" s="33">
        <v>8.3000001907348633</v>
      </c>
      <c r="G764" s="33">
        <v>4.6999998092651367</v>
      </c>
      <c r="H764" s="33">
        <v>0.10000000149011612</v>
      </c>
      <c r="I764" s="33">
        <v>48.5</v>
      </c>
      <c r="J764" s="33">
        <v>0</v>
      </c>
      <c r="K764" s="33">
        <v>0.25</v>
      </c>
      <c r="L764" s="33">
        <v>0.68000000715255737</v>
      </c>
      <c r="M764" s="33">
        <v>5.1999998092651367</v>
      </c>
      <c r="N764" s="33">
        <v>0</v>
      </c>
      <c r="O764" s="33">
        <v>151</v>
      </c>
      <c r="P764" s="33">
        <v>35</v>
      </c>
      <c r="Q764" s="33">
        <v>2</v>
      </c>
      <c r="R764" s="34" t="s">
        <v>1042</v>
      </c>
      <c r="S764" s="33">
        <v>0</v>
      </c>
      <c r="T764" s="35">
        <v>0</v>
      </c>
    </row>
    <row r="765" spans="1:20">
      <c r="A765" s="31">
        <v>763</v>
      </c>
      <c r="B765" s="33" t="s">
        <v>1091</v>
      </c>
      <c r="C765" s="33">
        <v>100</v>
      </c>
      <c r="D765" s="33">
        <v>279</v>
      </c>
      <c r="E765" s="33">
        <v>36.099998474121094</v>
      </c>
      <c r="F765" s="33">
        <v>8.8000001907348633</v>
      </c>
      <c r="G765" s="33">
        <v>5.5999999046325684</v>
      </c>
      <c r="H765" s="33">
        <v>0.30000001192092896</v>
      </c>
      <c r="I765" s="33">
        <v>48.299999237060547</v>
      </c>
      <c r="J765" s="33">
        <v>0</v>
      </c>
      <c r="K765" s="33">
        <v>1.9999999552965164E-2</v>
      </c>
      <c r="L765" s="33">
        <v>0.57999998331069946</v>
      </c>
      <c r="M765" s="33">
        <v>5.9000000953674316</v>
      </c>
      <c r="N765" s="33">
        <v>0.2800000011920929</v>
      </c>
      <c r="O765" s="33">
        <v>256.39999389648438</v>
      </c>
      <c r="P765" s="33">
        <v>0</v>
      </c>
      <c r="Q765" s="33">
        <v>1.6000000238418579</v>
      </c>
      <c r="R765" s="34" t="s">
        <v>1042</v>
      </c>
      <c r="S765" s="33">
        <v>0</v>
      </c>
      <c r="T765" s="35">
        <v>0</v>
      </c>
    </row>
    <row r="766" spans="1:20">
      <c r="A766" s="31">
        <v>764</v>
      </c>
      <c r="B766" s="33" t="s">
        <v>1092</v>
      </c>
      <c r="C766" s="33">
        <v>100</v>
      </c>
      <c r="D766" s="33">
        <v>273</v>
      </c>
      <c r="E766" s="33">
        <v>34.099998474121094</v>
      </c>
      <c r="F766" s="33">
        <v>9.1999998092651367</v>
      </c>
      <c r="G766" s="33">
        <v>2.7999999523162842</v>
      </c>
      <c r="H766" s="33">
        <v>0.80000001192092896</v>
      </c>
      <c r="I766" s="33">
        <v>52.799999237060547</v>
      </c>
      <c r="J766" s="33">
        <v>0</v>
      </c>
      <c r="K766" s="33">
        <v>0</v>
      </c>
      <c r="L766" s="33">
        <v>0.12999999523162842</v>
      </c>
      <c r="M766" s="33">
        <v>1.1000000238418579</v>
      </c>
      <c r="N766" s="33">
        <v>0.40000000596046448</v>
      </c>
      <c r="O766" s="33">
        <v>54.900001525878906</v>
      </c>
      <c r="P766" s="33">
        <v>22</v>
      </c>
      <c r="Q766" s="33">
        <v>2.0999999046325684</v>
      </c>
      <c r="R766" s="34" t="s">
        <v>1042</v>
      </c>
      <c r="S766" s="33">
        <v>0</v>
      </c>
      <c r="T766" s="35">
        <v>0</v>
      </c>
    </row>
    <row r="767" spans="1:20">
      <c r="A767" s="31">
        <v>765</v>
      </c>
      <c r="B767" s="33" t="s">
        <v>1093</v>
      </c>
      <c r="C767" s="33">
        <v>100</v>
      </c>
      <c r="D767" s="33">
        <v>274</v>
      </c>
      <c r="E767" s="33">
        <v>34.099998474121094</v>
      </c>
      <c r="F767" s="33">
        <v>9.1999998092651367</v>
      </c>
      <c r="G767" s="33">
        <v>3.9000000953674316</v>
      </c>
      <c r="H767" s="33">
        <v>0.5</v>
      </c>
      <c r="I767" s="33">
        <v>50.5</v>
      </c>
      <c r="J767" s="33">
        <v>0</v>
      </c>
      <c r="K767" s="33">
        <v>1.9999999552965164E-2</v>
      </c>
      <c r="L767" s="33">
        <v>9.9999997764825821E-3</v>
      </c>
      <c r="M767" s="33">
        <v>4.3000001907348633</v>
      </c>
      <c r="N767" s="33">
        <v>1.0700000524520874</v>
      </c>
      <c r="O767" s="33">
        <v>526</v>
      </c>
      <c r="P767" s="33">
        <v>89</v>
      </c>
      <c r="Q767" s="33">
        <v>2.7999999523162842</v>
      </c>
      <c r="R767" s="34" t="s">
        <v>1042</v>
      </c>
      <c r="S767" s="33">
        <v>0</v>
      </c>
      <c r="T767" s="35">
        <v>0</v>
      </c>
    </row>
    <row r="768" spans="1:20">
      <c r="A768" s="31">
        <v>766</v>
      </c>
      <c r="B768" s="33" t="s">
        <v>1094</v>
      </c>
      <c r="C768" s="33">
        <v>100</v>
      </c>
      <c r="D768" s="33">
        <v>320</v>
      </c>
      <c r="E768" s="33">
        <v>25.100000381469727</v>
      </c>
      <c r="F768" s="33">
        <v>9.5</v>
      </c>
      <c r="G768" s="33">
        <v>4.8000001907348633</v>
      </c>
      <c r="H768" s="33">
        <v>0.30000001192092896</v>
      </c>
      <c r="I768" s="33">
        <v>59.599998474121094</v>
      </c>
      <c r="J768" s="33">
        <v>0</v>
      </c>
      <c r="K768" s="33">
        <v>1.9999999552965164E-2</v>
      </c>
      <c r="L768" s="33">
        <v>1.9999999552965164E-2</v>
      </c>
      <c r="M768" s="33">
        <v>0.69999998807907104</v>
      </c>
      <c r="N768" s="33">
        <v>2.309999942779541</v>
      </c>
      <c r="O768" s="33">
        <v>106.19999694824219</v>
      </c>
      <c r="P768" s="33">
        <v>0</v>
      </c>
      <c r="Q768" s="33">
        <v>1.7000000476837158</v>
      </c>
      <c r="R768" s="34" t="s">
        <v>1042</v>
      </c>
      <c r="S768" s="33">
        <v>0</v>
      </c>
      <c r="T768" s="35">
        <v>0</v>
      </c>
    </row>
    <row r="769" spans="1:20">
      <c r="A769" s="31">
        <v>767</v>
      </c>
      <c r="B769" s="33" t="s">
        <v>1095</v>
      </c>
      <c r="C769" s="33">
        <v>100</v>
      </c>
      <c r="D769" s="33">
        <v>293</v>
      </c>
      <c r="E769" s="33">
        <v>38.099998474121094</v>
      </c>
      <c r="F769" s="33">
        <v>5.1999998092651367</v>
      </c>
      <c r="G769" s="33">
        <v>10.699999809265137</v>
      </c>
      <c r="H769" s="33">
        <v>0</v>
      </c>
      <c r="I769" s="33">
        <v>44</v>
      </c>
      <c r="J769" s="33">
        <v>0</v>
      </c>
      <c r="K769" s="33">
        <v>9.9999997764825821E-3</v>
      </c>
      <c r="L769" s="33">
        <v>9.9999997764825821E-3</v>
      </c>
      <c r="M769" s="33">
        <v>0.69999998807907104</v>
      </c>
      <c r="N769" s="33">
        <v>1.5299999713897705</v>
      </c>
      <c r="O769" s="33">
        <v>154.80000305175781</v>
      </c>
      <c r="P769" s="33">
        <v>38</v>
      </c>
      <c r="Q769" s="33">
        <v>0.40000000596046448</v>
      </c>
      <c r="R769" s="34" t="s">
        <v>1042</v>
      </c>
      <c r="S769" s="33">
        <v>0</v>
      </c>
      <c r="T769" s="35">
        <v>0</v>
      </c>
    </row>
    <row r="770" spans="1:20">
      <c r="A770" s="31">
        <v>768</v>
      </c>
      <c r="B770" s="33" t="s">
        <v>1096</v>
      </c>
      <c r="C770" s="33">
        <v>100</v>
      </c>
      <c r="D770" s="33">
        <v>367</v>
      </c>
      <c r="E770" s="33">
        <v>19.399999618530273</v>
      </c>
      <c r="F770" s="33">
        <v>4.8000001907348633</v>
      </c>
      <c r="G770" s="33">
        <v>11</v>
      </c>
      <c r="H770" s="33">
        <v>0.89999997615814209</v>
      </c>
      <c r="I770" s="33">
        <v>62.299999237060547</v>
      </c>
      <c r="J770" s="33">
        <v>0</v>
      </c>
      <c r="K770" s="33">
        <v>9.9999997764825821E-3</v>
      </c>
      <c r="L770" s="33">
        <v>9.9999997764825821E-3</v>
      </c>
      <c r="M770" s="33">
        <v>8.6000003814697266</v>
      </c>
      <c r="N770" s="33">
        <v>7.929999828338623</v>
      </c>
      <c r="O770" s="33">
        <v>361.5</v>
      </c>
      <c r="P770" s="33">
        <v>99</v>
      </c>
      <c r="Q770" s="33">
        <v>4.5</v>
      </c>
      <c r="R770" s="34" t="s">
        <v>1042</v>
      </c>
      <c r="S770" s="33">
        <v>0</v>
      </c>
      <c r="T770" s="35">
        <v>0</v>
      </c>
    </row>
    <row r="771" spans="1:20">
      <c r="A771" s="31">
        <v>769</v>
      </c>
      <c r="B771" s="33" t="s">
        <v>1097</v>
      </c>
      <c r="C771" s="33">
        <v>100</v>
      </c>
      <c r="D771" s="33">
        <v>154</v>
      </c>
      <c r="E771" s="33">
        <v>60.900001525878906</v>
      </c>
      <c r="F771" s="33">
        <v>3.2999999523162842</v>
      </c>
      <c r="G771" s="33">
        <v>0.60000002384185791</v>
      </c>
      <c r="H771" s="33">
        <v>0.80000001192092896</v>
      </c>
      <c r="I771" s="33">
        <v>33.900001525878906</v>
      </c>
      <c r="J771" s="33">
        <v>0</v>
      </c>
      <c r="K771" s="33">
        <v>2.9999999329447746E-2</v>
      </c>
      <c r="L771" s="33">
        <v>0</v>
      </c>
      <c r="M771" s="33">
        <v>1.8999999761581421</v>
      </c>
      <c r="N771" s="33">
        <v>1.1499999761581421</v>
      </c>
      <c r="O771" s="33">
        <v>56.400001525878906</v>
      </c>
      <c r="P771" s="33">
        <v>31</v>
      </c>
      <c r="Q771" s="33">
        <v>1.6000000238418579</v>
      </c>
      <c r="R771" s="34" t="s">
        <v>1042</v>
      </c>
      <c r="S771" s="33">
        <v>0</v>
      </c>
      <c r="T771" s="35">
        <v>0</v>
      </c>
    </row>
    <row r="772" spans="1:20">
      <c r="A772" s="31">
        <v>770</v>
      </c>
      <c r="B772" s="33" t="s">
        <v>1098</v>
      </c>
      <c r="C772" s="33">
        <v>100</v>
      </c>
      <c r="D772" s="33">
        <v>132</v>
      </c>
      <c r="E772" s="33">
        <v>71.599998474121094</v>
      </c>
      <c r="F772" s="33">
        <v>1.6000000238418579</v>
      </c>
      <c r="G772" s="33">
        <v>5.0999999046325684</v>
      </c>
      <c r="H772" s="33">
        <v>0.40000000596046448</v>
      </c>
      <c r="I772" s="33">
        <v>19.899999618530273</v>
      </c>
      <c r="J772" s="33">
        <v>0</v>
      </c>
      <c r="K772" s="33">
        <v>0</v>
      </c>
      <c r="L772" s="33">
        <v>0</v>
      </c>
      <c r="M772" s="33">
        <v>0</v>
      </c>
      <c r="N772" s="33">
        <v>0</v>
      </c>
      <c r="O772" s="33">
        <v>0</v>
      </c>
      <c r="P772" s="33">
        <v>0</v>
      </c>
      <c r="Q772" s="33">
        <v>0</v>
      </c>
      <c r="R772" s="34" t="s">
        <v>1042</v>
      </c>
      <c r="S772" s="33">
        <v>0</v>
      </c>
      <c r="T772" s="35">
        <v>0</v>
      </c>
    </row>
    <row r="773" spans="1:20">
      <c r="A773" s="31">
        <v>771</v>
      </c>
      <c r="B773" s="33" t="s">
        <v>1099</v>
      </c>
      <c r="C773" s="33">
        <v>100</v>
      </c>
      <c r="D773" s="33">
        <v>156</v>
      </c>
      <c r="E773" s="33">
        <v>69.699996948242188</v>
      </c>
      <c r="F773" s="33">
        <v>22</v>
      </c>
      <c r="G773" s="33">
        <v>8</v>
      </c>
      <c r="H773" s="33">
        <v>0</v>
      </c>
      <c r="I773" s="33">
        <v>0</v>
      </c>
      <c r="J773" s="33">
        <v>0</v>
      </c>
      <c r="K773" s="33">
        <v>0</v>
      </c>
      <c r="L773" s="33">
        <v>0</v>
      </c>
      <c r="M773" s="33">
        <v>0</v>
      </c>
      <c r="N773" s="33">
        <v>0</v>
      </c>
      <c r="O773" s="33">
        <v>0</v>
      </c>
      <c r="P773" s="33">
        <v>0</v>
      </c>
      <c r="Q773" s="33">
        <v>0</v>
      </c>
      <c r="R773" s="34" t="s">
        <v>1042</v>
      </c>
      <c r="S773" s="33">
        <v>0</v>
      </c>
      <c r="T773" s="35">
        <v>163</v>
      </c>
    </row>
    <row r="774" spans="1:20">
      <c r="A774" s="31">
        <v>772</v>
      </c>
      <c r="B774" s="33" t="s">
        <v>1100</v>
      </c>
      <c r="C774" s="33">
        <v>100</v>
      </c>
      <c r="D774" s="33">
        <v>130</v>
      </c>
      <c r="E774" s="33">
        <v>66.900001525878906</v>
      </c>
      <c r="F774" s="33">
        <v>5.1999998092651367</v>
      </c>
      <c r="G774" s="33">
        <v>0.20000000298023224</v>
      </c>
      <c r="H774" s="33">
        <v>0.40000000596046448</v>
      </c>
      <c r="I774" s="33">
        <v>26.799999237060547</v>
      </c>
      <c r="J774" s="33">
        <v>0</v>
      </c>
      <c r="K774" s="33">
        <v>0</v>
      </c>
      <c r="L774" s="33">
        <v>0</v>
      </c>
      <c r="M774" s="33">
        <v>0</v>
      </c>
      <c r="N774" s="33">
        <v>0</v>
      </c>
      <c r="O774" s="33">
        <v>0</v>
      </c>
      <c r="P774" s="33">
        <v>0</v>
      </c>
      <c r="Q774" s="33">
        <v>0</v>
      </c>
      <c r="R774" s="34" t="s">
        <v>1042</v>
      </c>
      <c r="S774" s="33">
        <v>0</v>
      </c>
      <c r="T774" s="35">
        <v>0</v>
      </c>
    </row>
    <row r="775" spans="1:20">
      <c r="A775" s="31">
        <v>773</v>
      </c>
      <c r="B775" s="33" t="s">
        <v>1101</v>
      </c>
      <c r="C775" s="33">
        <v>100</v>
      </c>
      <c r="D775" s="33">
        <v>499</v>
      </c>
      <c r="E775" s="33">
        <v>12.899999618530273</v>
      </c>
      <c r="F775" s="33">
        <v>8.6999998092651367</v>
      </c>
      <c r="G775" s="33">
        <v>31.700000762939453</v>
      </c>
      <c r="H775" s="33">
        <v>0.30000001192092896</v>
      </c>
      <c r="I775" s="33">
        <v>44.799999237060547</v>
      </c>
      <c r="J775" s="33">
        <v>55</v>
      </c>
      <c r="K775" s="33">
        <v>7.0000000298023224E-2</v>
      </c>
      <c r="L775" s="33">
        <v>5.000000074505806E-2</v>
      </c>
      <c r="M775" s="33">
        <v>1.7999999523162842</v>
      </c>
      <c r="N775" s="33">
        <v>5.7300000190734863</v>
      </c>
      <c r="O775" s="33">
        <v>493.89999389648438</v>
      </c>
      <c r="P775" s="33">
        <v>0</v>
      </c>
      <c r="Q775" s="33">
        <v>2.5</v>
      </c>
      <c r="R775" s="34" t="s">
        <v>1042</v>
      </c>
      <c r="S775" s="33">
        <v>0</v>
      </c>
      <c r="T775" s="35">
        <v>0</v>
      </c>
    </row>
    <row r="776" spans="1:20">
      <c r="A776" s="31">
        <v>774</v>
      </c>
      <c r="B776" s="33" t="s">
        <v>1102</v>
      </c>
      <c r="C776" s="33">
        <v>100</v>
      </c>
      <c r="D776" s="33">
        <v>152</v>
      </c>
      <c r="E776" s="33">
        <v>63</v>
      </c>
      <c r="F776" s="33">
        <v>4.1999998092651367</v>
      </c>
      <c r="G776" s="33">
        <v>2.4000000953674316</v>
      </c>
      <c r="H776" s="33">
        <v>0.20000000298023224</v>
      </c>
      <c r="I776" s="33">
        <v>28.5</v>
      </c>
      <c r="J776" s="33">
        <v>0</v>
      </c>
      <c r="K776" s="33">
        <v>0</v>
      </c>
      <c r="L776" s="33">
        <v>0</v>
      </c>
      <c r="M776" s="33">
        <v>0</v>
      </c>
      <c r="N776" s="33">
        <v>0.28999999165534973</v>
      </c>
      <c r="O776" s="33">
        <v>165.80000305175781</v>
      </c>
      <c r="P776" s="33">
        <v>67</v>
      </c>
      <c r="Q776" s="33">
        <v>2.7999999523162842</v>
      </c>
      <c r="R776" s="34" t="s">
        <v>1042</v>
      </c>
      <c r="S776" s="33">
        <v>0</v>
      </c>
      <c r="T776" s="35">
        <v>0</v>
      </c>
    </row>
    <row r="777" spans="1:20">
      <c r="A777" s="31">
        <v>775</v>
      </c>
      <c r="B777" s="33" t="s">
        <v>1103</v>
      </c>
      <c r="C777" s="33">
        <v>100</v>
      </c>
      <c r="D777" s="33">
        <v>435</v>
      </c>
      <c r="E777" s="33">
        <v>7.8000001907348633</v>
      </c>
      <c r="F777" s="33">
        <v>6.1999998092651367</v>
      </c>
      <c r="G777" s="33">
        <v>16</v>
      </c>
      <c r="H777" s="33">
        <v>1.3999999761581421</v>
      </c>
      <c r="I777" s="33">
        <v>66.5</v>
      </c>
      <c r="J777" s="33">
        <v>0</v>
      </c>
      <c r="K777" s="33">
        <v>0</v>
      </c>
      <c r="L777" s="33">
        <v>0</v>
      </c>
      <c r="M777" s="33">
        <v>3.2000000476837158</v>
      </c>
      <c r="N777" s="33">
        <v>2.1700000762939453</v>
      </c>
      <c r="O777" s="33">
        <v>493.10000610351563</v>
      </c>
      <c r="P777" s="33">
        <v>29</v>
      </c>
      <c r="Q777" s="33">
        <v>3</v>
      </c>
      <c r="R777" s="34" t="s">
        <v>1042</v>
      </c>
      <c r="S777" s="33">
        <v>0</v>
      </c>
      <c r="T777" s="35">
        <v>0</v>
      </c>
    </row>
    <row r="778" spans="1:20">
      <c r="A778" s="31">
        <v>776</v>
      </c>
      <c r="B778" s="33" t="s">
        <v>1104</v>
      </c>
      <c r="C778" s="33">
        <v>100</v>
      </c>
      <c r="D778" s="33">
        <v>383</v>
      </c>
      <c r="E778" s="33">
        <v>15.5</v>
      </c>
      <c r="F778" s="33">
        <v>4.0999999046325684</v>
      </c>
      <c r="G778" s="33">
        <v>10.5</v>
      </c>
      <c r="H778" s="33">
        <v>1.3999999761581421</v>
      </c>
      <c r="I778" s="33">
        <v>67.900001525878906</v>
      </c>
      <c r="J778" s="33">
        <v>0</v>
      </c>
      <c r="K778" s="33">
        <v>7.0000000298023224E-2</v>
      </c>
      <c r="L778" s="33">
        <v>0</v>
      </c>
      <c r="M778" s="33">
        <v>0</v>
      </c>
      <c r="N778" s="33">
        <v>11.689999580383301</v>
      </c>
      <c r="O778" s="33">
        <v>20</v>
      </c>
      <c r="P778" s="33">
        <v>97</v>
      </c>
      <c r="Q778" s="33">
        <v>4.5999999046325684</v>
      </c>
      <c r="R778" s="34" t="s">
        <v>1042</v>
      </c>
      <c r="S778" s="33">
        <v>0</v>
      </c>
      <c r="T778" s="35">
        <v>56</v>
      </c>
    </row>
    <row r="779" spans="1:20">
      <c r="A779" s="31">
        <v>777</v>
      </c>
      <c r="B779" s="33" t="s">
        <v>1105</v>
      </c>
      <c r="C779" s="33">
        <v>100</v>
      </c>
      <c r="D779" s="33">
        <v>240</v>
      </c>
      <c r="E779" s="33">
        <v>51.200000762939453</v>
      </c>
      <c r="F779" s="33">
        <v>6</v>
      </c>
      <c r="G779" s="33">
        <v>10.199999809265137</v>
      </c>
      <c r="H779" s="33">
        <v>0</v>
      </c>
      <c r="I779" s="33">
        <v>31</v>
      </c>
      <c r="J779" s="33">
        <v>74</v>
      </c>
      <c r="K779" s="33">
        <v>5.000000074505806E-2</v>
      </c>
      <c r="L779" s="33">
        <v>7.9999998211860657E-2</v>
      </c>
      <c r="M779" s="33">
        <v>1.1000000238418579</v>
      </c>
      <c r="N779" s="33">
        <v>2.8299999237060547</v>
      </c>
      <c r="O779" s="33">
        <v>207</v>
      </c>
      <c r="P779" s="33">
        <v>4</v>
      </c>
      <c r="Q779" s="33">
        <v>1.2999999523162842</v>
      </c>
      <c r="R779" s="34" t="s">
        <v>1042</v>
      </c>
      <c r="S779" s="33">
        <v>0</v>
      </c>
      <c r="T779" s="35">
        <v>70</v>
      </c>
    </row>
    <row r="780" spans="1:20">
      <c r="A780" s="31">
        <v>778</v>
      </c>
      <c r="B780" s="33" t="s">
        <v>1106</v>
      </c>
      <c r="C780" s="33">
        <v>100</v>
      </c>
      <c r="D780" s="33">
        <v>326</v>
      </c>
      <c r="E780" s="33">
        <v>27.299999237060547</v>
      </c>
      <c r="F780" s="33">
        <v>11.5</v>
      </c>
      <c r="G780" s="33">
        <v>9.8999996185302734</v>
      </c>
      <c r="H780" s="33">
        <v>2.5</v>
      </c>
      <c r="I780" s="33">
        <v>47.599998474121094</v>
      </c>
      <c r="J780" s="33">
        <v>0</v>
      </c>
      <c r="K780" s="33">
        <v>2.9999999329447746E-2</v>
      </c>
      <c r="L780" s="33">
        <v>9.9999997764825821E-3</v>
      </c>
      <c r="M780" s="33">
        <v>0</v>
      </c>
      <c r="N780" s="33">
        <v>5.190000057220459</v>
      </c>
      <c r="O780" s="33">
        <v>84.099998474121094</v>
      </c>
      <c r="P780" s="33">
        <v>40</v>
      </c>
      <c r="Q780" s="33">
        <v>6.9000000953674316</v>
      </c>
      <c r="R780" s="34" t="s">
        <v>1042</v>
      </c>
      <c r="S780" s="33">
        <v>0</v>
      </c>
      <c r="T780" s="35">
        <v>0</v>
      </c>
    </row>
    <row r="781" spans="1:20">
      <c r="A781" s="31">
        <v>779</v>
      </c>
      <c r="B781" s="33" t="s">
        <v>1107</v>
      </c>
      <c r="C781" s="33">
        <v>100</v>
      </c>
      <c r="D781" s="33">
        <v>238</v>
      </c>
      <c r="E781" s="33">
        <v>51</v>
      </c>
      <c r="F781" s="33">
        <v>9.1999998092651367</v>
      </c>
      <c r="G781" s="33">
        <v>11</v>
      </c>
      <c r="H781" s="33">
        <v>2.2999999523162842</v>
      </c>
      <c r="I781" s="33">
        <v>25.600000381469727</v>
      </c>
      <c r="J781" s="33">
        <v>0</v>
      </c>
      <c r="K781" s="33">
        <v>7.0000000298023224E-2</v>
      </c>
      <c r="L781" s="33">
        <v>7.0000000298023224E-2</v>
      </c>
      <c r="M781" s="33">
        <v>14.600000381469727</v>
      </c>
      <c r="N781" s="33">
        <v>0.68000000715255737</v>
      </c>
      <c r="O781" s="33">
        <v>0</v>
      </c>
      <c r="P781" s="33">
        <v>10</v>
      </c>
      <c r="Q781" s="33">
        <v>2.0999999046325684</v>
      </c>
      <c r="R781" s="34" t="s">
        <v>1042</v>
      </c>
      <c r="S781" s="33">
        <v>0</v>
      </c>
      <c r="T781" s="35">
        <v>0</v>
      </c>
    </row>
    <row r="782" spans="1:20">
      <c r="A782" s="31">
        <v>780</v>
      </c>
      <c r="B782" s="33" t="s">
        <v>1108</v>
      </c>
      <c r="C782" s="33">
        <v>100</v>
      </c>
      <c r="D782" s="33">
        <v>436</v>
      </c>
      <c r="E782" s="33">
        <v>10.800000190734863</v>
      </c>
      <c r="F782" s="33">
        <v>0.20000000298023224</v>
      </c>
      <c r="G782" s="33">
        <v>17.399999618530273</v>
      </c>
      <c r="H782" s="33">
        <v>0.80000001192092896</v>
      </c>
      <c r="I782" s="33">
        <v>68.699996948242188</v>
      </c>
      <c r="J782" s="33">
        <v>0</v>
      </c>
      <c r="K782" s="33">
        <v>5.000000074505806E-2</v>
      </c>
      <c r="L782" s="33">
        <v>0</v>
      </c>
      <c r="M782" s="33">
        <v>0</v>
      </c>
      <c r="N782" s="33">
        <v>0.81000000238418579</v>
      </c>
      <c r="O782" s="33">
        <v>31.5</v>
      </c>
      <c r="P782" s="33">
        <v>49</v>
      </c>
      <c r="Q782" s="33">
        <v>3.5999999046325684</v>
      </c>
      <c r="R782" s="34" t="s">
        <v>1042</v>
      </c>
      <c r="S782" s="33">
        <v>0</v>
      </c>
      <c r="T782" s="35">
        <v>51</v>
      </c>
    </row>
    <row r="783" spans="1:20">
      <c r="A783" s="31">
        <v>781</v>
      </c>
      <c r="B783" s="33" t="s">
        <v>1109</v>
      </c>
      <c r="C783" s="33">
        <v>100</v>
      </c>
      <c r="D783" s="33">
        <v>426</v>
      </c>
      <c r="E783" s="33">
        <v>10.699999809265137</v>
      </c>
      <c r="F783" s="33">
        <v>8.1000003814697266</v>
      </c>
      <c r="G783" s="33">
        <v>15.5</v>
      </c>
      <c r="H783" s="33">
        <v>1.3999999761581421</v>
      </c>
      <c r="I783" s="33">
        <v>63.599998474121094</v>
      </c>
      <c r="J783" s="33">
        <v>12</v>
      </c>
      <c r="K783" s="33">
        <v>0.10000000149011612</v>
      </c>
      <c r="L783" s="33">
        <v>0.10000000149011612</v>
      </c>
      <c r="M783" s="33">
        <v>3.2000000476837158</v>
      </c>
      <c r="N783" s="33">
        <v>1.0099999904632568</v>
      </c>
      <c r="O783" s="33">
        <v>55.700000762939453</v>
      </c>
      <c r="P783" s="33">
        <v>24</v>
      </c>
      <c r="Q783" s="33">
        <v>2.7000000476837158</v>
      </c>
      <c r="R783" s="34" t="s">
        <v>1042</v>
      </c>
      <c r="S783" s="33">
        <v>0</v>
      </c>
      <c r="T783" s="35">
        <v>0</v>
      </c>
    </row>
    <row r="784" spans="1:20">
      <c r="A784" s="31">
        <v>782</v>
      </c>
      <c r="B784" s="33" t="s">
        <v>1110</v>
      </c>
      <c r="C784" s="33">
        <v>100</v>
      </c>
      <c r="D784" s="33">
        <v>238</v>
      </c>
      <c r="E784" s="33">
        <v>54.200000762939453</v>
      </c>
      <c r="F784" s="33">
        <v>8.1000003814697266</v>
      </c>
      <c r="G784" s="33">
        <v>11.600000381469727</v>
      </c>
      <c r="H784" s="33">
        <v>0</v>
      </c>
      <c r="I784" s="33">
        <v>25.200000762939453</v>
      </c>
      <c r="J784" s="33">
        <v>0</v>
      </c>
      <c r="K784" s="33">
        <v>7.0000000298023224E-2</v>
      </c>
      <c r="L784" s="33">
        <v>7.0000000298023224E-2</v>
      </c>
      <c r="M784" s="33">
        <v>1.3999999761581421</v>
      </c>
      <c r="N784" s="33">
        <v>0.89999997615814209</v>
      </c>
      <c r="O784" s="33">
        <v>219</v>
      </c>
      <c r="P784" s="33">
        <v>18</v>
      </c>
      <c r="Q784" s="33">
        <v>3.5</v>
      </c>
      <c r="R784" s="34" t="s">
        <v>1042</v>
      </c>
      <c r="S784" s="33">
        <v>0</v>
      </c>
      <c r="T784" s="35">
        <v>21</v>
      </c>
    </row>
    <row r="785" spans="1:20">
      <c r="A785" s="31">
        <v>783</v>
      </c>
      <c r="B785" s="33" t="s">
        <v>1111</v>
      </c>
      <c r="C785" s="33">
        <v>100</v>
      </c>
      <c r="D785" s="33">
        <v>481</v>
      </c>
      <c r="E785" s="33">
        <v>5.4000000953674316</v>
      </c>
      <c r="F785" s="33">
        <v>7.0999999046325684</v>
      </c>
      <c r="G785" s="33">
        <v>21.799999237060547</v>
      </c>
      <c r="H785" s="33">
        <v>1.1000000238418579</v>
      </c>
      <c r="I785" s="33">
        <v>64</v>
      </c>
      <c r="J785" s="33">
        <v>0</v>
      </c>
      <c r="K785" s="33">
        <v>1.9999999552965164E-2</v>
      </c>
      <c r="L785" s="33">
        <v>5.000000074505806E-2</v>
      </c>
      <c r="M785" s="33">
        <v>2.2999999523162842</v>
      </c>
      <c r="N785" s="33">
        <v>14.140000343322754</v>
      </c>
      <c r="O785" s="33">
        <v>7.7300000190734863</v>
      </c>
      <c r="P785" s="33">
        <v>33.900001525878906</v>
      </c>
      <c r="Q785" s="33">
        <v>48</v>
      </c>
      <c r="R785" s="34" t="s">
        <v>1042</v>
      </c>
      <c r="S785" s="33">
        <v>0</v>
      </c>
      <c r="T785" s="35">
        <v>0</v>
      </c>
    </row>
    <row r="786" spans="1:20">
      <c r="A786" s="31">
        <v>784</v>
      </c>
      <c r="B786" s="33" t="s">
        <v>1112</v>
      </c>
      <c r="C786" s="33">
        <v>100</v>
      </c>
      <c r="D786" s="33">
        <v>133</v>
      </c>
      <c r="E786" s="33">
        <v>63.700000762939453</v>
      </c>
      <c r="F786" s="33">
        <v>7.5</v>
      </c>
      <c r="G786" s="33">
        <v>0.60000002384185791</v>
      </c>
      <c r="H786" s="33">
        <v>2.2000000476837158</v>
      </c>
      <c r="I786" s="33">
        <v>24.5</v>
      </c>
      <c r="J786" s="33">
        <v>5</v>
      </c>
      <c r="K786" s="33">
        <v>3.9999999105930328E-2</v>
      </c>
      <c r="L786" s="33">
        <v>3.9999999105930328E-2</v>
      </c>
      <c r="M786" s="33">
        <v>1.7000000476837158</v>
      </c>
      <c r="N786" s="33">
        <v>2.9100000858306885</v>
      </c>
      <c r="O786" s="33">
        <v>151.69999694824219</v>
      </c>
      <c r="P786" s="33">
        <v>141</v>
      </c>
      <c r="Q786" s="33">
        <v>5.0999999046325684</v>
      </c>
      <c r="R786" s="34" t="s">
        <v>1042</v>
      </c>
      <c r="S786" s="33">
        <v>0</v>
      </c>
      <c r="T786" s="35">
        <v>0</v>
      </c>
    </row>
    <row r="787" spans="1:20">
      <c r="A787" s="31">
        <v>785</v>
      </c>
      <c r="B787" s="33" t="s">
        <v>1113</v>
      </c>
      <c r="C787" s="33">
        <v>100</v>
      </c>
      <c r="D787" s="33">
        <v>332</v>
      </c>
      <c r="E787" s="33">
        <v>22</v>
      </c>
      <c r="F787" s="33">
        <v>4.8000001907348633</v>
      </c>
      <c r="G787" s="33">
        <v>4.8000001907348633</v>
      </c>
      <c r="H787" s="33">
        <v>0.40000000596046448</v>
      </c>
      <c r="I787" s="33">
        <v>67.400001525878906</v>
      </c>
      <c r="J787" s="33">
        <v>82</v>
      </c>
      <c r="K787" s="33">
        <v>0.15000000596046448</v>
      </c>
      <c r="L787" s="33">
        <v>3.9999999105930328E-2</v>
      </c>
      <c r="M787" s="33">
        <v>4</v>
      </c>
      <c r="N787" s="33">
        <v>1.059999942779541</v>
      </c>
      <c r="O787" s="33">
        <v>42.200000762939453</v>
      </c>
      <c r="P787" s="33">
        <v>41</v>
      </c>
      <c r="Q787" s="33">
        <v>2.4000000953674316</v>
      </c>
      <c r="R787" s="34" t="s">
        <v>1042</v>
      </c>
      <c r="S787" s="33">
        <v>0</v>
      </c>
      <c r="T787" s="35">
        <v>0</v>
      </c>
    </row>
    <row r="788" spans="1:20">
      <c r="A788" s="31">
        <v>786</v>
      </c>
      <c r="B788" s="33" t="s">
        <v>1114</v>
      </c>
      <c r="C788" s="33">
        <v>100</v>
      </c>
      <c r="D788" s="33">
        <v>407</v>
      </c>
      <c r="E788" s="33">
        <v>1.8999999761581421</v>
      </c>
      <c r="F788" s="33">
        <v>12.399999618530273</v>
      </c>
      <c r="G788" s="33">
        <v>4.8000001907348633</v>
      </c>
      <c r="H788" s="33">
        <v>1.5</v>
      </c>
      <c r="I788" s="33">
        <v>78.599998474121094</v>
      </c>
      <c r="J788" s="33">
        <v>17</v>
      </c>
      <c r="K788" s="33">
        <v>0.25</v>
      </c>
      <c r="L788" s="33">
        <v>9.0000003576278687E-2</v>
      </c>
      <c r="M788" s="33">
        <v>2.9000000953674316</v>
      </c>
      <c r="N788" s="33">
        <v>2.809999942779541</v>
      </c>
      <c r="O788" s="33">
        <v>46.400001525878906</v>
      </c>
      <c r="P788" s="33">
        <v>16</v>
      </c>
      <c r="Q788" s="33">
        <v>2.9000000953674316</v>
      </c>
      <c r="R788" s="34" t="s">
        <v>1042</v>
      </c>
      <c r="S788" s="33">
        <v>0</v>
      </c>
      <c r="T788" s="35">
        <v>0</v>
      </c>
    </row>
    <row r="789" spans="1:20">
      <c r="A789" s="31">
        <v>787</v>
      </c>
      <c r="B789" s="33" t="s">
        <v>1115</v>
      </c>
      <c r="C789" s="33">
        <v>100</v>
      </c>
      <c r="D789" s="33">
        <v>61</v>
      </c>
      <c r="E789" s="33">
        <v>84.400001525878906</v>
      </c>
      <c r="F789" s="33">
        <v>1.2000000476837158</v>
      </c>
      <c r="G789" s="33">
        <v>0.40000000596046448</v>
      </c>
      <c r="H789" s="33">
        <v>0.60000002384185791</v>
      </c>
      <c r="I789" s="33">
        <v>13.100000381469727</v>
      </c>
      <c r="J789" s="33">
        <v>0</v>
      </c>
      <c r="K789" s="33">
        <v>0</v>
      </c>
      <c r="L789" s="33">
        <v>0</v>
      </c>
      <c r="M789" s="33">
        <v>0.20000000298023224</v>
      </c>
      <c r="N789" s="33">
        <v>0.18999999761581421</v>
      </c>
      <c r="O789" s="33">
        <v>62.299999237060547</v>
      </c>
      <c r="P789" s="33">
        <v>13</v>
      </c>
      <c r="Q789" s="33">
        <v>0.60000002384185791</v>
      </c>
      <c r="R789" s="34" t="s">
        <v>1042</v>
      </c>
      <c r="S789" s="33">
        <v>0</v>
      </c>
      <c r="T789" s="35">
        <v>0</v>
      </c>
    </row>
    <row r="790" spans="1:20">
      <c r="A790" s="31">
        <v>788</v>
      </c>
      <c r="B790" s="33" t="s">
        <v>1116</v>
      </c>
      <c r="C790" s="33">
        <v>100</v>
      </c>
      <c r="D790" s="33">
        <v>61</v>
      </c>
      <c r="E790" s="33">
        <v>84.400001525878906</v>
      </c>
      <c r="F790" s="33">
        <v>1.2000000476837158</v>
      </c>
      <c r="G790" s="33">
        <v>0.40000000596046448</v>
      </c>
      <c r="H790" s="33">
        <v>0.60000002384185791</v>
      </c>
      <c r="I790" s="33">
        <v>13.100000381469727</v>
      </c>
      <c r="J790" s="33">
        <v>0</v>
      </c>
      <c r="K790" s="33">
        <v>0</v>
      </c>
      <c r="L790" s="33">
        <v>0</v>
      </c>
      <c r="M790" s="33">
        <v>0</v>
      </c>
      <c r="N790" s="33">
        <v>0</v>
      </c>
      <c r="O790" s="33">
        <v>0</v>
      </c>
      <c r="P790" s="33">
        <v>0</v>
      </c>
      <c r="Q790" s="33">
        <v>0</v>
      </c>
      <c r="R790" s="34" t="s">
        <v>1042</v>
      </c>
      <c r="S790" s="33">
        <v>0</v>
      </c>
      <c r="T790" s="35">
        <v>240</v>
      </c>
    </row>
    <row r="791" spans="1:20">
      <c r="A791" s="31">
        <v>789</v>
      </c>
      <c r="B791" s="33" t="s">
        <v>1117</v>
      </c>
      <c r="C791" s="33">
        <v>100</v>
      </c>
      <c r="D791" s="33">
        <v>152</v>
      </c>
      <c r="E791" s="33">
        <v>64</v>
      </c>
      <c r="F791" s="33">
        <v>2.7000000476837158</v>
      </c>
      <c r="G791" s="33">
        <v>3.5</v>
      </c>
      <c r="H791" s="33">
        <v>0.89999997615814209</v>
      </c>
      <c r="I791" s="33">
        <v>27.299999237060547</v>
      </c>
      <c r="J791" s="33">
        <v>0</v>
      </c>
      <c r="K791" s="33">
        <v>0</v>
      </c>
      <c r="L791" s="33">
        <v>0</v>
      </c>
      <c r="M791" s="33">
        <v>0</v>
      </c>
      <c r="N791" s="33">
        <v>0</v>
      </c>
      <c r="O791" s="33">
        <v>0</v>
      </c>
      <c r="P791" s="33">
        <v>0</v>
      </c>
      <c r="Q791" s="33">
        <v>0</v>
      </c>
      <c r="R791" s="34" t="s">
        <v>1042</v>
      </c>
      <c r="S791" s="33">
        <v>0</v>
      </c>
      <c r="T791" s="35">
        <v>38</v>
      </c>
    </row>
    <row r="792" spans="1:20">
      <c r="A792" s="31">
        <v>790</v>
      </c>
      <c r="B792" s="33" t="s">
        <v>1118</v>
      </c>
      <c r="C792" s="33">
        <v>100</v>
      </c>
      <c r="D792" s="33">
        <v>463</v>
      </c>
      <c r="E792" s="33">
        <v>7.3000001907348633</v>
      </c>
      <c r="F792" s="33">
        <v>8.3999996185302734</v>
      </c>
      <c r="G792" s="33">
        <v>20.100000381469727</v>
      </c>
      <c r="H792" s="33">
        <v>1.2999999523162842</v>
      </c>
      <c r="I792" s="33">
        <v>62.200000762939453</v>
      </c>
      <c r="J792" s="33">
        <v>40</v>
      </c>
      <c r="K792" s="33">
        <v>0.23000000417232513</v>
      </c>
      <c r="L792" s="33">
        <v>5.000000074505806E-2</v>
      </c>
      <c r="M792" s="33">
        <v>3.0999999046325684</v>
      </c>
      <c r="N792" s="33">
        <v>10.270000457763672</v>
      </c>
      <c r="O792" s="33">
        <v>97.400001525878906</v>
      </c>
      <c r="P792" s="33">
        <v>42</v>
      </c>
      <c r="Q792" s="33">
        <v>1.1000000238418579</v>
      </c>
      <c r="R792" s="34" t="s">
        <v>1042</v>
      </c>
      <c r="S792" s="33">
        <v>0</v>
      </c>
      <c r="T792" s="35">
        <v>0</v>
      </c>
    </row>
    <row r="793" spans="1:20">
      <c r="A793" s="31">
        <v>791</v>
      </c>
      <c r="B793" s="33" t="s">
        <v>1119</v>
      </c>
      <c r="C793" s="33">
        <v>100</v>
      </c>
      <c r="D793" s="33">
        <v>94</v>
      </c>
      <c r="E793" s="33">
        <v>76.300003051757813</v>
      </c>
      <c r="F793" s="33">
        <v>2.4000000953674316</v>
      </c>
      <c r="G793" s="33">
        <v>0.89999997615814209</v>
      </c>
      <c r="H793" s="33">
        <v>0.89999997615814209</v>
      </c>
      <c r="I793" s="33">
        <v>19.100000381469727</v>
      </c>
      <c r="J793" s="33">
        <v>0</v>
      </c>
      <c r="K793" s="33">
        <v>9.9999997764825821E-3</v>
      </c>
      <c r="L793" s="33">
        <v>5.9999998658895493E-2</v>
      </c>
      <c r="M793" s="33">
        <v>0.40000000596046448</v>
      </c>
      <c r="N793" s="33">
        <v>5.9999998658895493E-2</v>
      </c>
      <c r="O793" s="33">
        <v>19.600000381469727</v>
      </c>
      <c r="P793" s="33">
        <v>22</v>
      </c>
      <c r="Q793" s="33">
        <v>1.1000000238418579</v>
      </c>
      <c r="R793" s="34" t="s">
        <v>1042</v>
      </c>
      <c r="S793" s="33">
        <v>0</v>
      </c>
      <c r="T793" s="35">
        <v>0</v>
      </c>
    </row>
    <row r="794" spans="1:20">
      <c r="A794" s="31">
        <v>792</v>
      </c>
      <c r="B794" s="33" t="s">
        <v>1120</v>
      </c>
      <c r="C794" s="33">
        <v>100</v>
      </c>
      <c r="D794" s="33">
        <v>428</v>
      </c>
      <c r="E794" s="33">
        <v>16.899999618530273</v>
      </c>
      <c r="F794" s="33">
        <v>5.0999999046325684</v>
      </c>
      <c r="G794" s="33">
        <v>22.100000381469727</v>
      </c>
      <c r="H794" s="33">
        <v>3</v>
      </c>
      <c r="I794" s="33">
        <v>52.299999237060547</v>
      </c>
      <c r="J794" s="33">
        <v>85</v>
      </c>
      <c r="K794" s="33">
        <v>0.12999999523162842</v>
      </c>
      <c r="L794" s="33">
        <v>3.9999999105930328E-2</v>
      </c>
      <c r="M794" s="33">
        <v>2.7999999523162842</v>
      </c>
      <c r="N794" s="33">
        <v>0.79000002145767212</v>
      </c>
      <c r="O794" s="33">
        <v>11.100000381469727</v>
      </c>
      <c r="P794" s="33">
        <v>31</v>
      </c>
      <c r="Q794" s="33">
        <v>2.0999999046325684</v>
      </c>
      <c r="R794" s="34" t="s">
        <v>1042</v>
      </c>
      <c r="S794" s="33">
        <v>0</v>
      </c>
      <c r="T794" s="35">
        <v>0</v>
      </c>
    </row>
    <row r="795" spans="1:20">
      <c r="A795" s="31">
        <v>793</v>
      </c>
      <c r="B795" s="33" t="s">
        <v>1121</v>
      </c>
      <c r="C795" s="33">
        <v>100</v>
      </c>
      <c r="D795" s="33">
        <v>405</v>
      </c>
      <c r="E795" s="33">
        <v>11.699999809265137</v>
      </c>
      <c r="F795" s="33">
        <v>8.1999998092651367</v>
      </c>
      <c r="G795" s="33">
        <v>13.600000381469727</v>
      </c>
      <c r="H795" s="33">
        <v>3.0999999046325684</v>
      </c>
      <c r="I795" s="33">
        <v>62.5</v>
      </c>
      <c r="J795" s="33">
        <v>7</v>
      </c>
      <c r="K795" s="33">
        <v>5.000000074505806E-2</v>
      </c>
      <c r="L795" s="33">
        <v>5.000000074505806E-2</v>
      </c>
      <c r="M795" s="33">
        <v>1.8999999761581421</v>
      </c>
      <c r="N795" s="33">
        <v>8.0600004196166992</v>
      </c>
      <c r="O795" s="33">
        <v>22.399999618530273</v>
      </c>
      <c r="P795" s="33">
        <v>64</v>
      </c>
      <c r="Q795" s="33">
        <v>3.0999999046325684</v>
      </c>
      <c r="R795" s="34" t="s">
        <v>1042</v>
      </c>
      <c r="S795" s="33">
        <v>0</v>
      </c>
      <c r="T795" s="35">
        <v>0</v>
      </c>
    </row>
    <row r="796" spans="1:20">
      <c r="A796" s="31">
        <v>794</v>
      </c>
      <c r="B796" s="33" t="s">
        <v>1122</v>
      </c>
      <c r="C796" s="33">
        <v>100</v>
      </c>
      <c r="D796" s="33">
        <v>441</v>
      </c>
      <c r="E796" s="33">
        <v>9.3999996185302734</v>
      </c>
      <c r="F796" s="33">
        <v>5.6999998092651367</v>
      </c>
      <c r="G796" s="33">
        <v>16.899999618530273</v>
      </c>
      <c r="H796" s="33">
        <v>1</v>
      </c>
      <c r="I796" s="33">
        <v>66.599998474121094</v>
      </c>
      <c r="J796" s="33">
        <v>23</v>
      </c>
      <c r="K796" s="33">
        <v>7.9999998211860657E-2</v>
      </c>
      <c r="L796" s="33">
        <v>3.9999999105930328E-2</v>
      </c>
      <c r="M796" s="33">
        <v>2.9000000953674316</v>
      </c>
      <c r="N796" s="33">
        <v>0.20999999344348907</v>
      </c>
      <c r="O796" s="33">
        <v>28.200000762939453</v>
      </c>
      <c r="P796" s="33">
        <v>12</v>
      </c>
      <c r="Q796" s="33">
        <v>3.5</v>
      </c>
      <c r="R796" s="34" t="s">
        <v>1042</v>
      </c>
      <c r="S796" s="33">
        <v>0</v>
      </c>
      <c r="T796" s="35">
        <v>0</v>
      </c>
    </row>
    <row r="797" spans="1:20">
      <c r="A797" s="31">
        <v>795</v>
      </c>
      <c r="B797" s="33" t="s">
        <v>1123</v>
      </c>
      <c r="C797" s="33">
        <v>100</v>
      </c>
      <c r="D797" s="33">
        <v>438</v>
      </c>
      <c r="E797" s="33">
        <v>12.600000381469727</v>
      </c>
      <c r="F797" s="33">
        <v>6.4000000953674316</v>
      </c>
      <c r="G797" s="33">
        <v>21.399999618530273</v>
      </c>
      <c r="H797" s="33">
        <v>4.0999999046325684</v>
      </c>
      <c r="I797" s="33">
        <v>54.900001525878906</v>
      </c>
      <c r="J797" s="33">
        <v>62</v>
      </c>
      <c r="K797" s="33">
        <v>0.34999999403953552</v>
      </c>
      <c r="L797" s="33">
        <v>0.15999999642372131</v>
      </c>
      <c r="M797" s="33">
        <v>3.0999999046325684</v>
      </c>
      <c r="N797" s="33">
        <v>2.059999942779541</v>
      </c>
      <c r="O797" s="33">
        <v>17.700000762939453</v>
      </c>
      <c r="P797" s="33">
        <v>26</v>
      </c>
      <c r="Q797" s="33">
        <v>2.5</v>
      </c>
      <c r="R797" s="34" t="s">
        <v>1042</v>
      </c>
      <c r="S797" s="33">
        <v>0</v>
      </c>
      <c r="T797" s="35">
        <v>0</v>
      </c>
    </row>
    <row r="798" spans="1:20">
      <c r="A798" s="31">
        <v>796</v>
      </c>
      <c r="B798" s="33" t="s">
        <v>1124</v>
      </c>
      <c r="C798" s="33">
        <v>100</v>
      </c>
      <c r="D798" s="33">
        <v>429</v>
      </c>
      <c r="E798" s="33">
        <v>15.100000381469727</v>
      </c>
      <c r="F798" s="33">
        <v>8</v>
      </c>
      <c r="G798" s="33">
        <v>18.399999618530273</v>
      </c>
      <c r="H798" s="33">
        <v>0</v>
      </c>
      <c r="I798" s="33">
        <v>57.799999237060547</v>
      </c>
      <c r="J798" s="33">
        <v>17</v>
      </c>
      <c r="K798" s="33">
        <v>7.0000000298023224E-2</v>
      </c>
      <c r="L798" s="33">
        <v>0</v>
      </c>
      <c r="M798" s="33">
        <v>2.9000000953674316</v>
      </c>
      <c r="N798" s="33">
        <v>9.8299999237060547</v>
      </c>
      <c r="O798" s="33">
        <v>56.799999237060547</v>
      </c>
      <c r="P798" s="33">
        <v>29</v>
      </c>
      <c r="Q798" s="33">
        <v>2</v>
      </c>
      <c r="R798" s="34" t="s">
        <v>1042</v>
      </c>
      <c r="S798" s="33">
        <v>0</v>
      </c>
      <c r="T798" s="35">
        <v>0</v>
      </c>
    </row>
    <row r="799" spans="1:20">
      <c r="A799" s="31">
        <v>797</v>
      </c>
      <c r="B799" s="33" t="s">
        <v>1125</v>
      </c>
      <c r="C799" s="33">
        <v>100</v>
      </c>
      <c r="D799" s="33">
        <v>416</v>
      </c>
      <c r="E799" s="33">
        <v>11.300000190734863</v>
      </c>
      <c r="F799" s="33">
        <v>8</v>
      </c>
      <c r="G799" s="33">
        <v>16</v>
      </c>
      <c r="H799" s="33">
        <v>3.9000000953674316</v>
      </c>
      <c r="I799" s="33">
        <v>60.099998474121094</v>
      </c>
      <c r="J799" s="33">
        <v>7</v>
      </c>
      <c r="K799" s="33">
        <v>0</v>
      </c>
      <c r="L799" s="33">
        <v>7.9999998211860657E-2</v>
      </c>
      <c r="M799" s="33">
        <v>4</v>
      </c>
      <c r="N799" s="33">
        <v>8.8199996948242188</v>
      </c>
      <c r="O799" s="33">
        <v>18.5</v>
      </c>
      <c r="P799" s="33">
        <v>54</v>
      </c>
      <c r="Q799" s="33">
        <v>2.7999999523162842</v>
      </c>
      <c r="R799" s="34" t="s">
        <v>1042</v>
      </c>
      <c r="S799" s="33">
        <v>0</v>
      </c>
      <c r="T799" s="35">
        <v>0</v>
      </c>
    </row>
    <row r="800" spans="1:20">
      <c r="A800" s="31">
        <v>798</v>
      </c>
      <c r="B800" s="33" t="s">
        <v>1126</v>
      </c>
      <c r="C800" s="33">
        <v>100</v>
      </c>
      <c r="D800" s="33">
        <v>449</v>
      </c>
      <c r="E800" s="33">
        <v>8.3000001907348633</v>
      </c>
      <c r="F800" s="33">
        <v>6.3000001907348633</v>
      </c>
      <c r="G800" s="33">
        <v>19.700000762939453</v>
      </c>
      <c r="H800" s="33">
        <v>3.5</v>
      </c>
      <c r="I800" s="33">
        <v>61.700000762939453</v>
      </c>
      <c r="J800" s="33">
        <v>17</v>
      </c>
      <c r="K800" s="33">
        <v>0.18000000715255737</v>
      </c>
      <c r="L800" s="33">
        <v>2.9999999329447746E-2</v>
      </c>
      <c r="M800" s="33">
        <v>3.2999999523162842</v>
      </c>
      <c r="N800" s="33">
        <v>2.690000057220459</v>
      </c>
      <c r="O800" s="33">
        <v>28.200000762939453</v>
      </c>
      <c r="P800" s="33">
        <v>18</v>
      </c>
      <c r="Q800" s="33">
        <v>3</v>
      </c>
      <c r="R800" s="34" t="s">
        <v>1042</v>
      </c>
      <c r="S800" s="33">
        <v>0</v>
      </c>
      <c r="T800" s="35">
        <v>0</v>
      </c>
    </row>
    <row r="801" spans="1:20">
      <c r="A801" s="31">
        <v>799</v>
      </c>
      <c r="B801" s="33" t="s">
        <v>1127</v>
      </c>
      <c r="C801" s="33">
        <v>100</v>
      </c>
      <c r="D801" s="33">
        <v>424</v>
      </c>
      <c r="E801" s="33">
        <v>11.699999809265137</v>
      </c>
      <c r="F801" s="33">
        <v>7.0999999046325684</v>
      </c>
      <c r="G801" s="33">
        <v>15.699999809265137</v>
      </c>
      <c r="H801" s="33">
        <v>1.3999999761581421</v>
      </c>
      <c r="I801" s="33">
        <v>63.5</v>
      </c>
      <c r="J801" s="33">
        <v>8</v>
      </c>
      <c r="K801" s="33">
        <v>0.10999999940395355</v>
      </c>
      <c r="L801" s="33">
        <v>5.000000074505806E-2</v>
      </c>
      <c r="M801" s="33">
        <v>2.7000000476837158</v>
      </c>
      <c r="N801" s="33">
        <v>1.4900000095367432</v>
      </c>
      <c r="O801" s="33">
        <v>24.299999237060547</v>
      </c>
      <c r="P801" s="33">
        <v>66</v>
      </c>
      <c r="Q801" s="33">
        <v>2.7999999523162842</v>
      </c>
      <c r="R801" s="34" t="s">
        <v>1042</v>
      </c>
      <c r="S801" s="33">
        <v>0</v>
      </c>
      <c r="T801" s="35">
        <v>0</v>
      </c>
    </row>
    <row r="802" spans="1:20">
      <c r="A802" s="31">
        <v>800</v>
      </c>
      <c r="B802" s="33" t="s">
        <v>1128</v>
      </c>
      <c r="C802" s="33">
        <v>100</v>
      </c>
      <c r="D802" s="33">
        <v>280</v>
      </c>
      <c r="E802" s="33">
        <v>43.599998474121094</v>
      </c>
      <c r="F802" s="33">
        <v>6.0999999046325684</v>
      </c>
      <c r="G802" s="33">
        <v>12.300000190734863</v>
      </c>
      <c r="H802" s="33">
        <v>1.2000000476837158</v>
      </c>
      <c r="I802" s="33">
        <v>36.099998474121094</v>
      </c>
      <c r="J802" s="33">
        <v>0</v>
      </c>
      <c r="K802" s="33">
        <v>2.9999999329447746E-2</v>
      </c>
      <c r="L802" s="33">
        <v>1.9999999552965164E-2</v>
      </c>
      <c r="M802" s="33">
        <v>3.5999999046325684</v>
      </c>
      <c r="N802" s="33">
        <v>3.6099998950958252</v>
      </c>
      <c r="O802" s="33">
        <v>96.599998474121094</v>
      </c>
      <c r="P802" s="33">
        <v>24</v>
      </c>
      <c r="Q802" s="33">
        <v>2.4000000953674316</v>
      </c>
      <c r="R802" s="34" t="s">
        <v>1042</v>
      </c>
      <c r="S802" s="33">
        <v>0</v>
      </c>
      <c r="T802" s="35">
        <v>0</v>
      </c>
    </row>
    <row r="803" spans="1:20">
      <c r="A803" s="31">
        <v>801</v>
      </c>
      <c r="B803" s="33" t="s">
        <v>1129</v>
      </c>
      <c r="C803" s="33">
        <v>100</v>
      </c>
      <c r="D803" s="33">
        <v>435</v>
      </c>
      <c r="E803" s="33">
        <v>8</v>
      </c>
      <c r="F803" s="33">
        <v>8.6000003814697266</v>
      </c>
      <c r="G803" s="33">
        <v>14.699999809265137</v>
      </c>
      <c r="H803" s="33">
        <v>1</v>
      </c>
      <c r="I803" s="33">
        <v>67.099998474121094</v>
      </c>
      <c r="J803" s="33">
        <v>13</v>
      </c>
      <c r="K803" s="33">
        <v>5.000000074505806E-2</v>
      </c>
      <c r="L803" s="33">
        <v>0.30000001192092896</v>
      </c>
      <c r="M803" s="33">
        <v>0.80000001192092896</v>
      </c>
      <c r="N803" s="33">
        <v>1.9199999570846558</v>
      </c>
      <c r="O803" s="33">
        <v>13.600000381469727</v>
      </c>
      <c r="P803" s="33">
        <v>0</v>
      </c>
      <c r="Q803" s="33">
        <v>4.9000000953674316</v>
      </c>
      <c r="R803" s="34" t="s">
        <v>1042</v>
      </c>
      <c r="S803" s="33">
        <v>0</v>
      </c>
      <c r="T803" s="35">
        <v>0</v>
      </c>
    </row>
    <row r="804" spans="1:20">
      <c r="A804" s="31">
        <v>802</v>
      </c>
      <c r="B804" s="33" t="s">
        <v>1130</v>
      </c>
      <c r="C804" s="33">
        <v>100</v>
      </c>
      <c r="D804" s="33">
        <v>390</v>
      </c>
      <c r="E804" s="33">
        <v>2.0999999046325684</v>
      </c>
      <c r="F804" s="33">
        <v>0.20000000298023224</v>
      </c>
      <c r="G804" s="33">
        <v>0</v>
      </c>
      <c r="H804" s="33">
        <v>0</v>
      </c>
      <c r="I804" s="33">
        <v>97.300003051757813</v>
      </c>
      <c r="J804" s="33">
        <v>0</v>
      </c>
      <c r="K804" s="33">
        <v>0.12999999523162842</v>
      </c>
      <c r="L804" s="33">
        <v>1.190000057220459</v>
      </c>
      <c r="M804" s="33">
        <v>0.20000000298023224</v>
      </c>
      <c r="N804" s="33">
        <v>0</v>
      </c>
      <c r="O804" s="33">
        <v>22.600000381469727</v>
      </c>
      <c r="P804" s="33">
        <v>29</v>
      </c>
      <c r="Q804" s="33">
        <v>12.600000381469727</v>
      </c>
      <c r="R804" s="34" t="s">
        <v>1131</v>
      </c>
      <c r="S804" s="33">
        <v>31</v>
      </c>
      <c r="T804" s="35">
        <v>0</v>
      </c>
    </row>
    <row r="805" spans="1:20">
      <c r="A805" s="31">
        <v>803</v>
      </c>
      <c r="B805" s="33" t="s">
        <v>1132</v>
      </c>
      <c r="C805" s="33">
        <v>100</v>
      </c>
      <c r="D805" s="33">
        <v>45</v>
      </c>
      <c r="E805" s="33">
        <v>88.699996948242188</v>
      </c>
      <c r="F805" s="33">
        <v>0</v>
      </c>
      <c r="G805" s="33">
        <v>0</v>
      </c>
      <c r="H805" s="33">
        <v>0</v>
      </c>
      <c r="I805" s="33">
        <v>11.199999809265137</v>
      </c>
      <c r="J805" s="33">
        <v>0.20000000298023224</v>
      </c>
      <c r="K805" s="33">
        <v>0</v>
      </c>
      <c r="L805" s="33">
        <v>0</v>
      </c>
      <c r="M805" s="33">
        <v>0</v>
      </c>
      <c r="N805" s="33">
        <v>0</v>
      </c>
      <c r="O805" s="33">
        <v>11.399999618530273</v>
      </c>
      <c r="P805" s="33">
        <v>0</v>
      </c>
      <c r="Q805" s="33">
        <v>0.10000000149011612</v>
      </c>
      <c r="R805" s="34" t="s">
        <v>1131</v>
      </c>
      <c r="S805" s="33">
        <v>0</v>
      </c>
      <c r="T805" s="35">
        <v>0</v>
      </c>
    </row>
    <row r="806" spans="1:20">
      <c r="A806" s="31">
        <v>804</v>
      </c>
      <c r="B806" s="33" t="s">
        <v>1133</v>
      </c>
      <c r="C806" s="33">
        <v>100</v>
      </c>
      <c r="D806" s="33">
        <v>47</v>
      </c>
      <c r="E806" s="33">
        <v>88.300003051757813</v>
      </c>
      <c r="F806" s="33">
        <v>0.80000001192092896</v>
      </c>
      <c r="G806" s="33">
        <v>0.20000000298023224</v>
      </c>
      <c r="H806" s="33">
        <v>0</v>
      </c>
      <c r="I806" s="33">
        <v>10.5</v>
      </c>
      <c r="J806" s="33">
        <v>0</v>
      </c>
      <c r="K806" s="33">
        <v>9.9999997764825821E-3</v>
      </c>
      <c r="L806" s="33">
        <v>9.9999997764825821E-3</v>
      </c>
      <c r="M806" s="33">
        <v>0.20000000298023224</v>
      </c>
      <c r="N806" s="33">
        <v>0.10999999940395355</v>
      </c>
      <c r="O806" s="33">
        <v>20.399999618530273</v>
      </c>
      <c r="P806" s="33">
        <v>31</v>
      </c>
      <c r="Q806" s="33">
        <v>0.89999997615814209</v>
      </c>
      <c r="R806" s="34" t="s">
        <v>1131</v>
      </c>
      <c r="S806" s="33">
        <v>0</v>
      </c>
      <c r="T806" s="35">
        <v>45</v>
      </c>
    </row>
    <row r="807" spans="1:20">
      <c r="A807" s="31">
        <v>805</v>
      </c>
      <c r="B807" s="33" t="s">
        <v>1134</v>
      </c>
      <c r="C807" s="33">
        <v>100</v>
      </c>
      <c r="D807" s="33">
        <v>126</v>
      </c>
      <c r="E807" s="33">
        <v>74.400001525878906</v>
      </c>
      <c r="F807" s="33">
        <v>2.4000000953674316</v>
      </c>
      <c r="G807" s="33">
        <v>5.3000001907348633</v>
      </c>
      <c r="H807" s="33">
        <v>0</v>
      </c>
      <c r="I807" s="33">
        <v>17.299999237060547</v>
      </c>
      <c r="J807" s="33">
        <v>48</v>
      </c>
      <c r="K807" s="33">
        <v>9.9999997764825821E-3</v>
      </c>
      <c r="L807" s="33">
        <v>2.9999999329447746E-2</v>
      </c>
      <c r="M807" s="33">
        <v>0.20000000298023224</v>
      </c>
      <c r="N807" s="33">
        <v>0.23999999463558197</v>
      </c>
      <c r="O807" s="33">
        <v>54.200000762939453</v>
      </c>
      <c r="P807" s="33">
        <v>126</v>
      </c>
      <c r="Q807" s="33">
        <v>0.5</v>
      </c>
      <c r="R807" s="34" t="s">
        <v>1131</v>
      </c>
      <c r="S807" s="33">
        <v>0</v>
      </c>
      <c r="T807" s="35">
        <v>51</v>
      </c>
    </row>
    <row r="808" spans="1:20">
      <c r="A808" s="31">
        <v>806</v>
      </c>
      <c r="B808" s="33" t="s">
        <v>1135</v>
      </c>
      <c r="C808" s="33">
        <v>100</v>
      </c>
      <c r="D808" s="33">
        <v>153</v>
      </c>
      <c r="E808" s="33">
        <v>69.599998474121094</v>
      </c>
      <c r="F808" s="33">
        <v>2.9000000953674316</v>
      </c>
      <c r="G808" s="33">
        <v>6.8000001907348633</v>
      </c>
      <c r="H808" s="33">
        <v>0</v>
      </c>
      <c r="I808" s="33">
        <v>20</v>
      </c>
      <c r="J808" s="33">
        <v>20</v>
      </c>
      <c r="K808" s="33">
        <v>9.9999997764825821E-3</v>
      </c>
      <c r="L808" s="33">
        <v>3.9999999105930328E-2</v>
      </c>
      <c r="M808" s="33">
        <v>0.20000000298023224</v>
      </c>
      <c r="N808" s="33">
        <v>0.73000001907348633</v>
      </c>
      <c r="O808" s="33">
        <v>43.5</v>
      </c>
      <c r="P808" s="33">
        <v>140</v>
      </c>
      <c r="Q808" s="33">
        <v>0.40000000596046448</v>
      </c>
      <c r="R808" s="34" t="s">
        <v>1131</v>
      </c>
      <c r="S808" s="33">
        <v>0</v>
      </c>
      <c r="T808" s="35">
        <v>35</v>
      </c>
    </row>
    <row r="809" spans="1:20">
      <c r="A809" s="31">
        <v>807</v>
      </c>
      <c r="B809" s="33" t="s">
        <v>1136</v>
      </c>
      <c r="C809" s="33">
        <v>100</v>
      </c>
      <c r="D809" s="33">
        <v>25</v>
      </c>
      <c r="E809" s="33">
        <v>93.800003051757813</v>
      </c>
      <c r="F809" s="33">
        <v>0.10000000149011612</v>
      </c>
      <c r="G809" s="33">
        <v>0</v>
      </c>
      <c r="H809" s="33">
        <v>0</v>
      </c>
      <c r="I809" s="33">
        <v>6.0999999046325684</v>
      </c>
      <c r="J809" s="33">
        <v>8</v>
      </c>
      <c r="K809" s="33">
        <v>7.9999998211860657E-2</v>
      </c>
      <c r="L809" s="33">
        <v>0.12999999523162842</v>
      </c>
      <c r="M809" s="33">
        <v>1.2999999523162842</v>
      </c>
      <c r="N809" s="33">
        <v>0</v>
      </c>
      <c r="O809" s="33">
        <v>5.3000001907348633</v>
      </c>
      <c r="P809" s="33">
        <v>8</v>
      </c>
      <c r="Q809" s="33">
        <v>0.10000000149011612</v>
      </c>
      <c r="R809" s="34" t="s">
        <v>1131</v>
      </c>
      <c r="S809" s="33">
        <v>0</v>
      </c>
      <c r="T809" s="35">
        <v>0</v>
      </c>
    </row>
    <row r="810" spans="1:20">
      <c r="A810" s="31">
        <v>808</v>
      </c>
      <c r="B810" s="33" t="s">
        <v>1137</v>
      </c>
      <c r="C810" s="33">
        <v>100</v>
      </c>
      <c r="D810" s="33">
        <v>32</v>
      </c>
      <c r="E810" s="33">
        <v>91.900001525878906</v>
      </c>
      <c r="F810" s="33">
        <v>0</v>
      </c>
      <c r="G810" s="33">
        <v>0</v>
      </c>
      <c r="H810" s="33">
        <v>0</v>
      </c>
      <c r="I810" s="33">
        <v>8.1000003814697266</v>
      </c>
      <c r="J810" s="33">
        <v>0</v>
      </c>
      <c r="K810" s="33">
        <v>1.9999999552965164E-2</v>
      </c>
      <c r="L810" s="33">
        <v>9.9999997764825821E-3</v>
      </c>
      <c r="M810" s="33">
        <v>0</v>
      </c>
      <c r="N810" s="33">
        <v>0</v>
      </c>
      <c r="O810" s="33">
        <v>4.4000000953674316</v>
      </c>
      <c r="P810" s="33">
        <v>6</v>
      </c>
      <c r="Q810" s="33">
        <v>0</v>
      </c>
      <c r="R810" s="34" t="s">
        <v>1131</v>
      </c>
      <c r="S810" s="33">
        <v>0</v>
      </c>
      <c r="T810" s="35">
        <v>0</v>
      </c>
    </row>
    <row r="811" spans="1:20">
      <c r="A811" s="31">
        <v>809</v>
      </c>
      <c r="B811" s="33" t="s">
        <v>1138</v>
      </c>
      <c r="C811" s="33">
        <v>100</v>
      </c>
      <c r="D811" s="33">
        <v>157</v>
      </c>
      <c r="E811" s="33">
        <v>61</v>
      </c>
      <c r="F811" s="33">
        <v>0</v>
      </c>
      <c r="G811" s="33">
        <v>0.20000000298023224</v>
      </c>
      <c r="H811" s="33">
        <v>0</v>
      </c>
      <c r="I811" s="33">
        <v>38.700000762939453</v>
      </c>
      <c r="J811" s="33">
        <v>0</v>
      </c>
      <c r="K811" s="33">
        <v>0.15000000596046448</v>
      </c>
      <c r="L811" s="33">
        <v>0</v>
      </c>
      <c r="M811" s="33">
        <v>0.10000000149011612</v>
      </c>
      <c r="N811" s="33">
        <v>0</v>
      </c>
      <c r="O811" s="33">
        <v>19.100000381469727</v>
      </c>
      <c r="P811" s="33">
        <v>5</v>
      </c>
      <c r="Q811" s="33">
        <v>0.30000001192092896</v>
      </c>
      <c r="R811" s="34" t="s">
        <v>1131</v>
      </c>
      <c r="S811" s="33">
        <v>0</v>
      </c>
      <c r="T811" s="35">
        <v>0</v>
      </c>
    </row>
    <row r="812" spans="1:20">
      <c r="A812" s="31">
        <v>810</v>
      </c>
      <c r="B812" s="33" t="s">
        <v>1139</v>
      </c>
      <c r="C812" s="33">
        <v>100</v>
      </c>
      <c r="D812" s="33">
        <v>130</v>
      </c>
      <c r="E812" s="33">
        <v>67.099998474121094</v>
      </c>
      <c r="F812" s="33">
        <v>0.10000000149011612</v>
      </c>
      <c r="G812" s="33">
        <v>0.20000000298023224</v>
      </c>
      <c r="H812" s="33">
        <v>0.5</v>
      </c>
      <c r="I812" s="33">
        <v>32</v>
      </c>
      <c r="J812" s="33">
        <v>450</v>
      </c>
      <c r="K812" s="33">
        <v>0</v>
      </c>
      <c r="L812" s="33">
        <v>0.62000000476837158</v>
      </c>
      <c r="M812" s="33">
        <v>1</v>
      </c>
      <c r="N812" s="33">
        <v>0</v>
      </c>
      <c r="O812" s="33">
        <v>72.5</v>
      </c>
      <c r="P812" s="33">
        <v>7</v>
      </c>
      <c r="Q812" s="33">
        <v>0.20000000298023224</v>
      </c>
      <c r="R812" s="34" t="s">
        <v>1131</v>
      </c>
      <c r="S812" s="33">
        <v>12</v>
      </c>
      <c r="T812" s="35">
        <v>0</v>
      </c>
    </row>
    <row r="813" spans="1:20">
      <c r="A813" s="31">
        <v>811</v>
      </c>
      <c r="B813" s="33" t="s">
        <v>1140</v>
      </c>
      <c r="C813" s="33">
        <v>100</v>
      </c>
      <c r="D813" s="33">
        <v>390</v>
      </c>
      <c r="E813" s="33">
        <v>2.7999999523162842</v>
      </c>
      <c r="F813" s="33">
        <v>0.20000000298023224</v>
      </c>
      <c r="G813" s="33">
        <v>0.40000000596046448</v>
      </c>
      <c r="H813" s="33">
        <v>0</v>
      </c>
      <c r="I813" s="33">
        <v>96.5</v>
      </c>
      <c r="J813" s="33">
        <v>3</v>
      </c>
      <c r="K813" s="33">
        <v>0.18000000715255737</v>
      </c>
      <c r="L813" s="33">
        <v>1.4500000476837158</v>
      </c>
      <c r="M813" s="33">
        <v>0.40000000596046448</v>
      </c>
      <c r="N813" s="33">
        <v>0</v>
      </c>
      <c r="O813" s="33">
        <v>33</v>
      </c>
      <c r="P813" s="33">
        <v>14</v>
      </c>
      <c r="Q813" s="33">
        <v>0.69999998807907104</v>
      </c>
      <c r="R813" s="34" t="s">
        <v>1131</v>
      </c>
      <c r="S813" s="33">
        <v>3</v>
      </c>
      <c r="T813" s="35">
        <v>0</v>
      </c>
    </row>
    <row r="814" spans="1:20">
      <c r="A814" s="31">
        <v>812</v>
      </c>
      <c r="B814" s="33" t="s">
        <v>1141</v>
      </c>
      <c r="C814" s="33">
        <v>100</v>
      </c>
      <c r="D814" s="33">
        <v>235</v>
      </c>
      <c r="E814" s="33">
        <v>41.299999237060547</v>
      </c>
      <c r="F814" s="33">
        <v>0.80000001192092896</v>
      </c>
      <c r="G814" s="33">
        <v>0.30000001192092896</v>
      </c>
      <c r="H814" s="33">
        <v>0</v>
      </c>
      <c r="I814" s="33">
        <v>57.299999237060547</v>
      </c>
      <c r="J814" s="33">
        <v>122</v>
      </c>
      <c r="K814" s="33">
        <v>3.9999999105930328E-2</v>
      </c>
      <c r="L814" s="33">
        <v>1.9999999552965164E-2</v>
      </c>
      <c r="M814" s="33">
        <v>0.30000001192092896</v>
      </c>
      <c r="N814" s="33">
        <v>3.9999999105930328E-2</v>
      </c>
      <c r="O814" s="33">
        <v>4.4000000953674316</v>
      </c>
      <c r="P814" s="33">
        <v>21</v>
      </c>
      <c r="Q814" s="33">
        <v>0.69999998807907104</v>
      </c>
      <c r="R814" s="34" t="s">
        <v>1131</v>
      </c>
      <c r="S814" s="33">
        <v>80</v>
      </c>
      <c r="T814" s="35">
        <v>0</v>
      </c>
    </row>
    <row r="815" spans="1:20">
      <c r="A815" s="31">
        <v>813</v>
      </c>
      <c r="B815" s="33" t="s">
        <v>1142</v>
      </c>
      <c r="C815" s="33">
        <v>100</v>
      </c>
      <c r="D815" s="33">
        <v>95</v>
      </c>
      <c r="E815" s="33">
        <v>76.400001525878906</v>
      </c>
      <c r="F815" s="33">
        <v>0.10000000149011612</v>
      </c>
      <c r="G815" s="33">
        <v>0.20000000298023224</v>
      </c>
      <c r="H815" s="33">
        <v>0</v>
      </c>
      <c r="I815" s="33">
        <v>23.200000762939453</v>
      </c>
      <c r="J815" s="33">
        <v>0</v>
      </c>
      <c r="K815" s="33">
        <v>0</v>
      </c>
      <c r="L815" s="33">
        <v>0</v>
      </c>
      <c r="M815" s="33">
        <v>0</v>
      </c>
      <c r="N815" s="33">
        <v>0</v>
      </c>
      <c r="O815" s="33">
        <v>4.4000000953674316</v>
      </c>
      <c r="P815" s="33">
        <v>4</v>
      </c>
      <c r="Q815" s="33">
        <v>0.30000001192092896</v>
      </c>
      <c r="R815" s="34" t="s">
        <v>1131</v>
      </c>
      <c r="S815" s="33">
        <v>187</v>
      </c>
      <c r="T815" s="35">
        <v>0</v>
      </c>
    </row>
    <row r="816" spans="1:20">
      <c r="A816" s="31">
        <v>814</v>
      </c>
      <c r="B816" s="33" t="s">
        <v>1143</v>
      </c>
      <c r="C816" s="33">
        <v>91</v>
      </c>
      <c r="D816" s="33">
        <v>55</v>
      </c>
      <c r="E816" s="33">
        <v>85.199996948242188</v>
      </c>
      <c r="F816" s="33">
        <v>0.89999997615814209</v>
      </c>
      <c r="G816" s="33">
        <v>0.10000000149011612</v>
      </c>
      <c r="H816" s="33">
        <v>0.80000001192092896</v>
      </c>
      <c r="I816" s="33">
        <v>12.600000381469727</v>
      </c>
      <c r="J816" s="33">
        <v>0</v>
      </c>
      <c r="K816" s="33">
        <v>2.9999999329447746E-2</v>
      </c>
      <c r="L816" s="33">
        <v>2.9999999329447746E-2</v>
      </c>
      <c r="M816" s="33">
        <v>0.30000001192092896</v>
      </c>
      <c r="N816" s="33">
        <v>0.86000001430511475</v>
      </c>
      <c r="O816" s="33">
        <v>5.5</v>
      </c>
      <c r="P816" s="33">
        <v>21</v>
      </c>
      <c r="Q816" s="33">
        <v>0.60000002384185791</v>
      </c>
      <c r="R816" s="34" t="s">
        <v>499</v>
      </c>
      <c r="S816" s="33">
        <v>13</v>
      </c>
      <c r="T816" s="35">
        <v>0</v>
      </c>
    </row>
    <row r="817" spans="1:20">
      <c r="A817" s="31">
        <v>815</v>
      </c>
      <c r="B817" s="33" t="s">
        <v>1144</v>
      </c>
      <c r="C817" s="33">
        <v>94</v>
      </c>
      <c r="D817" s="33">
        <v>20</v>
      </c>
      <c r="E817" s="33">
        <v>93.900001525878906</v>
      </c>
      <c r="F817" s="33">
        <v>0.80000001192092896</v>
      </c>
      <c r="G817" s="33">
        <v>0.10000000149011612</v>
      </c>
      <c r="H817" s="33">
        <v>0.60000002384185791</v>
      </c>
      <c r="I817" s="33">
        <v>4</v>
      </c>
      <c r="J817" s="33">
        <v>3</v>
      </c>
      <c r="K817" s="33">
        <v>2.9999999329447746E-2</v>
      </c>
      <c r="L817" s="33">
        <v>5.9999998658895493E-2</v>
      </c>
      <c r="M817" s="33">
        <v>0.60000002384185791</v>
      </c>
      <c r="N817" s="33">
        <v>1</v>
      </c>
      <c r="O817" s="33">
        <v>60</v>
      </c>
      <c r="P817" s="33">
        <v>56</v>
      </c>
      <c r="Q817" s="33">
        <v>0.30000001192092896</v>
      </c>
      <c r="R817" s="34" t="s">
        <v>499</v>
      </c>
      <c r="S817" s="33">
        <v>18</v>
      </c>
      <c r="T817" s="35">
        <v>0</v>
      </c>
    </row>
    <row r="818" spans="1:20">
      <c r="A818" s="31">
        <v>816</v>
      </c>
      <c r="B818" s="33" t="s">
        <v>1145</v>
      </c>
      <c r="C818" s="33">
        <v>95</v>
      </c>
      <c r="D818" s="33">
        <v>20</v>
      </c>
      <c r="E818" s="33">
        <v>93.400001525878906</v>
      </c>
      <c r="F818" s="33">
        <v>0.89999997615814209</v>
      </c>
      <c r="G818" s="33">
        <v>0.10000000149011612</v>
      </c>
      <c r="H818" s="33">
        <v>1</v>
      </c>
      <c r="I818" s="33">
        <v>4</v>
      </c>
      <c r="J818" s="33">
        <v>3</v>
      </c>
      <c r="K818" s="33">
        <v>1.9999999552965164E-2</v>
      </c>
      <c r="L818" s="33">
        <v>2.9999999329447746E-2</v>
      </c>
      <c r="M818" s="33">
        <v>0.30000001192092896</v>
      </c>
      <c r="N818" s="33">
        <v>0.92000001668930054</v>
      </c>
      <c r="O818" s="33">
        <v>61.799999237060547</v>
      </c>
      <c r="P818" s="33">
        <v>36</v>
      </c>
      <c r="Q818" s="33">
        <v>0.5</v>
      </c>
      <c r="R818" s="34" t="s">
        <v>499</v>
      </c>
      <c r="S818" s="33">
        <v>21</v>
      </c>
      <c r="T818" s="35">
        <v>0</v>
      </c>
    </row>
    <row r="819" spans="1:20">
      <c r="A819" s="31">
        <v>817</v>
      </c>
      <c r="B819" s="33" t="s">
        <v>1146</v>
      </c>
      <c r="C819" s="33">
        <v>94</v>
      </c>
      <c r="D819" s="33">
        <v>26</v>
      </c>
      <c r="E819" s="33">
        <v>91.599998474121094</v>
      </c>
      <c r="F819" s="33">
        <v>1.2000000476837158</v>
      </c>
      <c r="G819" s="33">
        <v>0.10000000149011612</v>
      </c>
      <c r="H819" s="33">
        <v>1.2000000476837158</v>
      </c>
      <c r="I819" s="33">
        <v>5.1999998092651367</v>
      </c>
      <c r="J819" s="33">
        <v>3</v>
      </c>
      <c r="K819" s="33">
        <v>2.9999999329447746E-2</v>
      </c>
      <c r="L819" s="33">
        <v>3.9999999105930328E-2</v>
      </c>
      <c r="M819" s="33">
        <v>0.60000002384185791</v>
      </c>
      <c r="N819" s="33">
        <v>1.7999999523162842</v>
      </c>
      <c r="O819" s="33">
        <v>68</v>
      </c>
      <c r="P819" s="33">
        <v>45</v>
      </c>
      <c r="Q819" s="33">
        <v>0.60000002384185791</v>
      </c>
      <c r="R819" s="34" t="s">
        <v>499</v>
      </c>
      <c r="S819" s="33">
        <v>24</v>
      </c>
      <c r="T819" s="35">
        <v>0</v>
      </c>
    </row>
    <row r="820" spans="1:20">
      <c r="A820" s="31">
        <v>818</v>
      </c>
      <c r="B820" s="33" t="s">
        <v>1147</v>
      </c>
      <c r="C820" s="33">
        <v>66</v>
      </c>
      <c r="D820" s="33">
        <v>19</v>
      </c>
      <c r="E820" s="33">
        <v>93.900001525878906</v>
      </c>
      <c r="F820" s="33">
        <v>1.1000000238418579</v>
      </c>
      <c r="G820" s="33">
        <v>0.20000000298023224</v>
      </c>
      <c r="H820" s="33">
        <v>1</v>
      </c>
      <c r="I820" s="33">
        <v>3.2000000476837158</v>
      </c>
      <c r="J820" s="33">
        <v>3</v>
      </c>
      <c r="K820" s="33">
        <v>1.9999999552965164E-2</v>
      </c>
      <c r="L820" s="33">
        <v>3.9999999105930328E-2</v>
      </c>
      <c r="M820" s="33">
        <v>0.40000000596046448</v>
      </c>
      <c r="N820" s="33">
        <v>0.77999997138977051</v>
      </c>
      <c r="O820" s="33">
        <v>33.5</v>
      </c>
      <c r="P820" s="33">
        <v>32</v>
      </c>
      <c r="Q820" s="33">
        <v>0.40000000596046448</v>
      </c>
      <c r="R820" s="34" t="s">
        <v>499</v>
      </c>
      <c r="S820" s="33">
        <v>22</v>
      </c>
      <c r="T820" s="35">
        <v>0</v>
      </c>
    </row>
    <row r="821" spans="1:20">
      <c r="A821" s="31">
        <v>819</v>
      </c>
      <c r="B821" s="33" t="s">
        <v>1148</v>
      </c>
      <c r="C821" s="33">
        <v>94</v>
      </c>
      <c r="D821" s="33">
        <v>39</v>
      </c>
      <c r="E821" s="33">
        <v>88</v>
      </c>
      <c r="F821" s="33">
        <v>1.2000000476837158</v>
      </c>
      <c r="G821" s="33">
        <v>0</v>
      </c>
      <c r="H821" s="33">
        <v>1.3999999761581421</v>
      </c>
      <c r="I821" s="33">
        <v>8.3999996185302734</v>
      </c>
      <c r="J821" s="33">
        <v>13</v>
      </c>
      <c r="K821" s="33">
        <v>1.9999999552965164E-2</v>
      </c>
      <c r="L821" s="33">
        <v>1.9999999552965164E-2</v>
      </c>
      <c r="M821" s="33">
        <v>0.10000000149011612</v>
      </c>
      <c r="N821" s="33">
        <v>0</v>
      </c>
      <c r="O821" s="33">
        <v>49.099998474121094</v>
      </c>
      <c r="P821" s="33">
        <v>86</v>
      </c>
      <c r="Q821" s="33">
        <v>0.89999997615814209</v>
      </c>
      <c r="R821" s="34" t="s">
        <v>499</v>
      </c>
      <c r="S821" s="33">
        <v>20</v>
      </c>
      <c r="T821" s="35">
        <v>0</v>
      </c>
    </row>
    <row r="822" spans="1:20">
      <c r="A822" s="31">
        <v>820</v>
      </c>
      <c r="B822" s="33" t="s">
        <v>1149</v>
      </c>
      <c r="C822" s="33">
        <v>95</v>
      </c>
      <c r="D822" s="33">
        <v>31</v>
      </c>
      <c r="E822" s="33">
        <v>91</v>
      </c>
      <c r="F822" s="33">
        <v>1.2999999523162842</v>
      </c>
      <c r="G822" s="33">
        <v>0.20000000298023224</v>
      </c>
      <c r="H822" s="33">
        <v>0.80000001192092896</v>
      </c>
      <c r="I822" s="33">
        <v>6</v>
      </c>
      <c r="J822" s="33">
        <v>10</v>
      </c>
      <c r="K822" s="33">
        <v>3.9999999105930328E-2</v>
      </c>
      <c r="L822" s="33">
        <v>5.9999998658895493E-2</v>
      </c>
      <c r="M822" s="33">
        <v>0</v>
      </c>
      <c r="N822" s="33">
        <v>0.2199999988079071</v>
      </c>
      <c r="O822" s="33">
        <v>69.900001525878906</v>
      </c>
      <c r="P822" s="33">
        <v>40</v>
      </c>
      <c r="Q822" s="33">
        <v>0.80000001192092896</v>
      </c>
      <c r="R822" s="34" t="s">
        <v>499</v>
      </c>
      <c r="S822" s="33">
        <v>14</v>
      </c>
      <c r="T822" s="35">
        <v>0</v>
      </c>
    </row>
    <row r="823" spans="1:20">
      <c r="A823" s="31">
        <v>821</v>
      </c>
      <c r="B823" s="33" t="s">
        <v>1150</v>
      </c>
      <c r="C823" s="33">
        <v>93</v>
      </c>
      <c r="D823" s="33">
        <v>20</v>
      </c>
      <c r="E823" s="33">
        <v>92.900001525878906</v>
      </c>
      <c r="F823" s="33">
        <v>0.80000001192092896</v>
      </c>
      <c r="G823" s="33">
        <v>0</v>
      </c>
      <c r="H823" s="33">
        <v>1.3999999761581421</v>
      </c>
      <c r="I823" s="33">
        <v>4.0999999046325684</v>
      </c>
      <c r="J823" s="33">
        <v>42</v>
      </c>
      <c r="K823" s="33">
        <v>2.9999999329447746E-2</v>
      </c>
      <c r="L823" s="33">
        <v>5.000000074505806E-2</v>
      </c>
      <c r="M823" s="33">
        <v>0</v>
      </c>
      <c r="N823" s="33">
        <v>0</v>
      </c>
      <c r="O823" s="33">
        <v>9.6999998092651367</v>
      </c>
      <c r="P823" s="33">
        <v>0</v>
      </c>
      <c r="Q823" s="33">
        <v>0</v>
      </c>
      <c r="R823" s="34" t="s">
        <v>499</v>
      </c>
      <c r="S823" s="33">
        <v>45</v>
      </c>
      <c r="T823" s="35">
        <v>0</v>
      </c>
    </row>
    <row r="824" spans="1:20">
      <c r="A824" s="31">
        <v>822</v>
      </c>
      <c r="B824" s="33" t="s">
        <v>1151</v>
      </c>
      <c r="C824" s="33">
        <v>88</v>
      </c>
      <c r="D824" s="33">
        <v>21</v>
      </c>
      <c r="E824" s="33">
        <v>93.5</v>
      </c>
      <c r="F824" s="33">
        <v>0.80000001192092896</v>
      </c>
      <c r="G824" s="33">
        <v>0.20000000298023224</v>
      </c>
      <c r="H824" s="33">
        <v>0.80000001192092896</v>
      </c>
      <c r="I824" s="33">
        <v>4.0999999046325684</v>
      </c>
      <c r="J824" s="33">
        <v>2</v>
      </c>
      <c r="K824" s="33">
        <v>1.9999999552965164E-2</v>
      </c>
      <c r="L824" s="33">
        <v>3.9999999105930328E-2</v>
      </c>
      <c r="M824" s="33">
        <v>0.40000000596046448</v>
      </c>
      <c r="N824" s="33">
        <v>0</v>
      </c>
      <c r="O824" s="33">
        <v>85.400001525878906</v>
      </c>
      <c r="P824" s="33">
        <v>68</v>
      </c>
      <c r="Q824" s="33">
        <v>0.5</v>
      </c>
      <c r="R824" s="34" t="s">
        <v>499</v>
      </c>
      <c r="S824" s="33">
        <v>23</v>
      </c>
      <c r="T824" s="35">
        <v>0</v>
      </c>
    </row>
    <row r="825" spans="1:20">
      <c r="A825" s="31">
        <v>823</v>
      </c>
      <c r="B825" s="33" t="s">
        <v>1152</v>
      </c>
      <c r="C825" s="33">
        <v>94</v>
      </c>
      <c r="D825" s="33">
        <v>76</v>
      </c>
      <c r="E825" s="33">
        <v>79.800003051757813</v>
      </c>
      <c r="F825" s="33">
        <v>2</v>
      </c>
      <c r="G825" s="33">
        <v>0.20000000298023224</v>
      </c>
      <c r="H825" s="33">
        <v>0.69999998807907104</v>
      </c>
      <c r="I825" s="33">
        <v>16.5</v>
      </c>
      <c r="J825" s="33">
        <v>5</v>
      </c>
      <c r="K825" s="33">
        <v>7.9999998211860657E-2</v>
      </c>
      <c r="L825" s="33">
        <v>3.9999999105930328E-2</v>
      </c>
      <c r="M825" s="33">
        <v>1.1000000238418579</v>
      </c>
      <c r="N825" s="33">
        <v>0.34000000357627869</v>
      </c>
      <c r="O825" s="33">
        <v>2.7000000476837158</v>
      </c>
      <c r="P825" s="33">
        <v>8</v>
      </c>
      <c r="Q825" s="33">
        <v>0.80000001192092896</v>
      </c>
      <c r="R825" s="34" t="s">
        <v>499</v>
      </c>
      <c r="S825" s="33">
        <v>27</v>
      </c>
      <c r="T825" s="35">
        <v>0</v>
      </c>
    </row>
    <row r="826" spans="1:20">
      <c r="A826" s="31">
        <v>824</v>
      </c>
      <c r="B826" s="33" t="s">
        <v>1153</v>
      </c>
      <c r="C826" s="33">
        <v>100</v>
      </c>
      <c r="D826" s="33">
        <v>337</v>
      </c>
      <c r="E826" s="33">
        <v>12</v>
      </c>
      <c r="F826" s="33">
        <v>7.1999998092651367</v>
      </c>
      <c r="G826" s="33">
        <v>0.5</v>
      </c>
      <c r="H826" s="33">
        <v>1.3999999761581421</v>
      </c>
      <c r="I826" s="33">
        <v>76</v>
      </c>
      <c r="J826" s="33">
        <v>20</v>
      </c>
      <c r="K826" s="33">
        <v>7.9999998211860657E-2</v>
      </c>
      <c r="L826" s="33">
        <v>5.9999998658895493E-2</v>
      </c>
      <c r="M826" s="33">
        <v>5.0999999046325684</v>
      </c>
      <c r="N826" s="33">
        <v>0.2800000011920929</v>
      </c>
      <c r="O826" s="33">
        <v>4.6999998092651367</v>
      </c>
      <c r="P826" s="33">
        <v>171</v>
      </c>
      <c r="Q826" s="33">
        <v>10.699999809265137</v>
      </c>
      <c r="R826" s="34" t="s">
        <v>499</v>
      </c>
      <c r="S826" s="33">
        <v>0</v>
      </c>
      <c r="T826" s="35">
        <v>0</v>
      </c>
    </row>
    <row r="827" spans="1:20">
      <c r="A827" s="31">
        <v>825</v>
      </c>
      <c r="B827" s="33" t="s">
        <v>1154</v>
      </c>
      <c r="C827" s="33">
        <v>100</v>
      </c>
      <c r="D827" s="33">
        <v>612</v>
      </c>
      <c r="E827" s="33">
        <v>4.0999999046325684</v>
      </c>
      <c r="F827" s="33">
        <v>4</v>
      </c>
      <c r="G827" s="33">
        <v>48.400001525878906</v>
      </c>
      <c r="H827" s="33">
        <v>1.8999999761581421</v>
      </c>
      <c r="I827" s="33">
        <v>40</v>
      </c>
      <c r="J827" s="33">
        <v>8</v>
      </c>
      <c r="K827" s="33">
        <v>9.0000003576278687E-2</v>
      </c>
      <c r="L827" s="33">
        <v>5.000000074505806E-2</v>
      </c>
      <c r="M827" s="33">
        <v>6.4000000953674316</v>
      </c>
      <c r="N827" s="33">
        <v>5.2199997901916504</v>
      </c>
      <c r="O827" s="33">
        <v>60.900001525878906</v>
      </c>
      <c r="P827" s="33">
        <v>11</v>
      </c>
      <c r="Q827" s="33">
        <v>1.2000000476837158</v>
      </c>
      <c r="R827" s="34" t="s">
        <v>499</v>
      </c>
      <c r="S827" s="33">
        <v>0</v>
      </c>
      <c r="T827" s="35">
        <v>0</v>
      </c>
    </row>
    <row r="828" spans="1:20">
      <c r="A828" s="31">
        <v>826</v>
      </c>
      <c r="B828" s="33" t="s">
        <v>1155</v>
      </c>
      <c r="C828" s="33">
        <v>100</v>
      </c>
      <c r="D828" s="33">
        <v>337</v>
      </c>
      <c r="E828" s="33">
        <v>11.399999618530273</v>
      </c>
      <c r="F828" s="33">
        <v>5.6999998092651367</v>
      </c>
      <c r="G828" s="33">
        <v>0.5</v>
      </c>
      <c r="H828" s="33">
        <v>3.2999999523162842</v>
      </c>
      <c r="I828" s="33">
        <v>77.400001525878906</v>
      </c>
      <c r="J828" s="33">
        <v>0</v>
      </c>
      <c r="K828" s="33">
        <v>0.14000000059604645</v>
      </c>
      <c r="L828" s="33">
        <v>0</v>
      </c>
      <c r="M828" s="33">
        <v>0</v>
      </c>
      <c r="N828" s="33">
        <v>0</v>
      </c>
      <c r="O828" s="33">
        <v>22.600000381469727</v>
      </c>
      <c r="P828" s="33">
        <v>39</v>
      </c>
      <c r="Q828" s="33">
        <v>2.4000000953674316</v>
      </c>
      <c r="R828" s="34" t="s">
        <v>499</v>
      </c>
      <c r="S828" s="33">
        <v>20</v>
      </c>
      <c r="T828" s="35">
        <v>0</v>
      </c>
    </row>
    <row r="829" spans="1:20">
      <c r="A829" s="31">
        <v>827</v>
      </c>
      <c r="B829" s="33" t="s">
        <v>1156</v>
      </c>
      <c r="C829" s="33">
        <v>100</v>
      </c>
      <c r="D829" s="33">
        <v>343</v>
      </c>
      <c r="E829" s="33">
        <v>10.100000381469727</v>
      </c>
      <c r="F829" s="33">
        <v>5.1999998092651367</v>
      </c>
      <c r="G829" s="33">
        <v>0.60000002384185791</v>
      </c>
      <c r="H829" s="33">
        <v>3.2999999523162842</v>
      </c>
      <c r="I829" s="33">
        <v>79.199996948242188</v>
      </c>
      <c r="J829" s="33">
        <v>0</v>
      </c>
      <c r="K829" s="33">
        <v>0.14000000059604645</v>
      </c>
      <c r="L829" s="33">
        <v>5.000000074505806E-2</v>
      </c>
      <c r="M829" s="33">
        <v>1</v>
      </c>
      <c r="N829" s="33">
        <v>0</v>
      </c>
      <c r="O829" s="33">
        <v>21.100000381469727</v>
      </c>
      <c r="P829" s="33">
        <v>41</v>
      </c>
      <c r="Q829" s="33">
        <v>3.4000000953674316</v>
      </c>
      <c r="R829" s="34" t="s">
        <v>499</v>
      </c>
      <c r="S829" s="33">
        <v>17</v>
      </c>
      <c r="T829" s="35">
        <v>0</v>
      </c>
    </row>
    <row r="830" spans="1:20">
      <c r="A830" s="31">
        <v>828</v>
      </c>
      <c r="B830" s="33" t="s">
        <v>1157</v>
      </c>
      <c r="C830" s="33">
        <v>100</v>
      </c>
      <c r="D830" s="33">
        <v>37</v>
      </c>
      <c r="E830" s="33">
        <v>12.199999809265137</v>
      </c>
      <c r="F830" s="33">
        <v>4.5999999046325684</v>
      </c>
      <c r="G830" s="33">
        <v>0.10000000149011612</v>
      </c>
      <c r="H830" s="33">
        <v>74.400001525878906</v>
      </c>
      <c r="I830" s="33">
        <v>4.4000000953674316</v>
      </c>
      <c r="J830" s="33">
        <v>0</v>
      </c>
      <c r="K830" s="33">
        <v>0</v>
      </c>
      <c r="L830" s="33">
        <v>0.10000000149011612</v>
      </c>
      <c r="M830" s="33">
        <v>0.40000000596046448</v>
      </c>
      <c r="N830" s="33">
        <v>0</v>
      </c>
      <c r="O830" s="33">
        <v>49.900001525878906</v>
      </c>
      <c r="P830" s="33">
        <v>45</v>
      </c>
      <c r="Q830" s="33">
        <v>1.6000000238418579</v>
      </c>
      <c r="R830" s="34" t="s">
        <v>499</v>
      </c>
      <c r="S830" s="33">
        <v>0</v>
      </c>
      <c r="T830" s="35">
        <v>0</v>
      </c>
    </row>
    <row r="831" spans="1:20">
      <c r="A831" s="31">
        <v>829</v>
      </c>
      <c r="B831" s="33" t="s">
        <v>1158</v>
      </c>
      <c r="C831" s="33">
        <v>61</v>
      </c>
      <c r="D831" s="33">
        <v>29</v>
      </c>
      <c r="E831" s="33">
        <v>88</v>
      </c>
      <c r="F831" s="33">
        <v>2.2999999523162842</v>
      </c>
      <c r="G831" s="33">
        <v>0</v>
      </c>
      <c r="H831" s="33">
        <v>3.5999999046325684</v>
      </c>
      <c r="I831" s="33">
        <v>5</v>
      </c>
      <c r="J831" s="33">
        <v>5</v>
      </c>
      <c r="K831" s="33">
        <v>5.9999998658895493E-2</v>
      </c>
      <c r="L831" s="33">
        <v>3.9999999105930328E-2</v>
      </c>
      <c r="M831" s="33">
        <v>0.60000002384185791</v>
      </c>
      <c r="N831" s="33">
        <v>0</v>
      </c>
      <c r="O831" s="33">
        <v>0</v>
      </c>
      <c r="P831" s="33">
        <v>0</v>
      </c>
      <c r="Q831" s="33">
        <v>0</v>
      </c>
      <c r="R831" s="34" t="s">
        <v>499</v>
      </c>
      <c r="S831" s="33">
        <v>13</v>
      </c>
      <c r="T831" s="35">
        <v>0</v>
      </c>
    </row>
    <row r="832" spans="1:20">
      <c r="A832" s="31">
        <v>830</v>
      </c>
      <c r="B832" s="33" t="s">
        <v>1159</v>
      </c>
      <c r="C832" s="33">
        <v>88</v>
      </c>
      <c r="D832" s="33">
        <v>70</v>
      </c>
      <c r="E832" s="33">
        <v>80.5</v>
      </c>
      <c r="F832" s="33">
        <v>1.8999999761581421</v>
      </c>
      <c r="G832" s="33">
        <v>0.20000000298023224</v>
      </c>
      <c r="H832" s="33">
        <v>1.2000000476837158</v>
      </c>
      <c r="I832" s="33">
        <v>15.199999809265137</v>
      </c>
      <c r="J832" s="33">
        <v>3</v>
      </c>
      <c r="K832" s="33">
        <v>9.0000003576278687E-2</v>
      </c>
      <c r="L832" s="33">
        <v>2.9999999329447746E-2</v>
      </c>
      <c r="M832" s="33">
        <v>0.30000001192092896</v>
      </c>
      <c r="N832" s="33">
        <v>0.73000001907348633</v>
      </c>
      <c r="O832" s="33">
        <v>44.200000762939453</v>
      </c>
      <c r="P832" s="33">
        <v>39</v>
      </c>
      <c r="Q832" s="33">
        <v>1.3999999761581421</v>
      </c>
      <c r="R832" s="34" t="s">
        <v>499</v>
      </c>
      <c r="S832" s="33">
        <v>44</v>
      </c>
      <c r="T832" s="35">
        <v>0</v>
      </c>
    </row>
    <row r="833" spans="1:20">
      <c r="A833" s="31">
        <v>831</v>
      </c>
      <c r="B833" s="33" t="s">
        <v>1160</v>
      </c>
      <c r="C833" s="33">
        <v>100</v>
      </c>
      <c r="D833" s="33">
        <v>372</v>
      </c>
      <c r="E833" s="33">
        <v>6.4000000953674316</v>
      </c>
      <c r="F833" s="33">
        <v>0.20000000298023224</v>
      </c>
      <c r="G833" s="33">
        <v>0</v>
      </c>
      <c r="H833" s="33">
        <v>0.10000000149011612</v>
      </c>
      <c r="I833" s="33">
        <v>92.900001525878906</v>
      </c>
      <c r="J833" s="33">
        <v>0</v>
      </c>
      <c r="K833" s="33">
        <v>0</v>
      </c>
      <c r="L833" s="33">
        <v>9.9999997764825821E-3</v>
      </c>
      <c r="M833" s="33">
        <v>0.40000000596046448</v>
      </c>
      <c r="N833" s="33">
        <v>0</v>
      </c>
      <c r="O833" s="33">
        <v>10.800000190734863</v>
      </c>
      <c r="P833" s="33">
        <v>8</v>
      </c>
      <c r="Q833" s="33">
        <v>41.799999237060547</v>
      </c>
      <c r="R833" s="34" t="s">
        <v>499</v>
      </c>
      <c r="S833" s="33">
        <v>0</v>
      </c>
      <c r="T833" s="35">
        <v>0</v>
      </c>
    </row>
    <row r="834" spans="1:20">
      <c r="A834" s="31">
        <v>832</v>
      </c>
      <c r="B834" s="33" t="s">
        <v>1161</v>
      </c>
      <c r="C834" s="33">
        <v>100</v>
      </c>
      <c r="D834" s="33">
        <v>344</v>
      </c>
      <c r="E834" s="33">
        <v>13.600000381469727</v>
      </c>
      <c r="F834" s="33">
        <v>0.40000000596046448</v>
      </c>
      <c r="G834" s="33">
        <v>0.10000000149011612</v>
      </c>
      <c r="H834" s="33">
        <v>0</v>
      </c>
      <c r="I834" s="33">
        <v>85.300003051757813</v>
      </c>
      <c r="J834" s="33">
        <v>0</v>
      </c>
      <c r="K834" s="33">
        <v>0</v>
      </c>
      <c r="L834" s="33">
        <v>9.9999997764825821E-3</v>
      </c>
      <c r="M834" s="33">
        <v>0.20000000298023224</v>
      </c>
      <c r="N834" s="33">
        <v>0</v>
      </c>
      <c r="O834" s="33">
        <v>6.5</v>
      </c>
      <c r="P834" s="33">
        <v>36</v>
      </c>
      <c r="Q834" s="33">
        <v>20.799999237060547</v>
      </c>
      <c r="R834" s="34" t="s">
        <v>499</v>
      </c>
      <c r="S834" s="33">
        <v>0</v>
      </c>
      <c r="T834" s="35">
        <v>0</v>
      </c>
    </row>
    <row r="835" spans="1:20">
      <c r="A835" s="31">
        <v>833</v>
      </c>
      <c r="B835" s="33" t="s">
        <v>1162</v>
      </c>
      <c r="C835" s="33">
        <v>78</v>
      </c>
      <c r="D835" s="33">
        <v>30</v>
      </c>
      <c r="E835" s="33">
        <v>90.800003051757813</v>
      </c>
      <c r="F835" s="33">
        <v>1.2999999523162842</v>
      </c>
      <c r="G835" s="33">
        <v>0.20000000298023224</v>
      </c>
      <c r="H835" s="33">
        <v>1.2999999523162842</v>
      </c>
      <c r="I835" s="33">
        <v>5.6999998092651367</v>
      </c>
      <c r="J835" s="33">
        <v>3</v>
      </c>
      <c r="K835" s="33">
        <v>3.9999999105930328E-2</v>
      </c>
      <c r="L835" s="33">
        <v>1.9999999552965164E-2</v>
      </c>
      <c r="M835" s="33">
        <v>0.5</v>
      </c>
      <c r="N835" s="33">
        <v>0.12999999523162842</v>
      </c>
      <c r="O835" s="33">
        <v>29.799999237060547</v>
      </c>
      <c r="P835" s="33">
        <v>25</v>
      </c>
      <c r="Q835" s="33">
        <v>0.30000001192092896</v>
      </c>
      <c r="R835" s="34" t="s">
        <v>499</v>
      </c>
      <c r="S835" s="33">
        <v>41</v>
      </c>
      <c r="T835" s="35">
        <v>0</v>
      </c>
    </row>
    <row r="836" spans="1:20">
      <c r="A836" s="31">
        <v>834</v>
      </c>
      <c r="B836" s="33" t="s">
        <v>1163</v>
      </c>
      <c r="C836" s="33">
        <v>83</v>
      </c>
      <c r="D836" s="33">
        <v>56</v>
      </c>
      <c r="E836" s="33">
        <v>84.800003051757813</v>
      </c>
      <c r="F836" s="33">
        <v>1.8999999761581421</v>
      </c>
      <c r="G836" s="33">
        <v>0.20000000298023224</v>
      </c>
      <c r="H836" s="33">
        <v>0.80000001192092896</v>
      </c>
      <c r="I836" s="33">
        <v>11.600000381469727</v>
      </c>
      <c r="J836" s="33">
        <v>7</v>
      </c>
      <c r="K836" s="33">
        <v>5.000000074505806E-2</v>
      </c>
      <c r="L836" s="33">
        <v>1.9999999552965164E-2</v>
      </c>
      <c r="M836" s="33">
        <v>0.30000001192092896</v>
      </c>
      <c r="N836" s="33">
        <v>0.23999999463558197</v>
      </c>
      <c r="O836" s="33">
        <v>18.600000381469727</v>
      </c>
      <c r="P836" s="33">
        <v>16</v>
      </c>
      <c r="Q836" s="33">
        <v>0.30000001192092896</v>
      </c>
      <c r="R836" s="34" t="s">
        <v>499</v>
      </c>
      <c r="S836" s="33">
        <v>5</v>
      </c>
      <c r="T836" s="35">
        <v>0</v>
      </c>
    </row>
    <row r="837" spans="1:20">
      <c r="A837" s="31">
        <v>835</v>
      </c>
      <c r="B837" s="33" t="s">
        <v>1164</v>
      </c>
      <c r="C837" s="33">
        <v>100</v>
      </c>
      <c r="D837" s="33">
        <v>324</v>
      </c>
      <c r="E837" s="33">
        <v>15</v>
      </c>
      <c r="F837" s="33">
        <v>9.3999996185302734</v>
      </c>
      <c r="G837" s="33">
        <v>1</v>
      </c>
      <c r="H837" s="33">
        <v>1.3999999761581421</v>
      </c>
      <c r="I837" s="33">
        <v>69.400001525878906</v>
      </c>
      <c r="J837" s="33">
        <v>0</v>
      </c>
      <c r="K837" s="33">
        <v>0.25</v>
      </c>
      <c r="L837" s="33">
        <v>0.2800000011920929</v>
      </c>
      <c r="M837" s="33">
        <v>0</v>
      </c>
      <c r="N837" s="33">
        <v>0.43999999761581421</v>
      </c>
      <c r="O837" s="33">
        <v>104.19999694824219</v>
      </c>
      <c r="P837" s="33">
        <v>62</v>
      </c>
      <c r="Q837" s="33">
        <v>0.40000000596046448</v>
      </c>
      <c r="R837" s="34" t="s">
        <v>499</v>
      </c>
      <c r="S837" s="33">
        <v>0</v>
      </c>
      <c r="T837" s="35">
        <v>0</v>
      </c>
    </row>
    <row r="838" spans="1:20">
      <c r="A838" s="31">
        <v>836</v>
      </c>
      <c r="B838" s="33" t="s">
        <v>1165</v>
      </c>
      <c r="C838" s="33">
        <v>90</v>
      </c>
      <c r="D838" s="33">
        <v>75</v>
      </c>
      <c r="E838" s="33">
        <v>74.800003051757813</v>
      </c>
      <c r="F838" s="33">
        <v>1</v>
      </c>
      <c r="G838" s="33">
        <v>0.10000000149011612</v>
      </c>
      <c r="H838" s="33">
        <v>5.9000000953674316</v>
      </c>
      <c r="I838" s="33">
        <v>17.600000381469727</v>
      </c>
      <c r="J838" s="33">
        <v>0</v>
      </c>
      <c r="K838" s="33">
        <v>5.000000074505806E-2</v>
      </c>
      <c r="L838" s="33">
        <v>3.9999999105930328E-2</v>
      </c>
      <c r="M838" s="33">
        <v>0.20000000298023224</v>
      </c>
      <c r="N838" s="33">
        <v>1.8500000238418579</v>
      </c>
      <c r="O838" s="33">
        <v>20.799999237060547</v>
      </c>
      <c r="P838" s="33">
        <v>56</v>
      </c>
      <c r="Q838" s="33">
        <v>0.89999997615814209</v>
      </c>
      <c r="R838" s="34" t="s">
        <v>499</v>
      </c>
      <c r="S838" s="33">
        <v>8</v>
      </c>
      <c r="T838" s="35">
        <v>0</v>
      </c>
    </row>
    <row r="839" spans="1:20">
      <c r="A839" s="31">
        <v>837</v>
      </c>
      <c r="B839" s="33" t="s">
        <v>1166</v>
      </c>
      <c r="C839" s="33">
        <v>100</v>
      </c>
      <c r="D839" s="33">
        <v>14</v>
      </c>
      <c r="E839" s="33">
        <v>95.199996948242188</v>
      </c>
      <c r="F839" s="33">
        <v>1.1000000238418579</v>
      </c>
      <c r="G839" s="33">
        <v>0.20000000298023224</v>
      </c>
      <c r="H839" s="33">
        <v>0.5</v>
      </c>
      <c r="I839" s="33">
        <v>1.8999999761581421</v>
      </c>
      <c r="J839" s="33">
        <v>5</v>
      </c>
      <c r="K839" s="33">
        <v>1.9999999552965164E-2</v>
      </c>
      <c r="L839" s="33">
        <v>1.9999999552965164E-2</v>
      </c>
      <c r="M839" s="33">
        <v>0.60000002384185791</v>
      </c>
      <c r="N839" s="33">
        <v>0.86000001430511475</v>
      </c>
      <c r="O839" s="33">
        <v>43.099998474121094</v>
      </c>
      <c r="P839" s="33">
        <v>48</v>
      </c>
      <c r="Q839" s="33">
        <v>1.6000000238418579</v>
      </c>
      <c r="R839" s="34" t="s">
        <v>526</v>
      </c>
      <c r="S839" s="33">
        <v>2</v>
      </c>
      <c r="T839" s="35">
        <v>0</v>
      </c>
    </row>
    <row r="840" spans="1:20">
      <c r="A840" s="31">
        <v>838</v>
      </c>
      <c r="B840" s="33" t="s">
        <v>1167</v>
      </c>
      <c r="C840" s="33">
        <v>85</v>
      </c>
      <c r="D840" s="33">
        <v>14</v>
      </c>
      <c r="E840" s="33">
        <v>95.199996948242188</v>
      </c>
      <c r="F840" s="33">
        <v>1.2999999523162842</v>
      </c>
      <c r="G840" s="33">
        <v>0.10000000149011612</v>
      </c>
      <c r="H840" s="33">
        <v>0.89999997615814209</v>
      </c>
      <c r="I840" s="33">
        <v>1.8999999761581421</v>
      </c>
      <c r="J840" s="33">
        <v>5</v>
      </c>
      <c r="K840" s="33">
        <v>1.9999999552965164E-2</v>
      </c>
      <c r="L840" s="33">
        <v>2.9999999329447746E-2</v>
      </c>
      <c r="M840" s="33">
        <v>0.5</v>
      </c>
      <c r="N840" s="33">
        <v>0.20999999344348907</v>
      </c>
      <c r="O840" s="33">
        <v>34.799999237060547</v>
      </c>
      <c r="P840" s="33">
        <v>45</v>
      </c>
      <c r="Q840" s="33">
        <v>0.89999997615814209</v>
      </c>
      <c r="R840" s="34" t="s">
        <v>526</v>
      </c>
      <c r="S840" s="33">
        <v>19</v>
      </c>
      <c r="T840" s="35">
        <v>0</v>
      </c>
    </row>
    <row r="841" spans="1:20">
      <c r="A841" s="31">
        <v>839</v>
      </c>
      <c r="B841" s="33" t="s">
        <v>1168</v>
      </c>
      <c r="C841" s="33">
        <v>82</v>
      </c>
      <c r="D841" s="33">
        <v>30</v>
      </c>
      <c r="E841" s="33">
        <v>91</v>
      </c>
      <c r="F841" s="33">
        <v>1.7000000476837158</v>
      </c>
      <c r="G841" s="33">
        <v>0.30000001192092896</v>
      </c>
      <c r="H841" s="33">
        <v>1.2999999523162842</v>
      </c>
      <c r="I841" s="33">
        <v>5.1999998092651367</v>
      </c>
      <c r="J841" s="33">
        <v>10</v>
      </c>
      <c r="K841" s="33">
        <v>2.9999999329447746E-2</v>
      </c>
      <c r="L841" s="33">
        <v>5.000000074505806E-2</v>
      </c>
      <c r="M841" s="33">
        <v>0.5</v>
      </c>
      <c r="N841" s="33">
        <v>0.30000001192092896</v>
      </c>
      <c r="O841" s="33">
        <v>4.8000001907348633</v>
      </c>
      <c r="P841" s="33">
        <v>29</v>
      </c>
      <c r="Q841" s="33">
        <v>0.69999998807907104</v>
      </c>
      <c r="R841" s="34" t="s">
        <v>526</v>
      </c>
      <c r="S841" s="33">
        <v>17</v>
      </c>
      <c r="T841" s="35">
        <v>0</v>
      </c>
    </row>
    <row r="842" spans="1:20">
      <c r="A842" s="31">
        <v>840</v>
      </c>
      <c r="B842" s="33" t="s">
        <v>1169</v>
      </c>
      <c r="C842" s="33">
        <v>85</v>
      </c>
      <c r="D842" s="33">
        <v>126</v>
      </c>
      <c r="E842" s="33">
        <v>66.599998474121094</v>
      </c>
      <c r="F842" s="33">
        <v>4.5</v>
      </c>
      <c r="G842" s="33">
        <v>0.20000000298023224</v>
      </c>
      <c r="H842" s="33">
        <v>1.1000000238418579</v>
      </c>
      <c r="I842" s="33">
        <v>26.5</v>
      </c>
      <c r="J842" s="33">
        <v>5</v>
      </c>
      <c r="K842" s="33">
        <v>3.9999999105930328E-2</v>
      </c>
      <c r="L842" s="33">
        <v>5.9999998658895493E-2</v>
      </c>
      <c r="M842" s="33">
        <v>0.60000002384185791</v>
      </c>
      <c r="N842" s="33">
        <v>1.0700000524520874</v>
      </c>
      <c r="O842" s="33">
        <v>19.600000381469727</v>
      </c>
      <c r="P842" s="33">
        <v>39</v>
      </c>
      <c r="Q842" s="33">
        <v>1.2000000476837158</v>
      </c>
      <c r="R842" s="34" t="s">
        <v>526</v>
      </c>
      <c r="S842" s="33">
        <v>7</v>
      </c>
      <c r="T842" s="35">
        <v>0</v>
      </c>
    </row>
    <row r="843" spans="1:20">
      <c r="A843" s="31">
        <v>841</v>
      </c>
      <c r="B843" s="33" t="s">
        <v>1170</v>
      </c>
      <c r="C843" s="33">
        <v>100</v>
      </c>
      <c r="D843" s="33">
        <v>339</v>
      </c>
      <c r="E843" s="33">
        <v>7.3000001907348633</v>
      </c>
      <c r="F843" s="33">
        <v>13.199999809265137</v>
      </c>
      <c r="G843" s="33">
        <v>0.30000001192092896</v>
      </c>
      <c r="H843" s="33">
        <v>4.5</v>
      </c>
      <c r="I843" s="33">
        <v>70.900001525878906</v>
      </c>
      <c r="J843" s="33">
        <v>0</v>
      </c>
      <c r="K843" s="33">
        <v>0.28999999165534973</v>
      </c>
      <c r="L843" s="33">
        <v>0</v>
      </c>
      <c r="M843" s="33">
        <v>0</v>
      </c>
      <c r="N843" s="33">
        <v>0</v>
      </c>
      <c r="O843" s="33">
        <v>36.799999237060547</v>
      </c>
      <c r="P843" s="33">
        <v>65</v>
      </c>
      <c r="Q843" s="33">
        <v>6.5999999046325684</v>
      </c>
      <c r="R843" s="34" t="s">
        <v>526</v>
      </c>
      <c r="S843" s="33">
        <v>79</v>
      </c>
      <c r="T843" s="35">
        <v>0</v>
      </c>
    </row>
    <row r="844" spans="1:20">
      <c r="A844" s="31">
        <v>842</v>
      </c>
      <c r="B844" s="33" t="s">
        <v>1171</v>
      </c>
      <c r="C844" s="33">
        <v>89</v>
      </c>
      <c r="D844" s="33">
        <v>136</v>
      </c>
      <c r="E844" s="33">
        <v>63.799999237060547</v>
      </c>
      <c r="F844" s="33">
        <v>5.1999998092651367</v>
      </c>
      <c r="G844" s="33">
        <v>0.20000000298023224</v>
      </c>
      <c r="H844" s="33">
        <v>1.2000000476837158</v>
      </c>
      <c r="I844" s="33">
        <v>28.399999618530273</v>
      </c>
      <c r="J844" s="33">
        <v>3</v>
      </c>
      <c r="K844" s="33">
        <v>0.28999999165534973</v>
      </c>
      <c r="L844" s="33">
        <v>5.9999998658895493E-2</v>
      </c>
      <c r="M844" s="33">
        <v>0.80000001192092896</v>
      </c>
      <c r="N844" s="33">
        <v>0.68000000715255737</v>
      </c>
      <c r="O844" s="33">
        <v>8.3000001907348633</v>
      </c>
      <c r="P844" s="33">
        <v>10</v>
      </c>
      <c r="Q844" s="33">
        <v>1.2999999523162842</v>
      </c>
      <c r="R844" s="34" t="s">
        <v>526</v>
      </c>
      <c r="S844" s="33">
        <v>7</v>
      </c>
      <c r="T844" s="35">
        <v>0</v>
      </c>
    </row>
    <row r="845" spans="1:20">
      <c r="A845" s="31">
        <v>843</v>
      </c>
      <c r="B845" s="33" t="s">
        <v>1172</v>
      </c>
      <c r="C845" s="33">
        <v>58</v>
      </c>
      <c r="D845" s="33">
        <v>30</v>
      </c>
      <c r="E845" s="33">
        <v>89.599998474121094</v>
      </c>
      <c r="F845" s="33">
        <v>3.9000000953674316</v>
      </c>
      <c r="G845" s="33">
        <v>0.40000000596046448</v>
      </c>
      <c r="H845" s="33">
        <v>2.2000000476837158</v>
      </c>
      <c r="I845" s="33">
        <v>2.7000000476837158</v>
      </c>
      <c r="J845" s="33">
        <v>1158</v>
      </c>
      <c r="K845" s="33">
        <v>0.15000000596046448</v>
      </c>
      <c r="L845" s="33">
        <v>5.000000074505806E-2</v>
      </c>
      <c r="M845" s="33">
        <v>0.60000002384185791</v>
      </c>
      <c r="N845" s="33">
        <v>0</v>
      </c>
      <c r="O845" s="33">
        <v>14</v>
      </c>
      <c r="P845" s="33">
        <v>82</v>
      </c>
      <c r="Q845" s="33">
        <v>2.4000000953674316</v>
      </c>
      <c r="R845" s="34" t="s">
        <v>526</v>
      </c>
      <c r="S845" s="33">
        <v>20</v>
      </c>
      <c r="T845" s="35">
        <v>0</v>
      </c>
    </row>
    <row r="846" spans="1:20">
      <c r="A846" s="31">
        <v>844</v>
      </c>
      <c r="B846" s="33" t="s">
        <v>1173</v>
      </c>
      <c r="C846" s="33">
        <v>49</v>
      </c>
      <c r="D846" s="33">
        <v>44</v>
      </c>
      <c r="E846" s="33">
        <v>87.800003051757813</v>
      </c>
      <c r="F846" s="33">
        <v>5.5999999046325684</v>
      </c>
      <c r="G846" s="33">
        <v>1.1000000238418579</v>
      </c>
      <c r="H846" s="33">
        <v>1.6000000238418579</v>
      </c>
      <c r="I846" s="33">
        <v>2.9000000953674316</v>
      </c>
      <c r="J846" s="33">
        <v>0</v>
      </c>
      <c r="K846" s="33">
        <v>7.9999998211860657E-2</v>
      </c>
      <c r="L846" s="33">
        <v>0.31999999284744263</v>
      </c>
      <c r="M846" s="33">
        <v>1.2999999523162842</v>
      </c>
      <c r="N846" s="33">
        <v>2.9900000095367432</v>
      </c>
      <c r="O846" s="33">
        <v>29.799999237060547</v>
      </c>
      <c r="P846" s="33">
        <v>36</v>
      </c>
      <c r="Q846" s="33">
        <v>2.4000000953674316</v>
      </c>
      <c r="R846" s="34" t="s">
        <v>526</v>
      </c>
      <c r="S846" s="33">
        <v>58</v>
      </c>
      <c r="T846" s="35">
        <v>0</v>
      </c>
    </row>
    <row r="847" spans="1:20">
      <c r="A847" s="31">
        <v>845</v>
      </c>
      <c r="B847" s="33" t="s">
        <v>1174</v>
      </c>
      <c r="C847" s="33">
        <v>83</v>
      </c>
      <c r="D847" s="33">
        <v>14</v>
      </c>
      <c r="E847" s="33">
        <v>95.099998474121094</v>
      </c>
      <c r="F847" s="33">
        <v>1.7000000476837158</v>
      </c>
      <c r="G847" s="33">
        <v>0.30000001192092896</v>
      </c>
      <c r="H847" s="33">
        <v>1</v>
      </c>
      <c r="I847" s="33">
        <v>1.1000000238418579</v>
      </c>
      <c r="J847" s="33">
        <v>63</v>
      </c>
      <c r="K847" s="33">
        <v>9.9999997764825821E-3</v>
      </c>
      <c r="L847" s="33">
        <v>0.10000000149011612</v>
      </c>
      <c r="M847" s="33">
        <v>0.40000000596046448</v>
      </c>
      <c r="N847" s="33">
        <v>0</v>
      </c>
      <c r="O847" s="33">
        <v>260</v>
      </c>
      <c r="P847" s="33">
        <v>70</v>
      </c>
      <c r="Q847" s="33">
        <v>1</v>
      </c>
      <c r="R847" s="34" t="s">
        <v>526</v>
      </c>
      <c r="S847" s="33">
        <v>23</v>
      </c>
      <c r="T847" s="35">
        <v>0</v>
      </c>
    </row>
    <row r="848" spans="1:20">
      <c r="A848" s="31">
        <v>846</v>
      </c>
      <c r="B848" s="33" t="s">
        <v>1175</v>
      </c>
      <c r="C848" s="33">
        <v>52</v>
      </c>
      <c r="D848" s="33">
        <v>29</v>
      </c>
      <c r="E848" s="33">
        <v>91.099998474121094</v>
      </c>
      <c r="F848" s="33">
        <v>2.9000000953674316</v>
      </c>
      <c r="G848" s="33">
        <v>0</v>
      </c>
      <c r="H848" s="33">
        <v>0.89999997615814209</v>
      </c>
      <c r="I848" s="33">
        <v>4.3000001907348633</v>
      </c>
      <c r="J848" s="33">
        <v>13</v>
      </c>
      <c r="K848" s="33">
        <v>5.000000074505806E-2</v>
      </c>
      <c r="L848" s="33">
        <v>3.9999999105930328E-2</v>
      </c>
      <c r="M848" s="33">
        <v>0.89999997615814209</v>
      </c>
      <c r="N848" s="33">
        <v>0.50999999046325684</v>
      </c>
      <c r="O848" s="33">
        <v>1.5</v>
      </c>
      <c r="P848" s="33">
        <v>26</v>
      </c>
      <c r="Q848" s="33">
        <v>2.5</v>
      </c>
      <c r="R848" s="34" t="s">
        <v>526</v>
      </c>
      <c r="S848" s="33">
        <v>57</v>
      </c>
      <c r="T848" s="35">
        <v>0</v>
      </c>
    </row>
    <row r="849" spans="1:20">
      <c r="A849" s="31">
        <v>847</v>
      </c>
      <c r="B849" s="33" t="s">
        <v>1176</v>
      </c>
      <c r="C849" s="33">
        <v>100</v>
      </c>
      <c r="D849" s="33">
        <v>73</v>
      </c>
      <c r="E849" s="33">
        <v>82.199996948242188</v>
      </c>
      <c r="F849" s="33">
        <v>1.7000000476837158</v>
      </c>
      <c r="G849" s="33">
        <v>0.40000000596046448</v>
      </c>
      <c r="H849" s="33">
        <v>0</v>
      </c>
      <c r="I849" s="33">
        <v>15.699999809265137</v>
      </c>
      <c r="J849" s="33">
        <v>162</v>
      </c>
      <c r="K849" s="33">
        <v>3.9999999105930328E-2</v>
      </c>
      <c r="L849" s="33">
        <v>0</v>
      </c>
      <c r="M849" s="33">
        <v>0</v>
      </c>
      <c r="N849" s="33">
        <v>3.6500000953674316</v>
      </c>
      <c r="O849" s="33">
        <v>74.599998474121094</v>
      </c>
      <c r="P849" s="33">
        <v>350</v>
      </c>
      <c r="Q849" s="33">
        <v>8.1000003814697266</v>
      </c>
      <c r="R849" s="34" t="s">
        <v>526</v>
      </c>
      <c r="S849" s="33">
        <v>41</v>
      </c>
      <c r="T849" s="35">
        <v>0</v>
      </c>
    </row>
    <row r="850" spans="1:20">
      <c r="A850" s="31">
        <v>848</v>
      </c>
      <c r="B850" s="33" t="s">
        <v>1177</v>
      </c>
      <c r="C850" s="33">
        <v>68</v>
      </c>
      <c r="D850" s="33">
        <v>46</v>
      </c>
      <c r="E850" s="33">
        <v>86.199996948242188</v>
      </c>
      <c r="F850" s="33">
        <v>2.4000000953674316</v>
      </c>
      <c r="G850" s="33">
        <v>0.10000000149011612</v>
      </c>
      <c r="H850" s="33">
        <v>1.2999999523162842</v>
      </c>
      <c r="I850" s="33">
        <v>8.8999996185302734</v>
      </c>
      <c r="J850" s="33">
        <v>8</v>
      </c>
      <c r="K850" s="33">
        <v>9.9999997764825821E-3</v>
      </c>
      <c r="L850" s="33">
        <v>0.11999999731779099</v>
      </c>
      <c r="M850" s="33">
        <v>0.5</v>
      </c>
      <c r="N850" s="33">
        <v>0</v>
      </c>
      <c r="O850" s="33">
        <v>3.4000000953674316</v>
      </c>
      <c r="P850" s="33">
        <v>24</v>
      </c>
      <c r="Q850" s="33">
        <v>0</v>
      </c>
      <c r="R850" s="34" t="s">
        <v>526</v>
      </c>
      <c r="S850" s="33">
        <v>8</v>
      </c>
      <c r="T850" s="35">
        <v>0</v>
      </c>
    </row>
    <row r="851" spans="1:20">
      <c r="A851" s="31">
        <v>849</v>
      </c>
      <c r="B851" s="33" t="s">
        <v>1178</v>
      </c>
      <c r="C851" s="33">
        <v>86</v>
      </c>
      <c r="D851" s="33">
        <v>24</v>
      </c>
      <c r="E851" s="33">
        <v>91.199996948242188</v>
      </c>
      <c r="F851" s="33">
        <v>2.5</v>
      </c>
      <c r="G851" s="33">
        <v>0.40000000596046448</v>
      </c>
      <c r="H851" s="33">
        <v>1.6000000238418579</v>
      </c>
      <c r="I851" s="33">
        <v>2.5999999046325684</v>
      </c>
      <c r="J851" s="33">
        <v>402</v>
      </c>
      <c r="K851" s="33">
        <v>5.9999998658895493E-2</v>
      </c>
      <c r="L851" s="33">
        <v>9.0000003576278687E-2</v>
      </c>
      <c r="M851" s="33">
        <v>0.80000001192092896</v>
      </c>
      <c r="N851" s="33">
        <v>0.93999999761581421</v>
      </c>
      <c r="O851" s="33">
        <v>186.30000305175781</v>
      </c>
      <c r="P851" s="33">
        <v>154</v>
      </c>
      <c r="Q851" s="33">
        <v>1.2000000476837158</v>
      </c>
      <c r="R851" s="34" t="s">
        <v>526</v>
      </c>
      <c r="S851" s="33">
        <v>26</v>
      </c>
      <c r="T851" s="35">
        <v>0</v>
      </c>
    </row>
    <row r="852" spans="1:20">
      <c r="A852" s="31">
        <v>850</v>
      </c>
      <c r="B852" s="33" t="s">
        <v>1179</v>
      </c>
      <c r="C852" s="33">
        <v>74</v>
      </c>
      <c r="D852" s="33">
        <v>23</v>
      </c>
      <c r="E852" s="33">
        <v>92.199996948242188</v>
      </c>
      <c r="F852" s="33">
        <v>1.2000000476837158</v>
      </c>
      <c r="G852" s="33">
        <v>0.20000000298023224</v>
      </c>
      <c r="H852" s="33">
        <v>1.8999999761581421</v>
      </c>
      <c r="I852" s="33">
        <v>4</v>
      </c>
      <c r="J852" s="33">
        <v>5</v>
      </c>
      <c r="K852" s="33">
        <v>1.9999999552965164E-2</v>
      </c>
      <c r="L852" s="33">
        <v>2.9999999329447746E-2</v>
      </c>
      <c r="M852" s="33">
        <v>0.5</v>
      </c>
      <c r="N852" s="33">
        <v>0.99000000953674316</v>
      </c>
      <c r="O852" s="33">
        <v>5.8000001907348633</v>
      </c>
      <c r="P852" s="33">
        <v>4</v>
      </c>
      <c r="Q852" s="33">
        <v>0.40000000596046448</v>
      </c>
      <c r="R852" s="34" t="s">
        <v>526</v>
      </c>
      <c r="S852" s="33">
        <v>5</v>
      </c>
      <c r="T852" s="35">
        <v>0</v>
      </c>
    </row>
    <row r="853" spans="1:20">
      <c r="A853" s="31">
        <v>851</v>
      </c>
      <c r="B853" s="33" t="s">
        <v>1180</v>
      </c>
      <c r="C853" s="33">
        <v>71</v>
      </c>
      <c r="D853" s="33">
        <v>14</v>
      </c>
      <c r="E853" s="33">
        <v>94.599998474121094</v>
      </c>
      <c r="F853" s="33">
        <v>1.7999999523162842</v>
      </c>
      <c r="G853" s="33">
        <v>0.40000000596046448</v>
      </c>
      <c r="H853" s="33">
        <v>1.2000000476837158</v>
      </c>
      <c r="I853" s="33">
        <v>0.80000001192092896</v>
      </c>
      <c r="J853" s="33">
        <v>283</v>
      </c>
      <c r="K853" s="33">
        <v>1.9999999552965164E-2</v>
      </c>
      <c r="L853" s="33">
        <v>0.10999999940395355</v>
      </c>
      <c r="M853" s="33">
        <v>0.5</v>
      </c>
      <c r="N853" s="33">
        <v>0.63999998569488525</v>
      </c>
      <c r="O853" s="33">
        <v>29</v>
      </c>
      <c r="P853" s="33">
        <v>28</v>
      </c>
      <c r="Q853" s="33">
        <v>1</v>
      </c>
      <c r="R853" s="34" t="s">
        <v>526</v>
      </c>
      <c r="S853" s="33">
        <v>72</v>
      </c>
      <c r="T853" s="35">
        <v>0</v>
      </c>
    </row>
    <row r="854" spans="1:20">
      <c r="A854" s="31">
        <v>852</v>
      </c>
      <c r="B854" s="33" t="s">
        <v>1181</v>
      </c>
      <c r="C854" s="33">
        <v>78</v>
      </c>
      <c r="D854" s="33">
        <v>19</v>
      </c>
      <c r="E854" s="33">
        <v>93.199996948242188</v>
      </c>
      <c r="F854" s="33">
        <v>2.7999999523162842</v>
      </c>
      <c r="G854" s="33">
        <v>0.40000000596046448</v>
      </c>
      <c r="H854" s="33">
        <v>1.6000000238418579</v>
      </c>
      <c r="I854" s="33">
        <v>1</v>
      </c>
      <c r="J854" s="33">
        <v>575</v>
      </c>
      <c r="K854" s="33">
        <v>1.9999999552965164E-2</v>
      </c>
      <c r="L854" s="33">
        <v>9.0000003576278687E-2</v>
      </c>
      <c r="M854" s="33">
        <v>1</v>
      </c>
      <c r="N854" s="33">
        <v>0.95999997854232788</v>
      </c>
      <c r="O854" s="33">
        <v>50.5</v>
      </c>
      <c r="P854" s="33">
        <v>128</v>
      </c>
      <c r="Q854" s="33">
        <v>2</v>
      </c>
      <c r="R854" s="34" t="s">
        <v>526</v>
      </c>
      <c r="S854" s="33">
        <v>51</v>
      </c>
      <c r="T854" s="35">
        <v>0</v>
      </c>
    </row>
    <row r="855" spans="1:20">
      <c r="A855" s="31">
        <v>853</v>
      </c>
      <c r="B855" s="33" t="s">
        <v>1182</v>
      </c>
      <c r="C855" s="33">
        <v>92</v>
      </c>
      <c r="D855" s="33">
        <v>5</v>
      </c>
      <c r="E855" s="33">
        <v>95.400001525878906</v>
      </c>
      <c r="F855" s="33">
        <v>1.2999999523162842</v>
      </c>
      <c r="G855" s="33">
        <v>0.20000000298023224</v>
      </c>
      <c r="H855" s="33">
        <v>2.7999999523162842</v>
      </c>
      <c r="I855" s="33">
        <v>0</v>
      </c>
      <c r="J855" s="33">
        <v>47</v>
      </c>
      <c r="K855" s="33">
        <v>0</v>
      </c>
      <c r="L855" s="33">
        <v>1.9999999552965164E-2</v>
      </c>
      <c r="M855" s="33">
        <v>0.30000001192092896</v>
      </c>
      <c r="N855" s="33">
        <v>1.2899999618530273</v>
      </c>
      <c r="O855" s="33">
        <v>41.099998474121094</v>
      </c>
      <c r="P855" s="33">
        <v>23</v>
      </c>
      <c r="Q855" s="33">
        <v>0.69999998807907104</v>
      </c>
      <c r="R855" s="34" t="s">
        <v>526</v>
      </c>
      <c r="S855" s="33">
        <v>76</v>
      </c>
      <c r="T855" s="35">
        <v>0</v>
      </c>
    </row>
    <row r="856" spans="1:20">
      <c r="A856" s="31">
        <v>854</v>
      </c>
      <c r="B856" s="33" t="s">
        <v>1183</v>
      </c>
      <c r="C856" s="33">
        <v>88</v>
      </c>
      <c r="D856" s="33">
        <v>24</v>
      </c>
      <c r="E856" s="33">
        <v>92.599998474121094</v>
      </c>
      <c r="F856" s="33">
        <v>2.5</v>
      </c>
      <c r="G856" s="33">
        <v>0.40000000596046448</v>
      </c>
      <c r="H856" s="33">
        <v>1</v>
      </c>
      <c r="I856" s="33">
        <v>2.5999999046325684</v>
      </c>
      <c r="J856" s="33">
        <v>242</v>
      </c>
      <c r="K856" s="33">
        <v>5.000000074505806E-2</v>
      </c>
      <c r="L856" s="33">
        <v>0.10000000149011612</v>
      </c>
      <c r="M856" s="33">
        <v>0.69999998807907104</v>
      </c>
      <c r="N856" s="33">
        <v>2.059999942779541</v>
      </c>
      <c r="O856" s="33">
        <v>38.900001525878906</v>
      </c>
      <c r="P856" s="33">
        <v>80</v>
      </c>
      <c r="Q856" s="33">
        <v>1.5</v>
      </c>
      <c r="R856" s="34" t="s">
        <v>526</v>
      </c>
      <c r="S856" s="33">
        <v>7</v>
      </c>
      <c r="T856" s="35">
        <v>0</v>
      </c>
    </row>
    <row r="857" spans="1:20">
      <c r="A857" s="31">
        <v>855</v>
      </c>
      <c r="B857" s="33" t="s">
        <v>1184</v>
      </c>
      <c r="C857" s="33">
        <v>98</v>
      </c>
      <c r="D857" s="33">
        <v>199</v>
      </c>
      <c r="E857" s="33">
        <v>40.299999237060547</v>
      </c>
      <c r="F857" s="33">
        <v>19.399999618530273</v>
      </c>
      <c r="G857" s="33">
        <v>1.3999999761581421</v>
      </c>
      <c r="H857" s="33">
        <v>7.6999998092651367</v>
      </c>
      <c r="I857" s="33">
        <v>27.200000762939453</v>
      </c>
      <c r="J857" s="33">
        <v>307</v>
      </c>
      <c r="K857" s="33">
        <v>5.000000074505806E-2</v>
      </c>
      <c r="L857" s="33">
        <v>0.20999999344348907</v>
      </c>
      <c r="M857" s="33">
        <v>3.0999999046325684</v>
      </c>
      <c r="N857" s="33">
        <v>4.9200000762939453</v>
      </c>
      <c r="O857" s="33">
        <v>59.200000762939453</v>
      </c>
      <c r="P857" s="33">
        <v>301</v>
      </c>
      <c r="Q857" s="33">
        <v>8.1000003814697266</v>
      </c>
      <c r="R857" s="34" t="s">
        <v>526</v>
      </c>
      <c r="S857" s="33">
        <v>10</v>
      </c>
      <c r="T857" s="35">
        <v>0</v>
      </c>
    </row>
    <row r="858" spans="1:20">
      <c r="A858" s="31">
        <v>856</v>
      </c>
      <c r="B858" s="33" t="s">
        <v>1185</v>
      </c>
      <c r="C858" s="33">
        <v>90</v>
      </c>
      <c r="D858" s="33">
        <v>26</v>
      </c>
      <c r="E858" s="33">
        <v>91.800003051757813</v>
      </c>
      <c r="F858" s="33">
        <v>2.4000000953674316</v>
      </c>
      <c r="G858" s="33">
        <v>0.40000000596046448</v>
      </c>
      <c r="H858" s="33">
        <v>1.3999999761581421</v>
      </c>
      <c r="I858" s="33">
        <v>3.2000000476837158</v>
      </c>
      <c r="J858" s="33">
        <v>235</v>
      </c>
      <c r="K858" s="33">
        <v>1.9999999552965164E-2</v>
      </c>
      <c r="L858" s="33">
        <v>9.0000003576278687E-2</v>
      </c>
      <c r="M858" s="33">
        <v>0.80000001192092896</v>
      </c>
      <c r="N858" s="33">
        <v>0.95999997854232788</v>
      </c>
      <c r="O858" s="33">
        <v>8.1000003814697266</v>
      </c>
      <c r="P858" s="33">
        <v>42</v>
      </c>
      <c r="Q858" s="33">
        <v>1.6000000238418579</v>
      </c>
      <c r="R858" s="34" t="s">
        <v>526</v>
      </c>
      <c r="S858" s="33">
        <v>24</v>
      </c>
      <c r="T858" s="35">
        <v>0</v>
      </c>
    </row>
    <row r="859" spans="1:20">
      <c r="A859" s="31">
        <v>857</v>
      </c>
      <c r="B859" s="33" t="s">
        <v>1186</v>
      </c>
      <c r="C859" s="33">
        <v>88</v>
      </c>
      <c r="D859" s="33">
        <v>22</v>
      </c>
      <c r="E859" s="33">
        <v>93.199996948242188</v>
      </c>
      <c r="F859" s="33">
        <v>2.2999999523162842</v>
      </c>
      <c r="G859" s="33">
        <v>0.20000000298023224</v>
      </c>
      <c r="H859" s="33">
        <v>1.2000000476837158</v>
      </c>
      <c r="I859" s="33">
        <v>2.7000000476837158</v>
      </c>
      <c r="J859" s="33">
        <v>43</v>
      </c>
      <c r="K859" s="33">
        <v>2.9999999329447746E-2</v>
      </c>
      <c r="L859" s="33">
        <v>5.000000074505806E-2</v>
      </c>
      <c r="M859" s="33">
        <v>0.69999998807907104</v>
      </c>
      <c r="N859" s="33">
        <v>0.34000000357627869</v>
      </c>
      <c r="O859" s="33">
        <v>6.9000000953674316</v>
      </c>
      <c r="P859" s="33">
        <v>25</v>
      </c>
      <c r="Q859" s="33">
        <v>1.7000000476837158</v>
      </c>
      <c r="R859" s="34" t="s">
        <v>526</v>
      </c>
      <c r="S859" s="33">
        <v>15</v>
      </c>
      <c r="T859" s="35">
        <v>0</v>
      </c>
    </row>
    <row r="860" spans="1:20">
      <c r="A860" s="31">
        <v>858</v>
      </c>
      <c r="B860" s="33" t="s">
        <v>1187</v>
      </c>
      <c r="C860" s="33">
        <v>100</v>
      </c>
      <c r="D860" s="33">
        <v>251</v>
      </c>
      <c r="E860" s="33">
        <v>7.1999998092651367</v>
      </c>
      <c r="F860" s="33">
        <v>6.5999999046325684</v>
      </c>
      <c r="G860" s="33">
        <v>0.89999997615814209</v>
      </c>
      <c r="H860" s="33">
        <v>25.5</v>
      </c>
      <c r="I860" s="33">
        <v>54.200000762939453</v>
      </c>
      <c r="J860" s="33">
        <v>0</v>
      </c>
      <c r="K860" s="33">
        <v>0</v>
      </c>
      <c r="L860" s="33">
        <v>0.15999999642372131</v>
      </c>
      <c r="M860" s="33">
        <v>2.7000000476837158</v>
      </c>
      <c r="N860" s="33">
        <v>0.52999997138977051</v>
      </c>
      <c r="O860" s="33">
        <v>0</v>
      </c>
      <c r="P860" s="33">
        <v>851</v>
      </c>
      <c r="Q860" s="33">
        <v>23.700000762939453</v>
      </c>
      <c r="R860" s="34" t="s">
        <v>526</v>
      </c>
      <c r="S860" s="33">
        <v>3</v>
      </c>
      <c r="T860" s="35">
        <v>0</v>
      </c>
    </row>
    <row r="861" spans="1:20">
      <c r="A861" s="31">
        <v>859</v>
      </c>
      <c r="B861" s="33" t="s">
        <v>1188</v>
      </c>
      <c r="C861" s="33">
        <v>100</v>
      </c>
      <c r="D861" s="33">
        <v>35</v>
      </c>
      <c r="E861" s="33">
        <v>85.300003051757813</v>
      </c>
      <c r="F861" s="33">
        <v>2.7999999523162842</v>
      </c>
      <c r="G861" s="33">
        <v>0.60000002384185791</v>
      </c>
      <c r="H861" s="33">
        <v>5.4000000953674316</v>
      </c>
      <c r="I861" s="33">
        <v>4.5999999046325684</v>
      </c>
      <c r="J861" s="33">
        <v>90</v>
      </c>
      <c r="K861" s="33">
        <v>9.0000003576278687E-2</v>
      </c>
      <c r="L861" s="33">
        <v>0.10999999940395355</v>
      </c>
      <c r="M861" s="33">
        <v>0.60000002384185791</v>
      </c>
      <c r="N861" s="33">
        <v>2.9300000667572021</v>
      </c>
      <c r="O861" s="33">
        <v>8.6999998092651367</v>
      </c>
      <c r="P861" s="33">
        <v>66</v>
      </c>
      <c r="Q861" s="33">
        <v>9.3999996185302734</v>
      </c>
      <c r="R861" s="34" t="s">
        <v>526</v>
      </c>
      <c r="S861" s="33">
        <v>19</v>
      </c>
      <c r="T861" s="35">
        <v>0</v>
      </c>
    </row>
    <row r="862" spans="1:20">
      <c r="A862" s="31">
        <v>860</v>
      </c>
      <c r="B862" s="33" t="s">
        <v>1189</v>
      </c>
      <c r="C862" s="33">
        <v>100</v>
      </c>
      <c r="D862" s="33">
        <v>38</v>
      </c>
      <c r="E862" s="33">
        <v>88.199996948242188</v>
      </c>
      <c r="F862" s="33">
        <v>2.5</v>
      </c>
      <c r="G862" s="33">
        <v>0.89999997615814209</v>
      </c>
      <c r="H862" s="33">
        <v>1.7999999523162842</v>
      </c>
      <c r="I862" s="33">
        <v>5</v>
      </c>
      <c r="J862" s="33">
        <v>357</v>
      </c>
      <c r="K862" s="33">
        <v>0</v>
      </c>
      <c r="L862" s="33">
        <v>0</v>
      </c>
      <c r="M862" s="33">
        <v>0</v>
      </c>
      <c r="N862" s="33">
        <v>0</v>
      </c>
      <c r="O862" s="33">
        <v>0</v>
      </c>
      <c r="P862" s="33">
        <v>0</v>
      </c>
      <c r="Q862" s="33">
        <v>0</v>
      </c>
      <c r="R862" s="34" t="s">
        <v>526</v>
      </c>
      <c r="S862" s="33">
        <v>62</v>
      </c>
      <c r="T862" s="35">
        <v>0</v>
      </c>
    </row>
    <row r="863" spans="1:20">
      <c r="A863" s="31">
        <v>861</v>
      </c>
      <c r="B863" s="33" t="s">
        <v>1190</v>
      </c>
      <c r="C863" s="33">
        <v>100</v>
      </c>
      <c r="D863" s="33">
        <v>14</v>
      </c>
      <c r="E863" s="33">
        <v>90.699996948242188</v>
      </c>
      <c r="F863" s="33">
        <v>2.5999999046325684</v>
      </c>
      <c r="G863" s="33">
        <v>0.30000001192092896</v>
      </c>
      <c r="H863" s="33">
        <v>1.3999999761581421</v>
      </c>
      <c r="I863" s="33">
        <v>0.30000001192092896</v>
      </c>
      <c r="J863" s="33">
        <v>0</v>
      </c>
      <c r="K863" s="33">
        <v>1.9999999552965164E-2</v>
      </c>
      <c r="L863" s="33">
        <v>0</v>
      </c>
      <c r="M863" s="33">
        <v>0</v>
      </c>
      <c r="N863" s="33">
        <v>0</v>
      </c>
      <c r="O863" s="33">
        <v>0</v>
      </c>
      <c r="P863" s="33">
        <v>0</v>
      </c>
      <c r="Q863" s="33">
        <v>0</v>
      </c>
      <c r="R863" s="34" t="s">
        <v>526</v>
      </c>
      <c r="S863" s="33">
        <v>77</v>
      </c>
      <c r="T863" s="35">
        <v>0</v>
      </c>
    </row>
    <row r="864" spans="1:20">
      <c r="A864" s="31">
        <v>862</v>
      </c>
      <c r="B864" s="33" t="s">
        <v>1191</v>
      </c>
      <c r="C864" s="33">
        <v>100</v>
      </c>
      <c r="D864" s="33">
        <v>32</v>
      </c>
      <c r="E864" s="33">
        <v>87.199996948242188</v>
      </c>
      <c r="F864" s="33">
        <v>3.0999999046325684</v>
      </c>
      <c r="G864" s="33">
        <v>0.10000000149011612</v>
      </c>
      <c r="H864" s="33">
        <v>2.9000000953674316</v>
      </c>
      <c r="I864" s="33">
        <v>4.6999998092651367</v>
      </c>
      <c r="J864" s="33">
        <v>33</v>
      </c>
      <c r="K864" s="33">
        <v>7.0000000298023224E-2</v>
      </c>
      <c r="L864" s="33">
        <v>7.9999998211860657E-2</v>
      </c>
      <c r="M864" s="33">
        <v>0.20000000298023224</v>
      </c>
      <c r="N864" s="33">
        <v>0.47999998927116394</v>
      </c>
      <c r="O864" s="33">
        <v>91.400001525878906</v>
      </c>
      <c r="P864" s="33">
        <v>110</v>
      </c>
      <c r="Q864" s="33">
        <v>1.3999999761581421</v>
      </c>
      <c r="R864" s="34" t="s">
        <v>526</v>
      </c>
      <c r="S864" s="33">
        <v>41</v>
      </c>
      <c r="T864" s="35">
        <v>0</v>
      </c>
    </row>
    <row r="865" spans="1:20">
      <c r="A865" s="31">
        <v>863</v>
      </c>
      <c r="B865" s="33" t="s">
        <v>1192</v>
      </c>
      <c r="C865" s="33">
        <v>93</v>
      </c>
      <c r="D865" s="33">
        <v>20</v>
      </c>
      <c r="E865" s="33">
        <v>92.800003051757813</v>
      </c>
      <c r="F865" s="33">
        <v>1.6000000238418579</v>
      </c>
      <c r="G865" s="33">
        <v>0.30000001192092896</v>
      </c>
      <c r="H865" s="33">
        <v>1.3999999761581421</v>
      </c>
      <c r="I865" s="33">
        <v>2.7000000476837158</v>
      </c>
      <c r="J865" s="33">
        <v>118</v>
      </c>
      <c r="K865" s="33">
        <v>2.9999999329447746E-2</v>
      </c>
      <c r="L865" s="33">
        <v>0.12999999523162842</v>
      </c>
      <c r="M865" s="33">
        <v>0.40000000596046448</v>
      </c>
      <c r="N865" s="33">
        <v>0.87000000476837158</v>
      </c>
      <c r="O865" s="33">
        <v>43.099998474121094</v>
      </c>
      <c r="P865" s="33">
        <v>238</v>
      </c>
      <c r="Q865" s="33">
        <v>0.20000000298023224</v>
      </c>
      <c r="R865" s="34" t="s">
        <v>526</v>
      </c>
      <c r="S865" s="33">
        <v>51</v>
      </c>
      <c r="T865" s="35">
        <v>0</v>
      </c>
    </row>
    <row r="866" spans="1:20">
      <c r="A866" s="31">
        <v>864</v>
      </c>
      <c r="B866" s="33" t="s">
        <v>1193</v>
      </c>
      <c r="C866" s="33">
        <v>76</v>
      </c>
      <c r="D866" s="33">
        <v>20</v>
      </c>
      <c r="E866" s="33">
        <v>92.800003051757813</v>
      </c>
      <c r="F866" s="33">
        <v>1.6000000238418579</v>
      </c>
      <c r="G866" s="33">
        <v>0.30000001192092896</v>
      </c>
      <c r="H866" s="33">
        <v>1.5</v>
      </c>
      <c r="I866" s="33">
        <v>2.7999999523162842</v>
      </c>
      <c r="J866" s="33">
        <v>337</v>
      </c>
      <c r="K866" s="33">
        <v>5.9999998658895493E-2</v>
      </c>
      <c r="L866" s="33">
        <v>5.9999998658895493E-2</v>
      </c>
      <c r="M866" s="33">
        <v>0.60000002384185791</v>
      </c>
      <c r="N866" s="33">
        <v>1.6599999666213989</v>
      </c>
      <c r="O866" s="33">
        <v>47.200000762939453</v>
      </c>
      <c r="P866" s="33">
        <v>166</v>
      </c>
      <c r="Q866" s="33">
        <v>3.2000000476837158</v>
      </c>
      <c r="R866" s="34" t="s">
        <v>526</v>
      </c>
      <c r="S866" s="33">
        <v>34</v>
      </c>
      <c r="T866" s="35">
        <v>0</v>
      </c>
    </row>
    <row r="867" spans="1:20">
      <c r="A867" s="31">
        <v>865</v>
      </c>
      <c r="B867" s="33" t="s">
        <v>1194</v>
      </c>
      <c r="C867" s="33">
        <v>90</v>
      </c>
      <c r="D867" s="33">
        <v>18</v>
      </c>
      <c r="E867" s="33">
        <v>93</v>
      </c>
      <c r="F867" s="33">
        <v>1.3999999761581421</v>
      </c>
      <c r="G867" s="33">
        <v>0.10000000149011612</v>
      </c>
      <c r="H867" s="33">
        <v>1.8999999761581421</v>
      </c>
      <c r="I867" s="33">
        <v>3</v>
      </c>
      <c r="J867" s="33">
        <v>17</v>
      </c>
      <c r="K867" s="33">
        <v>3.9999999105930328E-2</v>
      </c>
      <c r="L867" s="33">
        <v>5.000000074505806E-2</v>
      </c>
      <c r="M867" s="33">
        <v>0.69999998807907104</v>
      </c>
      <c r="N867" s="33">
        <v>0</v>
      </c>
      <c r="O867" s="33">
        <v>3.0999999046325684</v>
      </c>
      <c r="P867" s="33">
        <v>10</v>
      </c>
      <c r="Q867" s="33">
        <v>1.3999999761581421</v>
      </c>
      <c r="R867" s="34" t="s">
        <v>526</v>
      </c>
      <c r="S867" s="33">
        <v>45</v>
      </c>
      <c r="T867" s="35">
        <v>0</v>
      </c>
    </row>
    <row r="868" spans="1:20">
      <c r="A868" s="31">
        <v>866</v>
      </c>
      <c r="B868" s="33" t="s">
        <v>1195</v>
      </c>
      <c r="C868" s="33">
        <v>100</v>
      </c>
      <c r="D868" s="33">
        <v>25</v>
      </c>
      <c r="E868" s="33">
        <v>91.400001525878906</v>
      </c>
      <c r="F868" s="33">
        <v>2.4000000953674316</v>
      </c>
      <c r="G868" s="33">
        <v>0.40000000596046448</v>
      </c>
      <c r="H868" s="33">
        <v>1.6000000238418579</v>
      </c>
      <c r="I868" s="33">
        <v>3</v>
      </c>
      <c r="J868" s="33">
        <v>340</v>
      </c>
      <c r="K868" s="33">
        <v>5.9999998658895493E-2</v>
      </c>
      <c r="L868" s="33">
        <v>0.12999999523162842</v>
      </c>
      <c r="M868" s="33">
        <v>0.80000001192092896</v>
      </c>
      <c r="N868" s="33">
        <v>0.72000002861022949</v>
      </c>
      <c r="O868" s="33">
        <v>15.199999809265137</v>
      </c>
      <c r="P868" s="33">
        <v>67</v>
      </c>
      <c r="Q868" s="33">
        <v>2.4000000953674316</v>
      </c>
      <c r="R868" s="34" t="s">
        <v>526</v>
      </c>
      <c r="S868" s="33">
        <v>26</v>
      </c>
      <c r="T868" s="35">
        <v>0</v>
      </c>
    </row>
    <row r="869" spans="1:20">
      <c r="A869" s="31">
        <v>867</v>
      </c>
      <c r="B869" s="33" t="s">
        <v>1196</v>
      </c>
      <c r="C869" s="33">
        <v>100</v>
      </c>
      <c r="D869" s="33">
        <v>60</v>
      </c>
      <c r="E869" s="33">
        <v>81.800003051757813</v>
      </c>
      <c r="F869" s="33">
        <v>3.9000000953674316</v>
      </c>
      <c r="G869" s="33">
        <v>1</v>
      </c>
      <c r="H869" s="33">
        <v>2.0999999046325684</v>
      </c>
      <c r="I869" s="33">
        <v>8.8000001907348633</v>
      </c>
      <c r="J869" s="33">
        <v>440</v>
      </c>
      <c r="K869" s="33">
        <v>0.10000000149011612</v>
      </c>
      <c r="L869" s="33">
        <v>0.73000001907348633</v>
      </c>
      <c r="M869" s="33">
        <v>2.2000000476837158</v>
      </c>
      <c r="N869" s="33">
        <v>0</v>
      </c>
      <c r="O869" s="33">
        <v>5.8000001907348633</v>
      </c>
      <c r="P869" s="33">
        <v>713</v>
      </c>
      <c r="Q869" s="33">
        <v>9.6999998092651367</v>
      </c>
      <c r="R869" s="34" t="s">
        <v>526</v>
      </c>
      <c r="S869" s="33">
        <v>118</v>
      </c>
      <c r="T869" s="35">
        <v>0</v>
      </c>
    </row>
    <row r="870" spans="1:20">
      <c r="A870" s="31">
        <v>868</v>
      </c>
      <c r="B870" s="33" t="s">
        <v>1197</v>
      </c>
      <c r="C870" s="33">
        <v>81</v>
      </c>
      <c r="D870" s="33">
        <v>15</v>
      </c>
      <c r="E870" s="33">
        <v>95.699996948242188</v>
      </c>
      <c r="F870" s="33">
        <v>1.3999999761581421</v>
      </c>
      <c r="G870" s="33">
        <v>0.40000000596046448</v>
      </c>
      <c r="H870" s="33">
        <v>0.60000002384185791</v>
      </c>
      <c r="I870" s="33">
        <v>1.5</v>
      </c>
      <c r="J870" s="33">
        <v>60</v>
      </c>
      <c r="K870" s="33">
        <v>0</v>
      </c>
      <c r="L870" s="33">
        <v>0.10000000149011612</v>
      </c>
      <c r="M870" s="33">
        <v>0.20000000298023224</v>
      </c>
      <c r="N870" s="33">
        <v>0</v>
      </c>
      <c r="O870" s="33">
        <v>80</v>
      </c>
      <c r="P870" s="33">
        <v>70</v>
      </c>
      <c r="Q870" s="33">
        <v>1.2000000476837158</v>
      </c>
      <c r="R870" s="34" t="s">
        <v>526</v>
      </c>
      <c r="S870" s="33">
        <v>20</v>
      </c>
      <c r="T870" s="35">
        <v>0</v>
      </c>
    </row>
    <row r="871" spans="1:20">
      <c r="A871" s="31">
        <v>869</v>
      </c>
      <c r="B871" s="33" t="s">
        <v>1198</v>
      </c>
      <c r="C871" s="33">
        <v>79</v>
      </c>
      <c r="D871" s="33">
        <v>15</v>
      </c>
      <c r="E871" s="33">
        <v>94.099998474121094</v>
      </c>
      <c r="F871" s="33">
        <v>1.7000000476837158</v>
      </c>
      <c r="G871" s="33">
        <v>0.20000000298023224</v>
      </c>
      <c r="H871" s="33">
        <v>1.6000000238418579</v>
      </c>
      <c r="I871" s="33">
        <v>1.6000000238418579</v>
      </c>
      <c r="J871" s="33">
        <v>200</v>
      </c>
      <c r="K871" s="33">
        <v>0</v>
      </c>
      <c r="L871" s="33">
        <v>2.9999999329447746E-2</v>
      </c>
      <c r="M871" s="33">
        <v>0.5</v>
      </c>
      <c r="N871" s="33">
        <v>0</v>
      </c>
      <c r="O871" s="33">
        <v>56.900001525878906</v>
      </c>
      <c r="P871" s="33">
        <v>59</v>
      </c>
      <c r="Q871" s="33">
        <v>1.7999999523162842</v>
      </c>
      <c r="R871" s="34" t="s">
        <v>526</v>
      </c>
      <c r="S871" s="33">
        <v>10</v>
      </c>
      <c r="T871" s="35">
        <v>0</v>
      </c>
    </row>
    <row r="872" spans="1:20">
      <c r="A872" s="31">
        <v>870</v>
      </c>
      <c r="B872" s="33" t="s">
        <v>1199</v>
      </c>
      <c r="C872" s="33">
        <v>65</v>
      </c>
      <c r="D872" s="33">
        <v>11</v>
      </c>
      <c r="E872" s="33">
        <v>95.599998474121094</v>
      </c>
      <c r="F872" s="33">
        <v>0.69999998807907104</v>
      </c>
      <c r="G872" s="33">
        <v>0.20000000298023224</v>
      </c>
      <c r="H872" s="33">
        <v>1.2000000476837158</v>
      </c>
      <c r="I872" s="33">
        <v>1.5</v>
      </c>
      <c r="J872" s="33">
        <v>48</v>
      </c>
      <c r="K872" s="33">
        <v>1.9999999552965164E-2</v>
      </c>
      <c r="L872" s="33">
        <v>1.9999999552965164E-2</v>
      </c>
      <c r="M872" s="33">
        <v>1.7999999523162842</v>
      </c>
      <c r="N872" s="33">
        <v>0.27000001072883606</v>
      </c>
      <c r="O872" s="33">
        <v>109.40000152587891</v>
      </c>
      <c r="P872" s="33">
        <v>89</v>
      </c>
      <c r="Q872" s="33">
        <v>1.1000000238418579</v>
      </c>
      <c r="R872" s="34" t="s">
        <v>526</v>
      </c>
      <c r="S872" s="33">
        <v>5</v>
      </c>
      <c r="T872" s="35">
        <v>0</v>
      </c>
    </row>
    <row r="873" spans="1:20">
      <c r="A873" s="31">
        <v>871</v>
      </c>
      <c r="B873" s="33" t="s">
        <v>1200</v>
      </c>
      <c r="C873" s="33">
        <v>88</v>
      </c>
      <c r="D873" s="33">
        <v>27</v>
      </c>
      <c r="E873" s="33">
        <v>90.599998474121094</v>
      </c>
      <c r="F873" s="33">
        <v>2.9000000953674316</v>
      </c>
      <c r="G873" s="33">
        <v>0.40000000596046448</v>
      </c>
      <c r="H873" s="33">
        <v>1.7000000476837158</v>
      </c>
      <c r="I873" s="33">
        <v>3</v>
      </c>
      <c r="J873" s="33">
        <v>432</v>
      </c>
      <c r="K873" s="33">
        <v>3.9999999105930328E-2</v>
      </c>
      <c r="L873" s="33">
        <v>0.15000000596046448</v>
      </c>
      <c r="M873" s="33">
        <v>0.60000002384185791</v>
      </c>
      <c r="N873" s="33">
        <v>1.0099999904632568</v>
      </c>
      <c r="O873" s="33">
        <v>31.600000381469727</v>
      </c>
      <c r="P873" s="33">
        <v>294</v>
      </c>
      <c r="Q873" s="33">
        <v>5.4000000953674316</v>
      </c>
      <c r="R873" s="34" t="s">
        <v>526</v>
      </c>
      <c r="S873" s="33">
        <v>43</v>
      </c>
      <c r="T873" s="35">
        <v>0</v>
      </c>
    </row>
    <row r="874" spans="1:20">
      <c r="A874" s="31">
        <v>872</v>
      </c>
      <c r="B874" s="33" t="s">
        <v>1201</v>
      </c>
      <c r="C874" s="33">
        <v>66</v>
      </c>
      <c r="D874" s="33">
        <v>14</v>
      </c>
      <c r="E874" s="33">
        <v>94.199996948242188</v>
      </c>
      <c r="F874" s="33">
        <v>0.80000001192092896</v>
      </c>
      <c r="G874" s="33">
        <v>0.10000000149011612</v>
      </c>
      <c r="H874" s="33">
        <v>1.3999999761581421</v>
      </c>
      <c r="I874" s="33">
        <v>2.5</v>
      </c>
      <c r="J874" s="33">
        <v>10</v>
      </c>
      <c r="K874" s="33">
        <v>9.9999997764825821E-3</v>
      </c>
      <c r="L874" s="33">
        <v>7.9999998211860657E-2</v>
      </c>
      <c r="M874" s="33">
        <v>0.40000000596046448</v>
      </c>
      <c r="N874" s="33">
        <v>2.2100000381469727</v>
      </c>
      <c r="O874" s="33">
        <v>73.800003051757813</v>
      </c>
      <c r="P874" s="33">
        <v>48</v>
      </c>
      <c r="Q874" s="33">
        <v>0.80000001192092896</v>
      </c>
      <c r="R874" s="34" t="s">
        <v>526</v>
      </c>
      <c r="S874" s="33">
        <v>12</v>
      </c>
      <c r="T874" s="35">
        <v>0</v>
      </c>
    </row>
    <row r="875" spans="1:20">
      <c r="A875" s="31">
        <v>873</v>
      </c>
      <c r="B875" s="33" t="s">
        <v>1202</v>
      </c>
      <c r="C875" s="33">
        <v>67</v>
      </c>
      <c r="D875" s="33">
        <v>20</v>
      </c>
      <c r="E875" s="33">
        <v>93.099998474121094</v>
      </c>
      <c r="F875" s="33">
        <v>1.2000000476837158</v>
      </c>
      <c r="G875" s="33">
        <v>0.20000000298023224</v>
      </c>
      <c r="H875" s="33">
        <v>1.2000000476837158</v>
      </c>
      <c r="I875" s="33">
        <v>3.2999999523162842</v>
      </c>
      <c r="J875" s="33">
        <v>57</v>
      </c>
      <c r="K875" s="33">
        <v>1.9999999552965164E-2</v>
      </c>
      <c r="L875" s="33">
        <v>5.9999998658895493E-2</v>
      </c>
      <c r="M875" s="33">
        <v>0.40000000596046448</v>
      </c>
      <c r="N875" s="33">
        <v>1.3200000524520874</v>
      </c>
      <c r="O875" s="33">
        <v>159</v>
      </c>
      <c r="P875" s="33">
        <v>80</v>
      </c>
      <c r="Q875" s="33">
        <v>1.2000000476837158</v>
      </c>
      <c r="R875" s="34" t="s">
        <v>526</v>
      </c>
      <c r="S875" s="33">
        <v>8</v>
      </c>
      <c r="T875" s="35">
        <v>0</v>
      </c>
    </row>
    <row r="876" spans="1:20">
      <c r="A876" s="31">
        <v>874</v>
      </c>
      <c r="B876" s="33" t="s">
        <v>1203</v>
      </c>
      <c r="C876" s="33">
        <v>60</v>
      </c>
      <c r="D876" s="33">
        <v>13</v>
      </c>
      <c r="E876" s="33">
        <v>96.199996948242188</v>
      </c>
      <c r="F876" s="33">
        <v>1.3999999761581421</v>
      </c>
      <c r="G876" s="33">
        <v>0.20000000298023224</v>
      </c>
      <c r="H876" s="33">
        <v>0.89999997615814209</v>
      </c>
      <c r="I876" s="33">
        <v>1.2999999523162842</v>
      </c>
      <c r="J876" s="33">
        <v>63</v>
      </c>
      <c r="K876" s="33">
        <v>9.9999997764825821E-3</v>
      </c>
      <c r="L876" s="33">
        <v>0.18999999761581421</v>
      </c>
      <c r="M876" s="33">
        <v>1</v>
      </c>
      <c r="N876" s="33">
        <v>0.31999999284744263</v>
      </c>
      <c r="O876" s="33">
        <v>40.900001525878906</v>
      </c>
      <c r="P876" s="33">
        <v>38</v>
      </c>
      <c r="Q876" s="33">
        <v>6.9000000953674316</v>
      </c>
      <c r="R876" s="34" t="s">
        <v>526</v>
      </c>
      <c r="S876" s="33">
        <v>5</v>
      </c>
      <c r="T876" s="35">
        <v>0</v>
      </c>
    </row>
    <row r="877" spans="1:20">
      <c r="A877" s="31">
        <v>875</v>
      </c>
      <c r="B877" s="33" t="s">
        <v>1204</v>
      </c>
      <c r="C877" s="33">
        <v>100</v>
      </c>
      <c r="D877" s="33">
        <v>31</v>
      </c>
      <c r="E877" s="33">
        <v>89.400001525878906</v>
      </c>
      <c r="F877" s="33">
        <v>2.5999999046325684</v>
      </c>
      <c r="G877" s="33">
        <v>0.60000002384185791</v>
      </c>
      <c r="H877" s="33">
        <v>2.2000000476837158</v>
      </c>
      <c r="I877" s="33">
        <v>3.7000000476837158</v>
      </c>
      <c r="J877" s="33">
        <v>488</v>
      </c>
      <c r="K877" s="33">
        <v>7.9999998211860657E-2</v>
      </c>
      <c r="L877" s="33">
        <v>0.15000000596046448</v>
      </c>
      <c r="M877" s="33">
        <v>0.89999997615814209</v>
      </c>
      <c r="N877" s="33">
        <v>2.5</v>
      </c>
      <c r="O877" s="33">
        <v>83</v>
      </c>
      <c r="P877" s="33">
        <v>40</v>
      </c>
      <c r="Q877" s="33">
        <v>0.60000002384185791</v>
      </c>
      <c r="R877" s="34" t="s">
        <v>526</v>
      </c>
      <c r="S877" s="33">
        <v>22</v>
      </c>
      <c r="T877" s="35">
        <v>0</v>
      </c>
    </row>
    <row r="878" spans="1:20">
      <c r="A878" s="31">
        <v>876</v>
      </c>
      <c r="B878" s="33" t="s">
        <v>1205</v>
      </c>
      <c r="C878" s="33">
        <v>84</v>
      </c>
      <c r="D878" s="33">
        <v>30</v>
      </c>
      <c r="E878" s="33">
        <v>90.400001525878906</v>
      </c>
      <c r="F878" s="33">
        <v>2.4000000953674316</v>
      </c>
      <c r="G878" s="33">
        <v>0.30000001192092896</v>
      </c>
      <c r="H878" s="33">
        <v>1.7000000476837158</v>
      </c>
      <c r="I878" s="33">
        <v>4.5</v>
      </c>
      <c r="J878" s="33">
        <v>98</v>
      </c>
      <c r="K878" s="33">
        <v>5.9999998658895493E-2</v>
      </c>
      <c r="L878" s="33">
        <v>3.9999999105930328E-2</v>
      </c>
      <c r="M878" s="33">
        <v>0.60000002384185791</v>
      </c>
      <c r="N878" s="33">
        <v>0.80000001192092896</v>
      </c>
      <c r="O878" s="33">
        <v>9.3000001907348633</v>
      </c>
      <c r="P878" s="33">
        <v>24</v>
      </c>
      <c r="Q878" s="33">
        <v>0.80000001192092896</v>
      </c>
      <c r="R878" s="34" t="s">
        <v>526</v>
      </c>
      <c r="S878" s="33">
        <v>16</v>
      </c>
      <c r="T878" s="35">
        <v>0</v>
      </c>
    </row>
    <row r="879" spans="1:20">
      <c r="A879" s="31">
        <v>877</v>
      </c>
      <c r="B879" s="33" t="s">
        <v>1206</v>
      </c>
      <c r="C879" s="33">
        <v>94</v>
      </c>
      <c r="D879" s="33">
        <v>13</v>
      </c>
      <c r="E879" s="33">
        <v>95.800003051757813</v>
      </c>
      <c r="F879" s="33">
        <v>1.2999999523162842</v>
      </c>
      <c r="G879" s="33">
        <v>0.30000001192092896</v>
      </c>
      <c r="H879" s="33">
        <v>0.69999998807907104</v>
      </c>
      <c r="I879" s="33">
        <v>1.2999999523162842</v>
      </c>
      <c r="J879" s="33">
        <v>298</v>
      </c>
      <c r="K879" s="33">
        <v>2.9999999329447746E-2</v>
      </c>
      <c r="L879" s="33">
        <v>5.9999998658895493E-2</v>
      </c>
      <c r="M879" s="33">
        <v>0.40000000596046448</v>
      </c>
      <c r="N879" s="33">
        <v>1.0199999809265137</v>
      </c>
      <c r="O879" s="33">
        <v>32.799999237060547</v>
      </c>
      <c r="P879" s="33">
        <v>34</v>
      </c>
      <c r="Q879" s="33">
        <v>0.89999997615814209</v>
      </c>
      <c r="R879" s="34" t="s">
        <v>526</v>
      </c>
      <c r="S879" s="33">
        <v>13</v>
      </c>
      <c r="T879" s="35">
        <v>0</v>
      </c>
    </row>
    <row r="880" spans="1:20">
      <c r="A880" s="31">
        <v>878</v>
      </c>
      <c r="B880" s="33" t="s">
        <v>1207</v>
      </c>
      <c r="C880" s="33">
        <v>82</v>
      </c>
      <c r="D880" s="33">
        <v>30</v>
      </c>
      <c r="E880" s="33">
        <v>90.400001525878906</v>
      </c>
      <c r="F880" s="33">
        <v>1</v>
      </c>
      <c r="G880" s="33">
        <v>0.40000000596046448</v>
      </c>
      <c r="H880" s="33">
        <v>2</v>
      </c>
      <c r="I880" s="33">
        <v>5.6999998092651367</v>
      </c>
      <c r="J880" s="33">
        <v>113</v>
      </c>
      <c r="K880" s="33">
        <v>2.9999999329447746E-2</v>
      </c>
      <c r="L880" s="33">
        <v>0.11999999731779099</v>
      </c>
      <c r="M880" s="33">
        <v>0.5</v>
      </c>
      <c r="N880" s="33">
        <v>0.23999999463558197</v>
      </c>
      <c r="O880" s="33">
        <v>17.200000762939453</v>
      </c>
      <c r="P880" s="33">
        <v>89</v>
      </c>
      <c r="Q880" s="33">
        <v>1.2000000476837158</v>
      </c>
      <c r="R880" s="34" t="s">
        <v>526</v>
      </c>
      <c r="S880" s="33">
        <v>28</v>
      </c>
      <c r="T880" s="35">
        <v>0</v>
      </c>
    </row>
    <row r="881" spans="1:20">
      <c r="A881" s="31">
        <v>879</v>
      </c>
      <c r="B881" s="33" t="s">
        <v>1208</v>
      </c>
      <c r="C881" s="33">
        <v>97</v>
      </c>
      <c r="D881" s="33">
        <v>21</v>
      </c>
      <c r="E881" s="33">
        <v>93</v>
      </c>
      <c r="F881" s="33">
        <v>2.5</v>
      </c>
      <c r="G881" s="33">
        <v>0.20000000298023224</v>
      </c>
      <c r="H881" s="33">
        <v>1.3999999761581421</v>
      </c>
      <c r="I881" s="33">
        <v>2.4000000953674316</v>
      </c>
      <c r="J881" s="33">
        <v>47</v>
      </c>
      <c r="K881" s="33">
        <v>5.000000074505806E-2</v>
      </c>
      <c r="L881" s="33">
        <v>7.0000000298023224E-2</v>
      </c>
      <c r="M881" s="33">
        <v>0.60000002384185791</v>
      </c>
      <c r="N881" s="33">
        <v>0.52999997138977051</v>
      </c>
      <c r="O881" s="33">
        <v>7.8000001907348633</v>
      </c>
      <c r="P881" s="33">
        <v>24</v>
      </c>
      <c r="Q881" s="33">
        <v>1.2999999523162842</v>
      </c>
      <c r="R881" s="34" t="s">
        <v>526</v>
      </c>
      <c r="S881" s="33">
        <v>18</v>
      </c>
      <c r="T881" s="35">
        <v>0</v>
      </c>
    </row>
    <row r="882" spans="1:20">
      <c r="A882" s="31">
        <v>880</v>
      </c>
      <c r="B882" s="33" t="s">
        <v>1209</v>
      </c>
      <c r="C882" s="33">
        <v>82</v>
      </c>
      <c r="D882" s="33">
        <v>37</v>
      </c>
      <c r="E882" s="33">
        <v>88.900001525878906</v>
      </c>
      <c r="F882" s="33">
        <v>2.0999999046325684</v>
      </c>
      <c r="G882" s="33">
        <v>0.40000000596046448</v>
      </c>
      <c r="H882" s="33">
        <v>1.7999999523162842</v>
      </c>
      <c r="I882" s="33">
        <v>6.1999998092651367</v>
      </c>
      <c r="J882" s="33">
        <v>47</v>
      </c>
      <c r="K882" s="33">
        <v>0.10999999940395355</v>
      </c>
      <c r="L882" s="33">
        <v>7.9999998211860657E-2</v>
      </c>
      <c r="M882" s="33">
        <v>0.5</v>
      </c>
      <c r="N882" s="33">
        <v>0.81000000238418579</v>
      </c>
      <c r="O882" s="33">
        <v>5.0999999046325684</v>
      </c>
      <c r="P882" s="33">
        <v>29</v>
      </c>
      <c r="Q882" s="33">
        <v>1.3999999761581421</v>
      </c>
      <c r="R882" s="34" t="s">
        <v>526</v>
      </c>
      <c r="S882" s="33">
        <v>35</v>
      </c>
      <c r="T882" s="35">
        <v>0</v>
      </c>
    </row>
    <row r="883" spans="1:20">
      <c r="A883" s="31">
        <v>881</v>
      </c>
      <c r="B883" s="33" t="s">
        <v>1210</v>
      </c>
      <c r="C883" s="33">
        <v>86</v>
      </c>
      <c r="D883" s="33">
        <v>22</v>
      </c>
      <c r="E883" s="33">
        <v>93.199996948242188</v>
      </c>
      <c r="F883" s="33">
        <v>1.7999999523162842</v>
      </c>
      <c r="G883" s="33">
        <v>0.5</v>
      </c>
      <c r="H883" s="33">
        <v>0.80000001192092896</v>
      </c>
      <c r="I883" s="33">
        <v>2.5999999046325684</v>
      </c>
      <c r="J883" s="33">
        <v>68</v>
      </c>
      <c r="K883" s="33">
        <v>0</v>
      </c>
      <c r="L883" s="33">
        <v>0.68000000715255737</v>
      </c>
      <c r="M883" s="33">
        <v>0.60000002384185791</v>
      </c>
      <c r="N883" s="33">
        <v>1.5499999523162842</v>
      </c>
      <c r="O883" s="33">
        <v>28</v>
      </c>
      <c r="P883" s="33">
        <v>131</v>
      </c>
      <c r="Q883" s="33">
        <v>5.8000001907348633</v>
      </c>
      <c r="R883" s="34" t="s">
        <v>526</v>
      </c>
      <c r="S883" s="33">
        <v>57</v>
      </c>
      <c r="T883" s="35">
        <v>0</v>
      </c>
    </row>
    <row r="884" spans="1:20">
      <c r="A884" s="31">
        <v>882</v>
      </c>
      <c r="B884" s="33" t="s">
        <v>1211</v>
      </c>
      <c r="C884" s="33">
        <v>82</v>
      </c>
      <c r="D884" s="33">
        <v>21</v>
      </c>
      <c r="E884" s="33">
        <v>93</v>
      </c>
      <c r="F884" s="33">
        <v>1.8999999761581421</v>
      </c>
      <c r="G884" s="33">
        <v>0.30000001192092896</v>
      </c>
      <c r="H884" s="33">
        <v>1.2000000476837158</v>
      </c>
      <c r="I884" s="33">
        <v>2.7000000476837158</v>
      </c>
      <c r="J884" s="33">
        <v>252</v>
      </c>
      <c r="K884" s="33">
        <v>3.9999999105930328E-2</v>
      </c>
      <c r="L884" s="33">
        <v>9.0000003576278687E-2</v>
      </c>
      <c r="M884" s="33">
        <v>0.60000002384185791</v>
      </c>
      <c r="N884" s="33">
        <v>0.92000001668930054</v>
      </c>
      <c r="O884" s="33">
        <v>161.30000305175781</v>
      </c>
      <c r="P884" s="33">
        <v>73</v>
      </c>
      <c r="Q884" s="33">
        <v>2.5</v>
      </c>
      <c r="R884" s="34" t="s">
        <v>526</v>
      </c>
      <c r="S884" s="33">
        <v>18</v>
      </c>
      <c r="T884" s="35">
        <v>0</v>
      </c>
    </row>
    <row r="885" spans="1:20">
      <c r="A885" s="31">
        <v>883</v>
      </c>
      <c r="B885" s="33" t="s">
        <v>1212</v>
      </c>
      <c r="C885" s="33">
        <v>76</v>
      </c>
      <c r="D885" s="33">
        <v>20</v>
      </c>
      <c r="E885" s="33">
        <v>92.900001525878906</v>
      </c>
      <c r="F885" s="33">
        <v>2.2000000476837158</v>
      </c>
      <c r="G885" s="33">
        <v>0.30000001192092896</v>
      </c>
      <c r="H885" s="33">
        <v>1.3999999761581421</v>
      </c>
      <c r="I885" s="33">
        <v>2.2000000476837158</v>
      </c>
      <c r="J885" s="33">
        <v>253</v>
      </c>
      <c r="K885" s="33">
        <v>2.9999999329447746E-2</v>
      </c>
      <c r="L885" s="33">
        <v>7.9999998211860657E-2</v>
      </c>
      <c r="M885" s="33">
        <v>0.80000001192092896</v>
      </c>
      <c r="N885" s="33">
        <v>1.0900000333786011</v>
      </c>
      <c r="O885" s="33">
        <v>94.300003051757813</v>
      </c>
      <c r="P885" s="33">
        <v>99</v>
      </c>
      <c r="Q885" s="33">
        <v>2.2999999523162842</v>
      </c>
      <c r="R885" s="34" t="s">
        <v>526</v>
      </c>
      <c r="S885" s="33">
        <v>25</v>
      </c>
      <c r="T885" s="35">
        <v>0</v>
      </c>
    </row>
    <row r="886" spans="1:20">
      <c r="A886" s="31">
        <v>884</v>
      </c>
      <c r="B886" s="33" t="s">
        <v>1213</v>
      </c>
      <c r="C886" s="33">
        <v>89</v>
      </c>
      <c r="D886" s="33">
        <v>25</v>
      </c>
      <c r="E886" s="33">
        <v>91.800003051757813</v>
      </c>
      <c r="F886" s="33">
        <v>2.5999999046325684</v>
      </c>
      <c r="G886" s="33">
        <v>0.40000000596046448</v>
      </c>
      <c r="H886" s="33">
        <v>1.3999999761581421</v>
      </c>
      <c r="I886" s="33">
        <v>2.7999999523162842</v>
      </c>
      <c r="J886" s="33">
        <v>168</v>
      </c>
      <c r="K886" s="33">
        <v>5.9999998658895493E-2</v>
      </c>
      <c r="L886" s="33">
        <v>0.10999999940395355</v>
      </c>
      <c r="M886" s="33">
        <v>1.1000000238418579</v>
      </c>
      <c r="N886" s="33">
        <v>1.1599999666213989</v>
      </c>
      <c r="O886" s="33">
        <v>115.5</v>
      </c>
      <c r="P886" s="33">
        <v>186</v>
      </c>
      <c r="Q886" s="33">
        <v>3</v>
      </c>
      <c r="R886" s="34" t="s">
        <v>526</v>
      </c>
      <c r="S886" s="33">
        <v>45</v>
      </c>
      <c r="T886" s="35">
        <v>0</v>
      </c>
    </row>
    <row r="887" spans="1:20">
      <c r="A887" s="31">
        <v>885</v>
      </c>
      <c r="B887" s="33" t="s">
        <v>1214</v>
      </c>
      <c r="C887" s="33">
        <v>62</v>
      </c>
      <c r="D887" s="33">
        <v>14</v>
      </c>
      <c r="E887" s="33">
        <v>95.5</v>
      </c>
      <c r="F887" s="33">
        <v>1</v>
      </c>
      <c r="G887" s="33">
        <v>0.10000000149011612</v>
      </c>
      <c r="H887" s="33">
        <v>0.60000002384185791</v>
      </c>
      <c r="I887" s="33">
        <v>2.2000000476837158</v>
      </c>
      <c r="J887" s="33">
        <v>25</v>
      </c>
      <c r="K887" s="33">
        <v>1.9999999552965164E-2</v>
      </c>
      <c r="L887" s="33">
        <v>1.9999999552965164E-2</v>
      </c>
      <c r="M887" s="33">
        <v>0.5</v>
      </c>
      <c r="N887" s="33">
        <v>0.18999999761581421</v>
      </c>
      <c r="O887" s="33">
        <v>36.5</v>
      </c>
      <c r="P887" s="33">
        <v>23</v>
      </c>
      <c r="Q887" s="33">
        <v>0.89999997615814209</v>
      </c>
      <c r="R887" s="34" t="s">
        <v>526</v>
      </c>
      <c r="S887" s="33">
        <v>4</v>
      </c>
      <c r="T887" s="35">
        <v>0</v>
      </c>
    </row>
    <row r="888" spans="1:20">
      <c r="A888" s="31">
        <v>886</v>
      </c>
      <c r="B888" s="33" t="s">
        <v>1215</v>
      </c>
      <c r="C888" s="33">
        <v>89</v>
      </c>
      <c r="D888" s="33">
        <v>18</v>
      </c>
      <c r="E888" s="33">
        <v>94.199996948242188</v>
      </c>
      <c r="F888" s="33">
        <v>1.3999999761581421</v>
      </c>
      <c r="G888" s="33">
        <v>0.20000000298023224</v>
      </c>
      <c r="H888" s="33">
        <v>1</v>
      </c>
      <c r="I888" s="33">
        <v>2.5999999046325684</v>
      </c>
      <c r="J888" s="33">
        <v>147</v>
      </c>
      <c r="K888" s="33">
        <v>5.9999998658895493E-2</v>
      </c>
      <c r="L888" s="33">
        <v>0.10000000149011612</v>
      </c>
      <c r="M888" s="33">
        <v>0.40000000596046448</v>
      </c>
      <c r="N888" s="33">
        <v>0.57999998331069946</v>
      </c>
      <c r="O888" s="33">
        <v>39.099998474121094</v>
      </c>
      <c r="P888" s="33">
        <v>34</v>
      </c>
      <c r="Q888" s="33">
        <v>1.5</v>
      </c>
      <c r="R888" s="34" t="s">
        <v>526</v>
      </c>
      <c r="S888" s="33">
        <v>13</v>
      </c>
      <c r="T888" s="35">
        <v>0</v>
      </c>
    </row>
    <row r="889" spans="1:20">
      <c r="A889" s="31">
        <v>887</v>
      </c>
      <c r="B889" s="33" t="s">
        <v>1216</v>
      </c>
      <c r="C889" s="33">
        <v>74</v>
      </c>
      <c r="D889" s="33">
        <v>25</v>
      </c>
      <c r="E889" s="33">
        <v>90.199996948242188</v>
      </c>
      <c r="F889" s="33">
        <v>2.7999999523162842</v>
      </c>
      <c r="G889" s="33">
        <v>0.30000001192092896</v>
      </c>
      <c r="H889" s="33">
        <v>2.2000000476837158</v>
      </c>
      <c r="I889" s="33">
        <v>2.7999999523162842</v>
      </c>
      <c r="J889" s="33">
        <v>352</v>
      </c>
      <c r="K889" s="33">
        <v>2.9999999329447746E-2</v>
      </c>
      <c r="L889" s="33">
        <v>0.11999999731779099</v>
      </c>
      <c r="M889" s="33">
        <v>0.80000001192092896</v>
      </c>
      <c r="N889" s="33">
        <v>0.36000001430511475</v>
      </c>
      <c r="O889" s="33">
        <v>32.400001525878906</v>
      </c>
      <c r="P889" s="33">
        <v>187</v>
      </c>
      <c r="Q889" s="33">
        <v>5.4000000953674316</v>
      </c>
      <c r="R889" s="34" t="s">
        <v>526</v>
      </c>
      <c r="S889" s="33">
        <v>47</v>
      </c>
      <c r="T889" s="35">
        <v>0</v>
      </c>
    </row>
    <row r="890" spans="1:20">
      <c r="A890" s="31">
        <v>888</v>
      </c>
      <c r="B890" s="33" t="s">
        <v>1217</v>
      </c>
      <c r="C890" s="33">
        <v>73</v>
      </c>
      <c r="D890" s="33">
        <v>31</v>
      </c>
      <c r="E890" s="33">
        <v>88.800003051757813</v>
      </c>
      <c r="F890" s="33">
        <v>2.7999999523162842</v>
      </c>
      <c r="G890" s="33">
        <v>0.40000000596046448</v>
      </c>
      <c r="H890" s="33">
        <v>1.7999999523162842</v>
      </c>
      <c r="I890" s="33">
        <v>4.0999999046325684</v>
      </c>
      <c r="J890" s="33">
        <v>248</v>
      </c>
      <c r="K890" s="33">
        <v>2.9999999329447746E-2</v>
      </c>
      <c r="L890" s="33">
        <v>0.10000000149011612</v>
      </c>
      <c r="M890" s="33">
        <v>0.60000002384185791</v>
      </c>
      <c r="N890" s="33">
        <v>1.5399999618530273</v>
      </c>
      <c r="O890" s="33">
        <v>42.299999237060547</v>
      </c>
      <c r="P890" s="33">
        <v>178</v>
      </c>
      <c r="Q890" s="33">
        <v>2.9000000953674316</v>
      </c>
      <c r="R890" s="34" t="s">
        <v>526</v>
      </c>
      <c r="S890" s="33">
        <v>30</v>
      </c>
      <c r="T890" s="35">
        <v>0</v>
      </c>
    </row>
    <row r="891" spans="1:20">
      <c r="A891" s="31">
        <v>889</v>
      </c>
      <c r="B891" s="33" t="s">
        <v>1218</v>
      </c>
      <c r="C891" s="33">
        <v>76</v>
      </c>
      <c r="D891" s="33">
        <v>47</v>
      </c>
      <c r="E891" s="33">
        <v>85.199996948242188</v>
      </c>
      <c r="F891" s="33">
        <v>1.7000000476837158</v>
      </c>
      <c r="G891" s="33">
        <v>0.40000000596046448</v>
      </c>
      <c r="H891" s="33">
        <v>1.7999999523162842</v>
      </c>
      <c r="I891" s="33">
        <v>9.1000003814697266</v>
      </c>
      <c r="J891" s="33">
        <v>117</v>
      </c>
      <c r="K891" s="33">
        <v>7.0000000298023224E-2</v>
      </c>
      <c r="L891" s="33">
        <v>0.11999999731779099</v>
      </c>
      <c r="M891" s="33">
        <v>0.89999997615814209</v>
      </c>
      <c r="N891" s="33">
        <v>0.99000000953674316</v>
      </c>
      <c r="O891" s="33">
        <v>4.5999999046325684</v>
      </c>
      <c r="P891" s="33">
        <v>96</v>
      </c>
      <c r="Q891" s="33">
        <v>3.9000000953674316</v>
      </c>
      <c r="R891" s="34" t="s">
        <v>526</v>
      </c>
      <c r="S891" s="33">
        <v>40</v>
      </c>
      <c r="T891" s="35">
        <v>0</v>
      </c>
    </row>
    <row r="892" spans="1:20">
      <c r="A892" s="31">
        <v>890</v>
      </c>
      <c r="B892" s="33" t="s">
        <v>1219</v>
      </c>
      <c r="C892" s="33">
        <v>81</v>
      </c>
      <c r="D892" s="33">
        <v>15</v>
      </c>
      <c r="E892" s="33">
        <v>94.5</v>
      </c>
      <c r="F892" s="33">
        <v>1.5</v>
      </c>
      <c r="G892" s="33">
        <v>0.30000001192092896</v>
      </c>
      <c r="H892" s="33">
        <v>1.1000000238418579</v>
      </c>
      <c r="I892" s="33">
        <v>1.6000000238418579</v>
      </c>
      <c r="J892" s="33">
        <v>280</v>
      </c>
      <c r="K892" s="33">
        <v>1.9999999552965164E-2</v>
      </c>
      <c r="L892" s="33">
        <v>9.0000003576278687E-2</v>
      </c>
      <c r="M892" s="33">
        <v>0.69999998807907104</v>
      </c>
      <c r="N892" s="33">
        <v>0.69999998807907104</v>
      </c>
      <c r="O892" s="33">
        <v>73.5</v>
      </c>
      <c r="P892" s="33">
        <v>90</v>
      </c>
      <c r="Q892" s="33">
        <v>1.8999999761581421</v>
      </c>
      <c r="R892" s="34" t="s">
        <v>526</v>
      </c>
      <c r="S892" s="33">
        <v>28</v>
      </c>
      <c r="T892" s="35">
        <v>0</v>
      </c>
    </row>
    <row r="893" spans="1:20">
      <c r="A893" s="31">
        <v>891</v>
      </c>
      <c r="B893" s="33" t="s">
        <v>1220</v>
      </c>
      <c r="C893" s="33">
        <v>73</v>
      </c>
      <c r="D893" s="33">
        <v>24</v>
      </c>
      <c r="E893" s="33">
        <v>92.699996948242188</v>
      </c>
      <c r="F893" s="33">
        <v>1.6000000238418579</v>
      </c>
      <c r="G893" s="33">
        <v>0.40000000596046448</v>
      </c>
      <c r="H893" s="33">
        <v>1.3999999761581421</v>
      </c>
      <c r="I893" s="33">
        <v>3.5</v>
      </c>
      <c r="J893" s="33">
        <v>140</v>
      </c>
      <c r="K893" s="33">
        <v>5.000000074505806E-2</v>
      </c>
      <c r="L893" s="33">
        <v>5.9999998658895493E-2</v>
      </c>
      <c r="M893" s="33">
        <v>0.40000000596046448</v>
      </c>
      <c r="N893" s="33">
        <v>0.5899999737739563</v>
      </c>
      <c r="O893" s="33">
        <v>10.399999618530273</v>
      </c>
      <c r="P893" s="33">
        <v>72</v>
      </c>
      <c r="Q893" s="33">
        <v>1.2999999523162842</v>
      </c>
      <c r="R893" s="34" t="s">
        <v>526</v>
      </c>
      <c r="S893" s="33">
        <v>21</v>
      </c>
      <c r="T893" s="35">
        <v>0</v>
      </c>
    </row>
    <row r="894" spans="1:20">
      <c r="A894" s="31">
        <v>892</v>
      </c>
      <c r="B894" s="33" t="s">
        <v>1221</v>
      </c>
      <c r="C894" s="33">
        <v>83</v>
      </c>
      <c r="D894" s="33">
        <v>33</v>
      </c>
      <c r="E894" s="33">
        <v>90.300003051757813</v>
      </c>
      <c r="F894" s="33">
        <v>4.0999999046325684</v>
      </c>
      <c r="G894" s="33">
        <v>0.60000002384185791</v>
      </c>
      <c r="H894" s="33">
        <v>1.6000000238418579</v>
      </c>
      <c r="I894" s="33">
        <v>2.7000000476837158</v>
      </c>
      <c r="J894" s="33">
        <v>1202</v>
      </c>
      <c r="K894" s="33">
        <v>9.0000003576278687E-2</v>
      </c>
      <c r="L894" s="33">
        <v>0.12999999523162842</v>
      </c>
      <c r="M894" s="33">
        <v>0.89999997615814209</v>
      </c>
      <c r="N894" s="33">
        <v>0.9100000262260437</v>
      </c>
      <c r="O894" s="33">
        <v>18.799999237060547</v>
      </c>
      <c r="P894" s="33">
        <v>67</v>
      </c>
      <c r="Q894" s="33">
        <v>1</v>
      </c>
      <c r="R894" s="34" t="s">
        <v>526</v>
      </c>
      <c r="S894" s="33">
        <v>51</v>
      </c>
      <c r="T894" s="35">
        <v>0</v>
      </c>
    </row>
    <row r="895" spans="1:20">
      <c r="A895" s="31">
        <v>893</v>
      </c>
      <c r="B895" s="33" t="s">
        <v>1222</v>
      </c>
      <c r="C895" s="33">
        <v>73</v>
      </c>
      <c r="D895" s="33">
        <v>17</v>
      </c>
      <c r="E895" s="33">
        <v>94.5</v>
      </c>
      <c r="F895" s="33">
        <v>2.9000000953674316</v>
      </c>
      <c r="G895" s="33">
        <v>0.5</v>
      </c>
      <c r="H895" s="33">
        <v>1.2000000476837158</v>
      </c>
      <c r="I895" s="33">
        <v>0.30000001192092896</v>
      </c>
      <c r="J895" s="33">
        <v>1592</v>
      </c>
      <c r="K895" s="33">
        <v>9.9999997764825821E-3</v>
      </c>
      <c r="L895" s="33">
        <v>0.10999999940395355</v>
      </c>
      <c r="M895" s="33">
        <v>0.30000001192092896</v>
      </c>
      <c r="N895" s="33">
        <v>0.5899999737739563</v>
      </c>
      <c r="O895" s="33">
        <v>61.200000762939453</v>
      </c>
      <c r="P895" s="33">
        <v>30</v>
      </c>
      <c r="Q895" s="33">
        <v>1</v>
      </c>
      <c r="R895" s="34" t="s">
        <v>526</v>
      </c>
      <c r="S895" s="33">
        <v>52</v>
      </c>
      <c r="T895" s="35">
        <v>0</v>
      </c>
    </row>
    <row r="896" spans="1:20">
      <c r="A896" s="31">
        <v>894</v>
      </c>
      <c r="B896" s="33" t="s">
        <v>1223</v>
      </c>
      <c r="C896" s="33">
        <v>94</v>
      </c>
      <c r="D896" s="33">
        <v>24</v>
      </c>
      <c r="E896" s="33">
        <v>91.5</v>
      </c>
      <c r="F896" s="33">
        <v>2</v>
      </c>
      <c r="G896" s="33">
        <v>0.40000000596046448</v>
      </c>
      <c r="H896" s="33">
        <v>1.6000000238418579</v>
      </c>
      <c r="I896" s="33">
        <v>3.0999999046325684</v>
      </c>
      <c r="J896" s="33">
        <v>52</v>
      </c>
      <c r="K896" s="33">
        <v>2.9999999329447746E-2</v>
      </c>
      <c r="L896" s="33">
        <v>0.10999999940395355</v>
      </c>
      <c r="M896" s="33">
        <v>0.5</v>
      </c>
      <c r="N896" s="33">
        <v>0.74000000953674316</v>
      </c>
      <c r="O896" s="33">
        <v>30.5</v>
      </c>
      <c r="P896" s="33">
        <v>230</v>
      </c>
      <c r="Q896" s="33">
        <v>3.2000000476837158</v>
      </c>
      <c r="R896" s="34" t="s">
        <v>526</v>
      </c>
      <c r="S896" s="33">
        <v>31</v>
      </c>
      <c r="T896" s="35">
        <v>0</v>
      </c>
    </row>
    <row r="897" spans="1:20">
      <c r="A897" s="31">
        <v>895</v>
      </c>
      <c r="B897" s="33" t="s">
        <v>1224</v>
      </c>
      <c r="C897" s="33">
        <v>87</v>
      </c>
      <c r="D897" s="33">
        <v>23</v>
      </c>
      <c r="E897" s="33">
        <v>92.900001525878906</v>
      </c>
      <c r="F897" s="33">
        <v>1.7999999523162842</v>
      </c>
      <c r="G897" s="33">
        <v>0.5</v>
      </c>
      <c r="H897" s="33">
        <v>1.1000000238418579</v>
      </c>
      <c r="I897" s="33">
        <v>2.7000000476837158</v>
      </c>
      <c r="J897" s="33">
        <v>103</v>
      </c>
      <c r="K897" s="33">
        <v>3.9999999105930328E-2</v>
      </c>
      <c r="L897" s="33">
        <v>0.10999999940395355</v>
      </c>
      <c r="M897" s="33">
        <v>0.69999998807907104</v>
      </c>
      <c r="N897" s="33">
        <v>0.87999999523162842</v>
      </c>
      <c r="O897" s="33">
        <v>55.799999237060547</v>
      </c>
      <c r="P897" s="33">
        <v>108</v>
      </c>
      <c r="Q897" s="33">
        <v>1.2000000476837158</v>
      </c>
      <c r="R897" s="34" t="s">
        <v>526</v>
      </c>
      <c r="S897" s="33">
        <v>36</v>
      </c>
      <c r="T897" s="35">
        <v>0</v>
      </c>
    </row>
    <row r="898" spans="1:20">
      <c r="A898" s="31">
        <v>896</v>
      </c>
      <c r="B898" s="33" t="s">
        <v>1225</v>
      </c>
      <c r="C898" s="33">
        <v>100</v>
      </c>
      <c r="D898" s="33">
        <v>299</v>
      </c>
      <c r="E898" s="33">
        <v>9</v>
      </c>
      <c r="F898" s="33">
        <v>7.5999999046325684</v>
      </c>
      <c r="G898" s="33">
        <v>0.60000002384185791</v>
      </c>
      <c r="H898" s="33">
        <v>8.6000003814697266</v>
      </c>
      <c r="I898" s="33">
        <v>65.699996948242188</v>
      </c>
      <c r="J898" s="33">
        <v>577</v>
      </c>
      <c r="K898" s="33">
        <v>0.33000001311302185</v>
      </c>
      <c r="L898" s="33">
        <v>0</v>
      </c>
      <c r="M898" s="33">
        <v>10.5</v>
      </c>
      <c r="N898" s="33">
        <v>7.7300000190734863</v>
      </c>
      <c r="O898" s="33">
        <v>405.29998779296875</v>
      </c>
      <c r="P898" s="33">
        <v>596</v>
      </c>
      <c r="Q898" s="33">
        <v>19.299999237060547</v>
      </c>
      <c r="R898" s="34" t="s">
        <v>526</v>
      </c>
      <c r="S898" s="33">
        <v>124</v>
      </c>
      <c r="T898" s="35">
        <v>0</v>
      </c>
    </row>
    <row r="899" spans="1:20">
      <c r="A899" s="31">
        <v>897</v>
      </c>
      <c r="B899" s="33" t="s">
        <v>1226</v>
      </c>
      <c r="C899" s="33">
        <v>82</v>
      </c>
      <c r="D899" s="33">
        <v>20</v>
      </c>
      <c r="E899" s="33">
        <v>92.400001525878906</v>
      </c>
      <c r="F899" s="33">
        <v>3.2000000476837158</v>
      </c>
      <c r="G899" s="33">
        <v>0.40000000596046448</v>
      </c>
      <c r="H899" s="33">
        <v>2</v>
      </c>
      <c r="I899" s="33">
        <v>1</v>
      </c>
      <c r="J899" s="33">
        <v>90</v>
      </c>
      <c r="K899" s="33">
        <v>7.9999998211860657E-2</v>
      </c>
      <c r="L899" s="33">
        <v>7.0000000298023224E-2</v>
      </c>
      <c r="M899" s="33">
        <v>0.80000001192092896</v>
      </c>
      <c r="N899" s="33">
        <v>0.88999998569488525</v>
      </c>
      <c r="O899" s="33">
        <v>83.199996948242188</v>
      </c>
      <c r="P899" s="33">
        <v>156</v>
      </c>
      <c r="Q899" s="33">
        <v>2.7999999523162842</v>
      </c>
      <c r="R899" s="34" t="s">
        <v>526</v>
      </c>
      <c r="S899" s="33">
        <v>65</v>
      </c>
      <c r="T899" s="35">
        <v>0</v>
      </c>
    </row>
    <row r="900" spans="1:20">
      <c r="A900" s="31">
        <v>898</v>
      </c>
      <c r="B900" s="33" t="s">
        <v>1227</v>
      </c>
      <c r="C900" s="33">
        <v>86</v>
      </c>
      <c r="D900" s="33">
        <v>22</v>
      </c>
      <c r="E900" s="33">
        <v>93.199996948242188</v>
      </c>
      <c r="F900" s="33">
        <v>1.5</v>
      </c>
      <c r="G900" s="33">
        <v>0.20000000298023224</v>
      </c>
      <c r="H900" s="33">
        <v>1</v>
      </c>
      <c r="I900" s="33">
        <v>3.5999999046325684</v>
      </c>
      <c r="J900" s="33">
        <v>12</v>
      </c>
      <c r="K900" s="33">
        <v>2.9999999329447746E-2</v>
      </c>
      <c r="L900" s="33">
        <v>2.9999999329447746E-2</v>
      </c>
      <c r="M900" s="33">
        <v>0.40000000596046448</v>
      </c>
      <c r="N900" s="33">
        <v>0.5</v>
      </c>
      <c r="O900" s="33">
        <v>27.200000762939453</v>
      </c>
      <c r="P900" s="33">
        <v>49</v>
      </c>
      <c r="Q900" s="33">
        <v>0.60000002384185791</v>
      </c>
      <c r="R900" s="34" t="s">
        <v>526</v>
      </c>
      <c r="S900" s="33">
        <v>40</v>
      </c>
      <c r="T900" s="35">
        <v>0</v>
      </c>
    </row>
    <row r="901" spans="1:20">
      <c r="A901" s="31">
        <v>899</v>
      </c>
      <c r="B901" s="33" t="s">
        <v>1228</v>
      </c>
      <c r="C901" s="33">
        <v>81</v>
      </c>
      <c r="D901" s="33">
        <v>31</v>
      </c>
      <c r="E901" s="33">
        <v>90.5</v>
      </c>
      <c r="F901" s="33">
        <v>1.7999999523162842</v>
      </c>
      <c r="G901" s="33">
        <v>0.40000000596046448</v>
      </c>
      <c r="H901" s="33">
        <v>1.2000000476837158</v>
      </c>
      <c r="I901" s="33">
        <v>5</v>
      </c>
      <c r="J901" s="33">
        <v>193</v>
      </c>
      <c r="K901" s="33">
        <v>3.9999999105930328E-2</v>
      </c>
      <c r="L901" s="33">
        <v>0.14000000059604645</v>
      </c>
      <c r="M901" s="33">
        <v>2.2000000476837158</v>
      </c>
      <c r="N901" s="33">
        <v>0.80000001192092896</v>
      </c>
      <c r="O901" s="33">
        <v>48.5</v>
      </c>
      <c r="P901" s="33">
        <v>101</v>
      </c>
      <c r="Q901" s="33">
        <v>2.9000000953674316</v>
      </c>
      <c r="R901" s="34" t="s">
        <v>526</v>
      </c>
      <c r="S901" s="33">
        <v>48</v>
      </c>
      <c r="T901" s="35">
        <v>0</v>
      </c>
    </row>
    <row r="902" spans="1:20">
      <c r="A902" s="31">
        <v>900</v>
      </c>
      <c r="B902" s="33" t="s">
        <v>1229</v>
      </c>
      <c r="C902" s="33">
        <v>100</v>
      </c>
      <c r="D902" s="33">
        <v>293</v>
      </c>
      <c r="E902" s="33">
        <v>9.3000001907348633</v>
      </c>
      <c r="F902" s="33">
        <v>7.4000000953674316</v>
      </c>
      <c r="G902" s="33">
        <v>1.2999999523162842</v>
      </c>
      <c r="H902" s="33">
        <v>8.1999998092651367</v>
      </c>
      <c r="I902" s="33">
        <v>63</v>
      </c>
      <c r="J902" s="33">
        <v>472</v>
      </c>
      <c r="K902" s="33">
        <v>0.17000000178813934</v>
      </c>
      <c r="L902" s="33">
        <v>0</v>
      </c>
      <c r="M902" s="33">
        <v>6</v>
      </c>
      <c r="N902" s="33">
        <v>22.149999618530273</v>
      </c>
      <c r="O902" s="33">
        <v>0</v>
      </c>
      <c r="P902" s="33">
        <v>1723</v>
      </c>
      <c r="Q902" s="33">
        <v>22.299999237060547</v>
      </c>
      <c r="R902" s="34" t="s">
        <v>526</v>
      </c>
      <c r="S902" s="33">
        <v>0</v>
      </c>
      <c r="T902" s="35">
        <v>0</v>
      </c>
    </row>
    <row r="903" spans="1:20">
      <c r="A903" s="31">
        <v>901</v>
      </c>
      <c r="B903" s="33" t="s">
        <v>1230</v>
      </c>
      <c r="C903" s="33">
        <v>100</v>
      </c>
      <c r="D903" s="33">
        <v>36</v>
      </c>
      <c r="E903" s="33">
        <v>85.199996948242188</v>
      </c>
      <c r="F903" s="33">
        <v>4.8000001907348633</v>
      </c>
      <c r="G903" s="33">
        <v>0.40000000596046448</v>
      </c>
      <c r="H903" s="33">
        <v>4.3000001907348633</v>
      </c>
      <c r="I903" s="33">
        <v>3.2999999523162842</v>
      </c>
      <c r="J903" s="33">
        <v>122</v>
      </c>
      <c r="K903" s="33">
        <v>3.9999999105930328E-2</v>
      </c>
      <c r="L903" s="33">
        <v>0.11999999731779099</v>
      </c>
      <c r="M903" s="33">
        <v>0.89999997615814209</v>
      </c>
      <c r="N903" s="33">
        <v>0.54000002145767212</v>
      </c>
      <c r="O903" s="33">
        <v>0.69999998807907104</v>
      </c>
      <c r="P903" s="33">
        <v>62</v>
      </c>
      <c r="Q903" s="33">
        <v>7.9000000953674316</v>
      </c>
      <c r="R903" s="34" t="s">
        <v>526</v>
      </c>
      <c r="S903" s="33">
        <v>11</v>
      </c>
      <c r="T903" s="35">
        <v>0</v>
      </c>
    </row>
    <row r="904" spans="1:20">
      <c r="A904" s="31">
        <v>902</v>
      </c>
      <c r="B904" s="33" t="s">
        <v>1231</v>
      </c>
      <c r="C904" s="33">
        <v>83</v>
      </c>
      <c r="D904" s="33">
        <v>10</v>
      </c>
      <c r="E904" s="33">
        <v>96.199996948242188</v>
      </c>
      <c r="F904" s="33">
        <v>0.89999997615814209</v>
      </c>
      <c r="G904" s="33">
        <v>0</v>
      </c>
      <c r="H904" s="33">
        <v>0.89999997615814209</v>
      </c>
      <c r="I904" s="33">
        <v>1.7000000476837158</v>
      </c>
      <c r="J904" s="33">
        <v>0</v>
      </c>
      <c r="K904" s="33">
        <v>1.9999999552965164E-2</v>
      </c>
      <c r="L904" s="33">
        <v>3.9999999105930328E-2</v>
      </c>
      <c r="M904" s="33">
        <v>0.10000000149011612</v>
      </c>
      <c r="N904" s="33">
        <v>0.20000000298023224</v>
      </c>
      <c r="O904" s="33">
        <v>1</v>
      </c>
      <c r="P904" s="33">
        <v>6</v>
      </c>
      <c r="Q904" s="33">
        <v>0.10000000149011612</v>
      </c>
      <c r="R904" s="34" t="s">
        <v>1232</v>
      </c>
      <c r="S904" s="33">
        <v>16</v>
      </c>
      <c r="T904" s="35">
        <v>0</v>
      </c>
    </row>
    <row r="905" spans="1:20">
      <c r="A905" s="31">
        <v>903</v>
      </c>
      <c r="B905" s="33" t="s">
        <v>1233</v>
      </c>
      <c r="C905" s="33">
        <v>70</v>
      </c>
      <c r="D905" s="33">
        <v>24</v>
      </c>
      <c r="E905" s="33">
        <v>93</v>
      </c>
      <c r="F905" s="33">
        <v>0.40000000596046448</v>
      </c>
      <c r="G905" s="33">
        <v>0</v>
      </c>
      <c r="H905" s="33">
        <v>0.5</v>
      </c>
      <c r="I905" s="33">
        <v>5.6999998092651367</v>
      </c>
      <c r="J905" s="33">
        <v>17</v>
      </c>
      <c r="K905" s="33">
        <v>5.000000074505806E-2</v>
      </c>
      <c r="L905" s="33">
        <v>7.9999998211860657E-2</v>
      </c>
      <c r="M905" s="33">
        <v>0.69999998807907104</v>
      </c>
      <c r="N905" s="33">
        <v>17</v>
      </c>
      <c r="O905" s="33">
        <v>1.6000000238418579</v>
      </c>
      <c r="P905" s="33">
        <v>12</v>
      </c>
      <c r="Q905" s="33">
        <v>0.40000000596046448</v>
      </c>
      <c r="R905" s="34" t="s">
        <v>1232</v>
      </c>
      <c r="S905" s="33">
        <v>17</v>
      </c>
      <c r="T905" s="35">
        <v>0</v>
      </c>
    </row>
    <row r="906" spans="1:20">
      <c r="A906" s="31">
        <v>904</v>
      </c>
      <c r="B906" s="33" t="s">
        <v>1234</v>
      </c>
      <c r="C906" s="33">
        <v>55</v>
      </c>
      <c r="D906" s="33">
        <v>21</v>
      </c>
      <c r="E906" s="33">
        <v>93.199996948242188</v>
      </c>
      <c r="F906" s="33">
        <v>0.60000002384185791</v>
      </c>
      <c r="G906" s="33">
        <v>0.10000000149011612</v>
      </c>
      <c r="H906" s="33">
        <v>0.80000001192092896</v>
      </c>
      <c r="I906" s="33">
        <v>4.5</v>
      </c>
      <c r="J906" s="33">
        <v>7</v>
      </c>
      <c r="K906" s="33">
        <v>1.9999999552965164E-2</v>
      </c>
      <c r="L906" s="33">
        <v>2.9999999329447746E-2</v>
      </c>
      <c r="M906" s="33">
        <v>0.60000002384185791</v>
      </c>
      <c r="N906" s="33">
        <v>14</v>
      </c>
      <c r="O906" s="33">
        <v>0</v>
      </c>
      <c r="P906" s="33">
        <v>0</v>
      </c>
      <c r="Q906" s="33">
        <v>0</v>
      </c>
      <c r="R906" s="34" t="s">
        <v>1232</v>
      </c>
      <c r="S906" s="33">
        <v>14</v>
      </c>
      <c r="T906" s="35">
        <v>0</v>
      </c>
    </row>
    <row r="907" spans="1:20">
      <c r="A907" s="31">
        <v>905</v>
      </c>
      <c r="B907" s="33" t="s">
        <v>1235</v>
      </c>
      <c r="C907" s="33">
        <v>88</v>
      </c>
      <c r="D907" s="33">
        <v>18</v>
      </c>
      <c r="E907" s="33">
        <v>95</v>
      </c>
      <c r="F907" s="33">
        <v>0.60000002384185791</v>
      </c>
      <c r="G907" s="33">
        <v>0.20000000298023224</v>
      </c>
      <c r="H907" s="33">
        <v>0.40000000596046448</v>
      </c>
      <c r="I907" s="33">
        <v>3.5</v>
      </c>
      <c r="J907" s="33">
        <v>3</v>
      </c>
      <c r="K907" s="33">
        <v>1.9999999552965164E-2</v>
      </c>
      <c r="L907" s="33">
        <v>9.9999997764825821E-3</v>
      </c>
      <c r="M907" s="33">
        <v>0.20000000298023224</v>
      </c>
      <c r="N907" s="33">
        <v>2.9999999329447746E-2</v>
      </c>
      <c r="O907" s="33">
        <v>1.6000000238418579</v>
      </c>
      <c r="P907" s="33">
        <v>20</v>
      </c>
      <c r="Q907" s="33">
        <v>0.5</v>
      </c>
      <c r="R907" s="34" t="s">
        <v>1232</v>
      </c>
      <c r="S907" s="33">
        <v>12</v>
      </c>
      <c r="T907" s="35">
        <v>0</v>
      </c>
    </row>
    <row r="908" spans="1:20">
      <c r="A908" s="31">
        <v>906</v>
      </c>
      <c r="B908" s="33" t="s">
        <v>1236</v>
      </c>
      <c r="C908" s="33">
        <v>80</v>
      </c>
      <c r="D908" s="33">
        <v>11</v>
      </c>
      <c r="E908" s="33">
        <v>96.599998474121094</v>
      </c>
      <c r="F908" s="33">
        <v>0.40000000596046448</v>
      </c>
      <c r="G908" s="33">
        <v>0.20000000298023224</v>
      </c>
      <c r="H908" s="33">
        <v>0.69999998807907104</v>
      </c>
      <c r="I908" s="33">
        <v>1.8999999761581421</v>
      </c>
      <c r="J908" s="33">
        <v>13</v>
      </c>
      <c r="K908" s="33">
        <v>9.9999997764825821E-3</v>
      </c>
      <c r="L908" s="33">
        <v>9.9999997764825821E-3</v>
      </c>
      <c r="M908" s="33">
        <v>0.30000001192092896</v>
      </c>
      <c r="N908" s="33">
        <v>7.9999998211860657E-2</v>
      </c>
      <c r="O908" s="33">
        <v>1.7999999523162842</v>
      </c>
      <c r="P908" s="33">
        <v>19</v>
      </c>
      <c r="Q908" s="33">
        <v>0.20000000298023224</v>
      </c>
      <c r="R908" s="34" t="s">
        <v>1232</v>
      </c>
      <c r="S908" s="33">
        <v>18</v>
      </c>
      <c r="T908" s="35">
        <v>0</v>
      </c>
    </row>
    <row r="909" spans="1:20">
      <c r="A909" s="31">
        <v>907</v>
      </c>
      <c r="B909" s="33" t="s">
        <v>1237</v>
      </c>
      <c r="C909" s="33">
        <v>82</v>
      </c>
      <c r="D909" s="33">
        <v>13</v>
      </c>
      <c r="E909" s="33">
        <v>95.800003051757813</v>
      </c>
      <c r="F909" s="33">
        <v>0.80000001192092896</v>
      </c>
      <c r="G909" s="33">
        <v>0</v>
      </c>
      <c r="H909" s="33">
        <v>0.60000002384185791</v>
      </c>
      <c r="I909" s="33">
        <v>2.5</v>
      </c>
      <c r="J909" s="33">
        <v>23</v>
      </c>
      <c r="K909" s="33">
        <v>9.9999997764825821E-3</v>
      </c>
      <c r="L909" s="33">
        <v>9.9999997764825821E-3</v>
      </c>
      <c r="M909" s="33">
        <v>0.60000002384185791</v>
      </c>
      <c r="N909" s="33">
        <v>0.37000000476837158</v>
      </c>
      <c r="O909" s="33">
        <v>4.4000000953674316</v>
      </c>
      <c r="P909" s="33">
        <v>40</v>
      </c>
      <c r="Q909" s="33">
        <v>0.20000000298023224</v>
      </c>
      <c r="R909" s="34" t="s">
        <v>1232</v>
      </c>
      <c r="S909" s="33">
        <v>2</v>
      </c>
      <c r="T909" s="35">
        <v>0</v>
      </c>
    </row>
    <row r="910" spans="1:20">
      <c r="A910" s="31">
        <v>908</v>
      </c>
      <c r="B910" s="33" t="s">
        <v>1238</v>
      </c>
      <c r="C910" s="33">
        <v>100</v>
      </c>
      <c r="D910" s="33">
        <v>16</v>
      </c>
      <c r="E910" s="33">
        <v>94.300003051757813</v>
      </c>
      <c r="F910" s="33">
        <v>1.2000000476837158</v>
      </c>
      <c r="G910" s="33">
        <v>0.10000000149011612</v>
      </c>
      <c r="H910" s="33">
        <v>1.2000000476837158</v>
      </c>
      <c r="I910" s="33">
        <v>2.5999999046325684</v>
      </c>
      <c r="J910" s="33">
        <v>3</v>
      </c>
      <c r="K910" s="33">
        <v>9.9999997764825821E-3</v>
      </c>
      <c r="L910" s="33">
        <v>9.9999997764825821E-3</v>
      </c>
      <c r="M910" s="33">
        <v>0.10000000149011612</v>
      </c>
      <c r="N910" s="33">
        <v>0</v>
      </c>
      <c r="O910" s="33">
        <v>1</v>
      </c>
      <c r="P910" s="33">
        <v>17</v>
      </c>
      <c r="Q910" s="33">
        <v>0.10000000149011612</v>
      </c>
      <c r="R910" s="34" t="s">
        <v>1232</v>
      </c>
      <c r="S910" s="33">
        <v>8</v>
      </c>
      <c r="T910" s="35">
        <v>0</v>
      </c>
    </row>
    <row r="911" spans="1:20">
      <c r="A911" s="31">
        <v>909</v>
      </c>
      <c r="B911" s="33" t="s">
        <v>1239</v>
      </c>
      <c r="C911" s="33">
        <v>71</v>
      </c>
      <c r="D911" s="33">
        <v>34</v>
      </c>
      <c r="E911" s="33">
        <v>91</v>
      </c>
      <c r="F911" s="33">
        <v>0.5</v>
      </c>
      <c r="G911" s="33">
        <v>0.10000000149011612</v>
      </c>
      <c r="H911" s="33">
        <v>0.20000000298023224</v>
      </c>
      <c r="I911" s="33">
        <v>7.6999998092651367</v>
      </c>
      <c r="J911" s="33">
        <v>153</v>
      </c>
      <c r="K911" s="33">
        <v>0</v>
      </c>
      <c r="L911" s="33">
        <v>9.9999997764825821E-3</v>
      </c>
      <c r="M911" s="33">
        <v>0</v>
      </c>
      <c r="N911" s="33">
        <v>0</v>
      </c>
      <c r="O911" s="33">
        <v>26.700000762939453</v>
      </c>
      <c r="P911" s="33">
        <v>4</v>
      </c>
      <c r="Q911" s="33">
        <v>0</v>
      </c>
      <c r="R911" s="34" t="s">
        <v>1232</v>
      </c>
      <c r="S911" s="33">
        <v>12</v>
      </c>
      <c r="T911" s="35">
        <v>0</v>
      </c>
    </row>
    <row r="912" spans="1:20">
      <c r="A912" s="31">
        <v>910</v>
      </c>
      <c r="B912" s="33" t="s">
        <v>1240</v>
      </c>
      <c r="C912" s="33">
        <v>92</v>
      </c>
      <c r="D912" s="33">
        <v>15</v>
      </c>
      <c r="E912" s="33">
        <v>95.800003051757813</v>
      </c>
      <c r="F912" s="33">
        <v>0.80000001192092896</v>
      </c>
      <c r="G912" s="33">
        <v>0.20000000298023224</v>
      </c>
      <c r="H912" s="33">
        <v>0.5</v>
      </c>
      <c r="I912" s="33">
        <v>2.4000000953674316</v>
      </c>
      <c r="J912" s="33">
        <v>15</v>
      </c>
      <c r="K912" s="33">
        <v>1.9999999552965164E-2</v>
      </c>
      <c r="L912" s="33">
        <v>2.9999999329447746E-2</v>
      </c>
      <c r="M912" s="33">
        <v>0.20000000298023224</v>
      </c>
      <c r="N912" s="33">
        <v>0.46000000834465027</v>
      </c>
      <c r="O912" s="33">
        <v>4.9000000953674316</v>
      </c>
      <c r="P912" s="33">
        <v>24</v>
      </c>
      <c r="Q912" s="33">
        <v>0.5</v>
      </c>
      <c r="R912" s="34" t="s">
        <v>1232</v>
      </c>
      <c r="S912" s="33">
        <v>9</v>
      </c>
      <c r="T912" s="35">
        <v>0</v>
      </c>
    </row>
    <row r="913" spans="1:20">
      <c r="A913" s="31">
        <v>911</v>
      </c>
      <c r="B913" s="33" t="s">
        <v>1241</v>
      </c>
      <c r="C913" s="33">
        <v>56</v>
      </c>
      <c r="D913" s="33">
        <v>5</v>
      </c>
      <c r="E913" s="33">
        <v>95</v>
      </c>
      <c r="F913" s="33">
        <v>0.40000000596046448</v>
      </c>
      <c r="G913" s="33">
        <v>0</v>
      </c>
      <c r="H913" s="33">
        <v>3.2000000476837158</v>
      </c>
      <c r="I913" s="33">
        <v>0.80000001192092896</v>
      </c>
      <c r="J913" s="33">
        <v>30</v>
      </c>
      <c r="K913" s="33">
        <v>1.9999999552965164E-2</v>
      </c>
      <c r="L913" s="33">
        <v>9.9999997764825821E-3</v>
      </c>
      <c r="M913" s="33">
        <v>0.5</v>
      </c>
      <c r="N913" s="33">
        <v>0</v>
      </c>
      <c r="O913" s="33">
        <v>0</v>
      </c>
      <c r="P913" s="33">
        <v>0</v>
      </c>
      <c r="Q913" s="33">
        <v>0</v>
      </c>
      <c r="R913" s="34" t="s">
        <v>1232</v>
      </c>
      <c r="S913" s="33">
        <v>15</v>
      </c>
      <c r="T913" s="35">
        <v>0</v>
      </c>
    </row>
    <row r="914" spans="1:20">
      <c r="A914" s="31">
        <v>912</v>
      </c>
      <c r="B914" s="33" t="s">
        <v>1242</v>
      </c>
      <c r="C914" s="33">
        <v>100</v>
      </c>
      <c r="D914" s="33">
        <v>219</v>
      </c>
      <c r="E914" s="33">
        <v>25.399999618530273</v>
      </c>
      <c r="F914" s="33">
        <v>4.3000001907348633</v>
      </c>
      <c r="G914" s="33">
        <v>1.7999999523162842</v>
      </c>
      <c r="H914" s="33">
        <v>18.100000381469727</v>
      </c>
      <c r="I914" s="33">
        <v>46.5</v>
      </c>
      <c r="J914" s="33">
        <v>0</v>
      </c>
      <c r="K914" s="33">
        <v>5.000000074505806E-2</v>
      </c>
      <c r="L914" s="33">
        <v>2.9999999329447746E-2</v>
      </c>
      <c r="M914" s="33">
        <v>1.3999999761581421</v>
      </c>
      <c r="N914" s="33">
        <v>0</v>
      </c>
      <c r="O914" s="33">
        <v>36.299999237060547</v>
      </c>
      <c r="P914" s="33">
        <v>114</v>
      </c>
      <c r="Q914" s="33">
        <v>8</v>
      </c>
      <c r="R914" s="34" t="s">
        <v>1232</v>
      </c>
      <c r="S914" s="33">
        <v>0</v>
      </c>
      <c r="T914" s="35">
        <v>0</v>
      </c>
    </row>
    <row r="915" spans="1:20">
      <c r="A915" s="31">
        <v>913</v>
      </c>
      <c r="B915" s="33" t="s">
        <v>1243</v>
      </c>
      <c r="C915" s="33">
        <v>87</v>
      </c>
      <c r="D915" s="33">
        <v>14</v>
      </c>
      <c r="E915" s="33">
        <v>95.300003051757813</v>
      </c>
      <c r="F915" s="33">
        <v>0.69999998807907104</v>
      </c>
      <c r="G915" s="33">
        <v>0.10000000149011612</v>
      </c>
      <c r="H915" s="33">
        <v>0.80000001192092896</v>
      </c>
      <c r="I915" s="33">
        <v>2.7000000476837158</v>
      </c>
      <c r="J915" s="33">
        <v>7</v>
      </c>
      <c r="K915" s="33">
        <v>1.9999999552965164E-2</v>
      </c>
      <c r="L915" s="33">
        <v>9.9999997764825821E-3</v>
      </c>
      <c r="M915" s="33">
        <v>0.40000000596046448</v>
      </c>
      <c r="N915" s="33">
        <v>0</v>
      </c>
      <c r="O915" s="33">
        <v>0.60000002384185791</v>
      </c>
      <c r="P915" s="33">
        <v>16</v>
      </c>
      <c r="Q915" s="33">
        <v>0.40000000596046448</v>
      </c>
      <c r="R915" s="34" t="s">
        <v>1232</v>
      </c>
      <c r="S915" s="33">
        <v>11</v>
      </c>
      <c r="T915" s="35">
        <v>0</v>
      </c>
    </row>
    <row r="916" spans="1:20">
      <c r="A916" s="31">
        <v>914</v>
      </c>
      <c r="B916" s="33" t="s">
        <v>1244</v>
      </c>
      <c r="C916" s="33">
        <v>92</v>
      </c>
      <c r="D916" s="33">
        <v>12</v>
      </c>
      <c r="E916" s="33">
        <v>95.599998474121094</v>
      </c>
      <c r="F916" s="33">
        <v>0.60000002384185791</v>
      </c>
      <c r="G916" s="33">
        <v>0.10000000149011612</v>
      </c>
      <c r="H916" s="33">
        <v>1.2000000476837158</v>
      </c>
      <c r="I916" s="33">
        <v>2.2000000476837158</v>
      </c>
      <c r="J916" s="33">
        <v>0</v>
      </c>
      <c r="K916" s="33">
        <v>1.9999999552965164E-2</v>
      </c>
      <c r="L916" s="33">
        <v>5.000000074505806E-2</v>
      </c>
      <c r="M916" s="33">
        <v>0.40000000596046448</v>
      </c>
      <c r="N916" s="33">
        <v>0.27000001072883606</v>
      </c>
      <c r="O916" s="33">
        <v>0.20000000298023224</v>
      </c>
      <c r="P916" s="33">
        <v>4</v>
      </c>
      <c r="Q916" s="33">
        <v>0.10000000149011612</v>
      </c>
      <c r="R916" s="34" t="s">
        <v>1232</v>
      </c>
      <c r="S916" s="33">
        <v>39</v>
      </c>
      <c r="T916" s="35">
        <v>0</v>
      </c>
    </row>
    <row r="917" spans="1:20">
      <c r="A917" s="31">
        <v>915</v>
      </c>
      <c r="B917" s="33" t="s">
        <v>1245</v>
      </c>
      <c r="C917" s="33">
        <v>82</v>
      </c>
      <c r="D917" s="33">
        <v>14</v>
      </c>
      <c r="E917" s="33">
        <v>95.599998474121094</v>
      </c>
      <c r="F917" s="33">
        <v>0.5</v>
      </c>
      <c r="G917" s="33">
        <v>0.10000000149011612</v>
      </c>
      <c r="H917" s="33">
        <v>0.69999998807907104</v>
      </c>
      <c r="I917" s="33">
        <v>2.7000000476837158</v>
      </c>
      <c r="J917" s="33">
        <v>10</v>
      </c>
      <c r="K917" s="33">
        <v>1.9999999552965164E-2</v>
      </c>
      <c r="L917" s="33">
        <v>1.9999999552965164E-2</v>
      </c>
      <c r="M917" s="33">
        <v>0.60000002384185791</v>
      </c>
      <c r="N917" s="33">
        <v>0.43000000715255737</v>
      </c>
      <c r="O917" s="33">
        <v>0.89999997615814209</v>
      </c>
      <c r="P917" s="33">
        <v>17</v>
      </c>
      <c r="Q917" s="33">
        <v>0.89999997615814209</v>
      </c>
      <c r="R917" s="34" t="s">
        <v>1232</v>
      </c>
      <c r="S917" s="33">
        <v>2</v>
      </c>
      <c r="T917" s="35">
        <v>0</v>
      </c>
    </row>
    <row r="918" spans="1:20">
      <c r="A918" s="31">
        <v>916</v>
      </c>
      <c r="B918" s="33" t="s">
        <v>1246</v>
      </c>
      <c r="C918" s="33">
        <v>80</v>
      </c>
      <c r="D918" s="33">
        <v>37</v>
      </c>
      <c r="E918" s="33">
        <v>91.699996948242188</v>
      </c>
      <c r="F918" s="33">
        <v>3.2999999523162842</v>
      </c>
      <c r="G918" s="33">
        <v>2</v>
      </c>
      <c r="H918" s="33">
        <v>0.80000001192092896</v>
      </c>
      <c r="I918" s="33">
        <v>1.3999999761581421</v>
      </c>
      <c r="J918" s="33">
        <v>2</v>
      </c>
      <c r="K918" s="33">
        <v>1.9999999552965164E-2</v>
      </c>
      <c r="L918" s="33">
        <v>2.9999999329447746E-2</v>
      </c>
      <c r="M918" s="33">
        <v>0.69999998807907104</v>
      </c>
      <c r="N918" s="33">
        <v>9.9999997764825821E-3</v>
      </c>
      <c r="O918" s="33">
        <v>0</v>
      </c>
      <c r="P918" s="33">
        <v>25</v>
      </c>
      <c r="Q918" s="33">
        <v>0.30000001192092896</v>
      </c>
      <c r="R918" s="34" t="s">
        <v>1232</v>
      </c>
      <c r="S918" s="33">
        <v>0</v>
      </c>
      <c r="T918" s="35">
        <v>0</v>
      </c>
    </row>
    <row r="919" spans="1:20">
      <c r="A919" s="31">
        <v>917</v>
      </c>
      <c r="B919" s="33" t="s">
        <v>1247</v>
      </c>
      <c r="C919" s="33">
        <v>81</v>
      </c>
      <c r="D919" s="33">
        <v>8</v>
      </c>
      <c r="E919" s="33">
        <v>96.900001525878906</v>
      </c>
      <c r="F919" s="33">
        <v>0.60000002384185791</v>
      </c>
      <c r="G919" s="33">
        <v>0.10000000149011612</v>
      </c>
      <c r="H919" s="33">
        <v>0.69999998807907104</v>
      </c>
      <c r="I919" s="33">
        <v>1.2999999523162842</v>
      </c>
      <c r="J919" s="33">
        <v>0</v>
      </c>
      <c r="K919" s="33">
        <v>0</v>
      </c>
      <c r="L919" s="33">
        <v>2.9999999329447746E-2</v>
      </c>
      <c r="M919" s="33">
        <v>0.5</v>
      </c>
      <c r="N919" s="33">
        <v>0</v>
      </c>
      <c r="O919" s="33">
        <v>0</v>
      </c>
      <c r="P919" s="33">
        <v>0</v>
      </c>
      <c r="Q919" s="33">
        <v>0</v>
      </c>
      <c r="R919" s="34" t="s">
        <v>1232</v>
      </c>
      <c r="S919" s="33">
        <v>18</v>
      </c>
      <c r="T919" s="35">
        <v>0</v>
      </c>
    </row>
    <row r="920" spans="1:20">
      <c r="A920" s="31">
        <v>918</v>
      </c>
      <c r="B920" s="33" t="s">
        <v>1248</v>
      </c>
      <c r="C920" s="33">
        <v>81</v>
      </c>
      <c r="D920" s="33">
        <v>19</v>
      </c>
      <c r="E920" s="33">
        <v>93.400001525878906</v>
      </c>
      <c r="F920" s="33">
        <v>1</v>
      </c>
      <c r="G920" s="33">
        <v>0.10000000149011612</v>
      </c>
      <c r="H920" s="33">
        <v>1.3999999761581421</v>
      </c>
      <c r="I920" s="33">
        <v>3.5</v>
      </c>
      <c r="J920" s="33">
        <v>17</v>
      </c>
      <c r="K920" s="33">
        <v>2.9999999329447746E-2</v>
      </c>
      <c r="L920" s="33">
        <v>2.9999999329447746E-2</v>
      </c>
      <c r="M920" s="33">
        <v>0.40000000596046448</v>
      </c>
      <c r="N920" s="33">
        <v>0.85000002384185791</v>
      </c>
      <c r="O920" s="33">
        <v>2.5</v>
      </c>
      <c r="P920" s="33">
        <v>14</v>
      </c>
      <c r="Q920" s="33">
        <v>0.69999998807907104</v>
      </c>
      <c r="R920" s="34" t="s">
        <v>1232</v>
      </c>
      <c r="S920" s="33">
        <v>56</v>
      </c>
      <c r="T920" s="35">
        <v>0</v>
      </c>
    </row>
    <row r="921" spans="1:20">
      <c r="A921" s="31">
        <v>919</v>
      </c>
      <c r="B921" s="33" t="s">
        <v>1249</v>
      </c>
      <c r="C921" s="33">
        <v>71</v>
      </c>
      <c r="D921" s="33">
        <v>6</v>
      </c>
      <c r="E921" s="33">
        <v>98.099998474121094</v>
      </c>
      <c r="F921" s="33">
        <v>1.2000000476837158</v>
      </c>
      <c r="G921" s="33">
        <v>0.10000000149011612</v>
      </c>
      <c r="H921" s="33">
        <v>0.40000000596046448</v>
      </c>
      <c r="I921" s="33">
        <v>0</v>
      </c>
      <c r="J921" s="33">
        <v>0</v>
      </c>
      <c r="K921" s="33">
        <v>0</v>
      </c>
      <c r="L921" s="33">
        <v>3.9999999105930328E-2</v>
      </c>
      <c r="M921" s="33">
        <v>0</v>
      </c>
      <c r="N921" s="33">
        <v>0</v>
      </c>
      <c r="O921" s="33">
        <v>5.1999998092651367</v>
      </c>
      <c r="P921" s="33">
        <v>12</v>
      </c>
      <c r="Q921" s="33">
        <v>0.5</v>
      </c>
      <c r="R921" s="34" t="s">
        <v>1232</v>
      </c>
      <c r="S921" s="33">
        <v>0</v>
      </c>
      <c r="T921" s="35">
        <v>0</v>
      </c>
    </row>
    <row r="922" spans="1:20">
      <c r="A922" s="31">
        <v>920</v>
      </c>
      <c r="B922" s="33" t="s">
        <v>1250</v>
      </c>
      <c r="C922" s="33">
        <v>66</v>
      </c>
      <c r="D922" s="33">
        <v>16</v>
      </c>
      <c r="E922" s="33">
        <v>95.199996948242188</v>
      </c>
      <c r="F922" s="33">
        <v>0.69999998807907104</v>
      </c>
      <c r="G922" s="33">
        <v>0.10000000149011612</v>
      </c>
      <c r="H922" s="33">
        <v>0.40000000596046448</v>
      </c>
      <c r="I922" s="33">
        <v>3.2000000476837158</v>
      </c>
      <c r="J922" s="33">
        <v>0</v>
      </c>
      <c r="K922" s="33">
        <v>0</v>
      </c>
      <c r="L922" s="33">
        <v>2.9999999329447746E-2</v>
      </c>
      <c r="M922" s="33">
        <v>0.40000000596046448</v>
      </c>
      <c r="N922" s="33">
        <v>0</v>
      </c>
      <c r="O922" s="33">
        <v>0</v>
      </c>
      <c r="P922" s="33">
        <v>0</v>
      </c>
      <c r="Q922" s="33">
        <v>0</v>
      </c>
      <c r="R922" s="34" t="s">
        <v>1232</v>
      </c>
      <c r="S922" s="33">
        <v>17</v>
      </c>
      <c r="T922" s="35">
        <v>0</v>
      </c>
    </row>
    <row r="923" spans="1:20">
      <c r="A923" s="31">
        <v>921</v>
      </c>
      <c r="B923" s="33" t="s">
        <v>1251</v>
      </c>
      <c r="C923" s="33">
        <v>88</v>
      </c>
      <c r="D923" s="33">
        <v>10</v>
      </c>
      <c r="E923" s="33">
        <v>97</v>
      </c>
      <c r="F923" s="33">
        <v>0.80000001192092896</v>
      </c>
      <c r="G923" s="33">
        <v>0</v>
      </c>
      <c r="H923" s="33">
        <v>0</v>
      </c>
      <c r="I923" s="33">
        <v>1.7999999523162842</v>
      </c>
      <c r="J923" s="33">
        <v>97</v>
      </c>
      <c r="K923" s="33">
        <v>9.9999997764825821E-3</v>
      </c>
      <c r="L923" s="33">
        <v>1.9999999552965164E-2</v>
      </c>
      <c r="M923" s="33">
        <v>0.10000000149011612</v>
      </c>
      <c r="N923" s="33">
        <v>0</v>
      </c>
      <c r="O923" s="33">
        <v>0.60000002384185791</v>
      </c>
      <c r="P923" s="33">
        <v>14</v>
      </c>
      <c r="Q923" s="33">
        <v>0.80000001192092896</v>
      </c>
      <c r="R923" s="34" t="s">
        <v>1232</v>
      </c>
      <c r="S923" s="33">
        <v>0</v>
      </c>
      <c r="T923" s="35">
        <v>0</v>
      </c>
    </row>
    <row r="924" spans="1:20">
      <c r="A924" s="31">
        <v>922</v>
      </c>
      <c r="B924" s="33" t="s">
        <v>1252</v>
      </c>
      <c r="C924" s="33">
        <v>86</v>
      </c>
      <c r="D924" s="33">
        <v>27</v>
      </c>
      <c r="E924" s="33">
        <v>92.199996948242188</v>
      </c>
      <c r="F924" s="33">
        <v>0.40000000596046448</v>
      </c>
      <c r="G924" s="33">
        <v>0.10000000149011612</v>
      </c>
      <c r="H924" s="33">
        <v>0.80000001192092896</v>
      </c>
      <c r="I924" s="33">
        <v>6.1999998092651367</v>
      </c>
      <c r="J924" s="33">
        <v>145</v>
      </c>
      <c r="K924" s="33">
        <v>9.9999997764825821E-3</v>
      </c>
      <c r="L924" s="33">
        <v>1.9999999552965164E-2</v>
      </c>
      <c r="M924" s="33">
        <v>0.30000001192092896</v>
      </c>
      <c r="N924" s="33">
        <v>0.30000001192092896</v>
      </c>
      <c r="O924" s="33">
        <v>28</v>
      </c>
      <c r="P924" s="33">
        <v>17</v>
      </c>
      <c r="Q924" s="33">
        <v>0.20000000298023224</v>
      </c>
      <c r="R924" s="34" t="s">
        <v>1232</v>
      </c>
      <c r="S924" s="33">
        <v>43</v>
      </c>
      <c r="T924" s="35">
        <v>0</v>
      </c>
    </row>
    <row r="925" spans="1:20">
      <c r="A925" s="31">
        <v>923</v>
      </c>
      <c r="B925" s="33" t="s">
        <v>1253</v>
      </c>
      <c r="C925" s="33">
        <v>85</v>
      </c>
      <c r="D925" s="33">
        <v>22</v>
      </c>
      <c r="E925" s="33">
        <v>93.5</v>
      </c>
      <c r="F925" s="33">
        <v>0.69999998807907104</v>
      </c>
      <c r="G925" s="33">
        <v>0.10000000149011612</v>
      </c>
      <c r="H925" s="33">
        <v>0.80000001192092896</v>
      </c>
      <c r="I925" s="33">
        <v>4.5</v>
      </c>
      <c r="J925" s="33">
        <v>148</v>
      </c>
      <c r="K925" s="33">
        <v>2.9999999329447746E-2</v>
      </c>
      <c r="L925" s="33">
        <v>3.9999999105930328E-2</v>
      </c>
      <c r="M925" s="33">
        <v>0.40000000596046448</v>
      </c>
      <c r="N925" s="33">
        <v>0.36000001430511475</v>
      </c>
      <c r="O925" s="33">
        <v>0.80000001192092896</v>
      </c>
      <c r="P925" s="33">
        <v>16</v>
      </c>
      <c r="Q925" s="33">
        <v>0.40000000596046448</v>
      </c>
      <c r="R925" s="34" t="s">
        <v>1232</v>
      </c>
      <c r="S925" s="33">
        <v>8</v>
      </c>
      <c r="T925" s="35">
        <v>0</v>
      </c>
    </row>
    <row r="926" spans="1:20">
      <c r="A926" s="31">
        <v>924</v>
      </c>
      <c r="B926" s="33" t="s">
        <v>1254</v>
      </c>
      <c r="C926" s="33">
        <v>89</v>
      </c>
      <c r="D926" s="33">
        <v>15</v>
      </c>
      <c r="E926" s="33">
        <v>94.099998474121094</v>
      </c>
      <c r="F926" s="33">
        <v>1.5</v>
      </c>
      <c r="G926" s="33">
        <v>0.10000000149011612</v>
      </c>
      <c r="H926" s="33">
        <v>2</v>
      </c>
      <c r="I926" s="33">
        <v>1.7000000476837158</v>
      </c>
      <c r="J926" s="33">
        <v>3</v>
      </c>
      <c r="K926" s="33">
        <v>0.10000000149011612</v>
      </c>
      <c r="L926" s="33">
        <v>2.9999999329447746E-2</v>
      </c>
      <c r="M926" s="33">
        <v>0.10000000149011612</v>
      </c>
      <c r="N926" s="33">
        <v>0</v>
      </c>
      <c r="O926" s="33">
        <v>2.2000000476837158</v>
      </c>
      <c r="P926" s="33">
        <v>191</v>
      </c>
      <c r="Q926" s="33">
        <v>1.2000000476837158</v>
      </c>
      <c r="R926" s="34" t="s">
        <v>1232</v>
      </c>
      <c r="S926" s="33">
        <v>4</v>
      </c>
      <c r="T926" s="35">
        <v>0</v>
      </c>
    </row>
    <row r="927" spans="1:20">
      <c r="A927" s="31">
        <v>925</v>
      </c>
      <c r="B927" s="33" t="s">
        <v>1255</v>
      </c>
      <c r="C927" s="33">
        <v>83</v>
      </c>
      <c r="D927" s="33">
        <v>20</v>
      </c>
      <c r="E927" s="33">
        <v>94.300003051757813</v>
      </c>
      <c r="F927" s="33">
        <v>1</v>
      </c>
      <c r="G927" s="33">
        <v>0.20000000298023224</v>
      </c>
      <c r="H927" s="33">
        <v>0.60000002384185791</v>
      </c>
      <c r="I927" s="33">
        <v>3.5999999046325684</v>
      </c>
      <c r="J927" s="33">
        <v>15</v>
      </c>
      <c r="K927" s="33">
        <v>1.9999999552965164E-2</v>
      </c>
      <c r="L927" s="33">
        <v>3.9999999105930328E-2</v>
      </c>
      <c r="M927" s="33">
        <v>0.40000000596046448</v>
      </c>
      <c r="N927" s="33">
        <v>0.2199999988079071</v>
      </c>
      <c r="O927" s="33">
        <v>2.5999999046325684</v>
      </c>
      <c r="P927" s="33">
        <v>14</v>
      </c>
      <c r="Q927" s="33">
        <v>0.40000000596046448</v>
      </c>
      <c r="R927" s="34" t="s">
        <v>1232</v>
      </c>
      <c r="S927" s="33">
        <v>5</v>
      </c>
      <c r="T927" s="35">
        <v>0</v>
      </c>
    </row>
    <row r="928" spans="1:20">
      <c r="A928" s="31">
        <v>926</v>
      </c>
      <c r="B928" s="33" t="s">
        <v>1256</v>
      </c>
      <c r="C928" s="33">
        <v>91</v>
      </c>
      <c r="D928" s="33">
        <v>12</v>
      </c>
      <c r="E928" s="33">
        <v>96.099998474121094</v>
      </c>
      <c r="F928" s="33">
        <v>0.5</v>
      </c>
      <c r="G928" s="33">
        <v>0</v>
      </c>
      <c r="H928" s="33">
        <v>0.69999998807907104</v>
      </c>
      <c r="I928" s="33">
        <v>2.4000000953674316</v>
      </c>
      <c r="J928" s="33">
        <v>17</v>
      </c>
      <c r="K928" s="33">
        <v>3.9999999105930328E-2</v>
      </c>
      <c r="L928" s="33">
        <v>1.9999999552965164E-2</v>
      </c>
      <c r="M928" s="33">
        <v>0</v>
      </c>
      <c r="N928" s="33">
        <v>0.28999999165534973</v>
      </c>
      <c r="O928" s="33">
        <v>0</v>
      </c>
      <c r="P928" s="33">
        <v>14</v>
      </c>
      <c r="Q928" s="33">
        <v>0.60000002384185791</v>
      </c>
      <c r="R928" s="34" t="s">
        <v>1232</v>
      </c>
      <c r="S928" s="33">
        <v>5</v>
      </c>
      <c r="T928" s="35">
        <v>0</v>
      </c>
    </row>
    <row r="929" spans="1:20">
      <c r="A929" s="31">
        <v>927</v>
      </c>
      <c r="B929" s="33" t="s">
        <v>1257</v>
      </c>
      <c r="C929" s="33">
        <v>78</v>
      </c>
      <c r="D929" s="33">
        <v>26</v>
      </c>
      <c r="E929" s="33">
        <v>92.900001525878906</v>
      </c>
      <c r="F929" s="33">
        <v>0.40000000596046448</v>
      </c>
      <c r="G929" s="33">
        <v>0.10000000149011612</v>
      </c>
      <c r="H929" s="33">
        <v>0.40000000596046448</v>
      </c>
      <c r="I929" s="33">
        <v>5.8000001907348633</v>
      </c>
      <c r="J929" s="33">
        <v>5</v>
      </c>
      <c r="K929" s="33">
        <v>1.9999999552965164E-2</v>
      </c>
      <c r="L929" s="33">
        <v>2.9999999329447746E-2</v>
      </c>
      <c r="M929" s="33">
        <v>0.30000001192092896</v>
      </c>
      <c r="N929" s="33">
        <v>0.4699999988079071</v>
      </c>
      <c r="O929" s="33">
        <v>8.8000001907348633</v>
      </c>
      <c r="P929" s="33">
        <v>14</v>
      </c>
      <c r="Q929" s="33">
        <v>0.69999998807907104</v>
      </c>
      <c r="R929" s="34" t="s">
        <v>1232</v>
      </c>
      <c r="S929" s="33">
        <v>15</v>
      </c>
      <c r="T929" s="35">
        <v>0</v>
      </c>
    </row>
    <row r="930" spans="1:20">
      <c r="A930" s="31">
        <v>928</v>
      </c>
      <c r="B930" s="33" t="s">
        <v>1258</v>
      </c>
      <c r="C930" s="33">
        <v>79</v>
      </c>
      <c r="D930" s="33">
        <v>22</v>
      </c>
      <c r="E930" s="33">
        <v>94.400001525878906</v>
      </c>
      <c r="F930" s="33">
        <v>0.69999998807907104</v>
      </c>
      <c r="G930" s="33">
        <v>0</v>
      </c>
      <c r="H930" s="33">
        <v>0</v>
      </c>
      <c r="I930" s="33">
        <v>4.8000001907348633</v>
      </c>
      <c r="J930" s="33">
        <v>0</v>
      </c>
      <c r="K930" s="33">
        <v>0</v>
      </c>
      <c r="L930" s="33">
        <v>9.9999997764825821E-3</v>
      </c>
      <c r="M930" s="33">
        <v>0</v>
      </c>
      <c r="N930" s="33">
        <v>0</v>
      </c>
      <c r="O930" s="33">
        <v>1.7000000476837158</v>
      </c>
      <c r="P930" s="33">
        <v>5</v>
      </c>
      <c r="Q930" s="33">
        <v>0.20000000298023224</v>
      </c>
      <c r="R930" s="34" t="s">
        <v>1232</v>
      </c>
      <c r="S930" s="33">
        <v>0</v>
      </c>
      <c r="T930" s="35">
        <v>0</v>
      </c>
    </row>
    <row r="931" spans="1:20">
      <c r="A931" s="31">
        <v>929</v>
      </c>
      <c r="B931" s="33" t="s">
        <v>1259</v>
      </c>
      <c r="C931" s="33">
        <v>56</v>
      </c>
      <c r="D931" s="33">
        <v>25</v>
      </c>
      <c r="E931" s="33">
        <v>93.300003051757813</v>
      </c>
      <c r="F931" s="33">
        <v>0.60000002384185791</v>
      </c>
      <c r="G931" s="33">
        <v>0.10000000149011612</v>
      </c>
      <c r="H931" s="33">
        <v>0.30000001192092896</v>
      </c>
      <c r="I931" s="33">
        <v>5.5</v>
      </c>
      <c r="J931" s="33">
        <v>75</v>
      </c>
      <c r="K931" s="33">
        <v>1.9999999552965164E-2</v>
      </c>
      <c r="L931" s="33">
        <v>2.9999999329447746E-2</v>
      </c>
      <c r="M931" s="33">
        <v>0.20000000298023224</v>
      </c>
      <c r="N931" s="33">
        <v>0.10000000149011612</v>
      </c>
      <c r="O931" s="33">
        <v>3.2000000476837158</v>
      </c>
      <c r="P931" s="33">
        <v>8</v>
      </c>
      <c r="Q931" s="33">
        <v>0.30000001192092896</v>
      </c>
      <c r="R931" s="34" t="s">
        <v>1232</v>
      </c>
      <c r="S931" s="33">
        <v>6</v>
      </c>
      <c r="T931" s="35">
        <v>0</v>
      </c>
    </row>
    <row r="932" spans="1:20">
      <c r="A932" s="31">
        <v>930</v>
      </c>
      <c r="B932" s="33" t="s">
        <v>1260</v>
      </c>
      <c r="C932" s="33">
        <v>64</v>
      </c>
      <c r="D932" s="33">
        <v>32</v>
      </c>
      <c r="E932" s="33">
        <v>92.300003051757813</v>
      </c>
      <c r="F932" s="33">
        <v>0.5</v>
      </c>
      <c r="G932" s="33">
        <v>0.5</v>
      </c>
      <c r="H932" s="33">
        <v>0.10000000149011612</v>
      </c>
      <c r="I932" s="33">
        <v>6.4000000953674316</v>
      </c>
      <c r="J932" s="33">
        <v>38</v>
      </c>
      <c r="K932" s="33">
        <v>9.9999997764825821E-3</v>
      </c>
      <c r="L932" s="33">
        <v>2.9999999329447746E-2</v>
      </c>
      <c r="M932" s="33">
        <v>0.20000000298023224</v>
      </c>
      <c r="N932" s="33">
        <v>0.15999999642372131</v>
      </c>
      <c r="O932" s="33">
        <v>0</v>
      </c>
      <c r="P932" s="33">
        <v>0</v>
      </c>
      <c r="Q932" s="33">
        <v>0</v>
      </c>
      <c r="R932" s="34" t="s">
        <v>1232</v>
      </c>
      <c r="S932" s="33">
        <v>6</v>
      </c>
      <c r="T932" s="35">
        <v>0</v>
      </c>
    </row>
    <row r="933" spans="1:20">
      <c r="A933" s="31">
        <v>931</v>
      </c>
      <c r="B933" s="33" t="s">
        <v>1261</v>
      </c>
      <c r="C933" s="33">
        <v>59</v>
      </c>
      <c r="D933" s="33">
        <v>34</v>
      </c>
      <c r="E933" s="33">
        <v>91.199996948242188</v>
      </c>
      <c r="F933" s="33">
        <v>0.5</v>
      </c>
      <c r="G933" s="33">
        <v>0</v>
      </c>
      <c r="H933" s="33">
        <v>0.20000000298023224</v>
      </c>
      <c r="I933" s="33">
        <v>7.9000000953674316</v>
      </c>
      <c r="J933" s="33">
        <v>13</v>
      </c>
      <c r="K933" s="33">
        <v>1.9999999552965164E-2</v>
      </c>
      <c r="L933" s="33">
        <v>3.9999999105930328E-2</v>
      </c>
      <c r="M933" s="33">
        <v>0.40000000596046448</v>
      </c>
      <c r="N933" s="33">
        <v>2.9999999329447746E-2</v>
      </c>
      <c r="O933" s="33">
        <v>4.1999998092651367</v>
      </c>
      <c r="P933" s="33">
        <v>10</v>
      </c>
      <c r="Q933" s="33">
        <v>0.5</v>
      </c>
      <c r="R933" s="34" t="s">
        <v>1232</v>
      </c>
      <c r="S933" s="33">
        <v>7</v>
      </c>
      <c r="T933" s="35">
        <v>0</v>
      </c>
    </row>
    <row r="934" spans="1:20">
      <c r="A934" s="31">
        <v>932</v>
      </c>
      <c r="B934" s="33" t="s">
        <v>1262</v>
      </c>
      <c r="C934" s="33">
        <v>59</v>
      </c>
      <c r="D934" s="33">
        <v>25</v>
      </c>
      <c r="E934" s="33">
        <v>93.400001525878906</v>
      </c>
      <c r="F934" s="33">
        <v>0.60000002384185791</v>
      </c>
      <c r="G934" s="33">
        <v>0.10000000149011612</v>
      </c>
      <c r="H934" s="33">
        <v>0.20000000298023224</v>
      </c>
      <c r="I934" s="33">
        <v>5.5</v>
      </c>
      <c r="J934" s="33">
        <v>35</v>
      </c>
      <c r="K934" s="33">
        <v>1.9999999552965164E-2</v>
      </c>
      <c r="L934" s="33">
        <v>3.9999999105930328E-2</v>
      </c>
      <c r="M934" s="33">
        <v>0.30000001192092896</v>
      </c>
      <c r="N934" s="33">
        <v>0.12999999523162842</v>
      </c>
      <c r="O934" s="33">
        <v>2.4000000953674316</v>
      </c>
      <c r="P934" s="33">
        <v>4</v>
      </c>
      <c r="Q934" s="33">
        <v>0.20000000298023224</v>
      </c>
      <c r="R934" s="34" t="s">
        <v>1232</v>
      </c>
      <c r="S934" s="33">
        <v>4</v>
      </c>
      <c r="T934" s="35">
        <v>0</v>
      </c>
    </row>
    <row r="935" spans="1:20">
      <c r="A935" s="31">
        <v>933</v>
      </c>
      <c r="B935" s="33" t="s">
        <v>1263</v>
      </c>
      <c r="C935" s="33">
        <v>73</v>
      </c>
      <c r="D935" s="33">
        <v>18</v>
      </c>
      <c r="E935" s="33">
        <v>94.900001525878906</v>
      </c>
      <c r="F935" s="33">
        <v>0.80000001192092896</v>
      </c>
      <c r="G935" s="33">
        <v>0.20000000298023224</v>
      </c>
      <c r="H935" s="33">
        <v>0.60000002384185791</v>
      </c>
      <c r="I935" s="33">
        <v>3.2000000476837158</v>
      </c>
      <c r="J935" s="33">
        <v>5</v>
      </c>
      <c r="K935" s="33">
        <v>9.9999997764825821E-3</v>
      </c>
      <c r="L935" s="33">
        <v>2.9999999329447746E-2</v>
      </c>
      <c r="M935" s="33">
        <v>0.20000000298023224</v>
      </c>
      <c r="N935" s="33">
        <v>0.34000000357627869</v>
      </c>
      <c r="O935" s="33">
        <v>5</v>
      </c>
      <c r="P935" s="33">
        <v>15</v>
      </c>
      <c r="Q935" s="33">
        <v>0.30000001192092896</v>
      </c>
      <c r="R935" s="34" t="s">
        <v>1232</v>
      </c>
      <c r="S935" s="33">
        <v>6</v>
      </c>
      <c r="T935" s="35">
        <v>0</v>
      </c>
    </row>
    <row r="936" spans="1:20">
      <c r="A936" s="31">
        <v>934</v>
      </c>
      <c r="B936" s="33" t="s">
        <v>1264</v>
      </c>
      <c r="C936" s="33">
        <v>46</v>
      </c>
      <c r="D936" s="33">
        <v>4</v>
      </c>
      <c r="E936" s="33">
        <v>98.699996948242188</v>
      </c>
      <c r="F936" s="33">
        <v>0.20000000298023224</v>
      </c>
      <c r="G936" s="33">
        <v>0.30000001192092896</v>
      </c>
      <c r="H936" s="33">
        <v>0.5</v>
      </c>
      <c r="I936" s="33">
        <v>0.10000000149011612</v>
      </c>
      <c r="J936" s="33">
        <v>0</v>
      </c>
      <c r="K936" s="33">
        <v>0</v>
      </c>
      <c r="L936" s="33">
        <v>2.9999999329447746E-2</v>
      </c>
      <c r="M936" s="33">
        <v>0.10000000149011612</v>
      </c>
      <c r="N936" s="33">
        <v>0</v>
      </c>
      <c r="O936" s="33">
        <v>0</v>
      </c>
      <c r="P936" s="33">
        <v>0</v>
      </c>
      <c r="Q936" s="33">
        <v>0</v>
      </c>
      <c r="R936" s="34" t="s">
        <v>1232</v>
      </c>
      <c r="S936" s="33">
        <v>10</v>
      </c>
      <c r="T936" s="35">
        <v>0</v>
      </c>
    </row>
    <row r="937" spans="1:20">
      <c r="A937" s="31">
        <v>935</v>
      </c>
      <c r="B937" s="33" t="s">
        <v>1265</v>
      </c>
      <c r="C937" s="33">
        <v>96</v>
      </c>
      <c r="D937" s="33">
        <v>19</v>
      </c>
      <c r="E937" s="33">
        <v>93.099998474121094</v>
      </c>
      <c r="F937" s="33">
        <v>1</v>
      </c>
      <c r="G937" s="33">
        <v>0.10000000149011612</v>
      </c>
      <c r="H937" s="33">
        <v>1.8999999761581421</v>
      </c>
      <c r="I937" s="33">
        <v>3.5</v>
      </c>
      <c r="J937" s="33">
        <v>30</v>
      </c>
      <c r="K937" s="33">
        <v>2.9999999329447746E-2</v>
      </c>
      <c r="L937" s="33">
        <v>2.9999999329447746E-2</v>
      </c>
      <c r="M937" s="33">
        <v>0.60000002384185791</v>
      </c>
      <c r="N937" s="33">
        <v>0.20000000298023224</v>
      </c>
      <c r="O937" s="33">
        <v>6.4000000953674316</v>
      </c>
      <c r="P937" s="33">
        <v>55</v>
      </c>
      <c r="Q937" s="33">
        <v>0.40000000596046448</v>
      </c>
      <c r="R937" s="34" t="s">
        <v>526</v>
      </c>
      <c r="S937" s="33">
        <v>7</v>
      </c>
      <c r="T937" s="35">
        <v>0</v>
      </c>
    </row>
    <row r="938" spans="1:20">
      <c r="A938" s="31">
        <v>936</v>
      </c>
      <c r="B938" s="33" t="s">
        <v>1266</v>
      </c>
      <c r="C938" s="33">
        <v>82</v>
      </c>
      <c r="D938" s="33">
        <v>22</v>
      </c>
      <c r="E938" s="33">
        <v>93</v>
      </c>
      <c r="F938" s="33">
        <v>1</v>
      </c>
      <c r="G938" s="33">
        <v>0.20000000298023224</v>
      </c>
      <c r="H938" s="33">
        <v>1.3999999761581421</v>
      </c>
      <c r="I938" s="33">
        <v>4</v>
      </c>
      <c r="J938" s="33">
        <v>57</v>
      </c>
      <c r="K938" s="33">
        <v>2.9999999329447746E-2</v>
      </c>
      <c r="L938" s="33">
        <v>2.9999999329447746E-2</v>
      </c>
      <c r="M938" s="33">
        <v>0.89999997615814209</v>
      </c>
      <c r="N938" s="33">
        <v>0.5899999737739563</v>
      </c>
      <c r="O938" s="33">
        <v>3.2999999523162842</v>
      </c>
      <c r="P938" s="33">
        <v>14</v>
      </c>
      <c r="Q938" s="33">
        <v>0.80000001192092896</v>
      </c>
      <c r="R938" s="34" t="s">
        <v>526</v>
      </c>
      <c r="S938" s="33">
        <v>72</v>
      </c>
      <c r="T938" s="35">
        <v>0</v>
      </c>
    </row>
    <row r="939" spans="1:20">
      <c r="A939" s="31">
        <v>937</v>
      </c>
      <c r="B939" s="33" t="s">
        <v>1267</v>
      </c>
      <c r="C939" s="33">
        <v>97</v>
      </c>
      <c r="D939" s="33">
        <v>19</v>
      </c>
      <c r="E939" s="33">
        <v>94.400001525878906</v>
      </c>
      <c r="F939" s="33">
        <v>0.89999997615814209</v>
      </c>
      <c r="G939" s="33">
        <v>0.20000000298023224</v>
      </c>
      <c r="H939" s="33">
        <v>0.5</v>
      </c>
      <c r="I939" s="33">
        <v>3.5</v>
      </c>
      <c r="J939" s="33">
        <v>92</v>
      </c>
      <c r="K939" s="33">
        <v>2.9999999329447746E-2</v>
      </c>
      <c r="L939" s="33">
        <v>2.9999999329447746E-2</v>
      </c>
      <c r="M939" s="33">
        <v>0.60000002384185791</v>
      </c>
      <c r="N939" s="33">
        <v>0.56999999284744263</v>
      </c>
      <c r="O939" s="33">
        <v>5</v>
      </c>
      <c r="P939" s="33">
        <v>10</v>
      </c>
      <c r="Q939" s="33">
        <v>0.40000000596046448</v>
      </c>
      <c r="R939" s="34" t="s">
        <v>526</v>
      </c>
      <c r="S939" s="33">
        <v>19</v>
      </c>
      <c r="T939" s="35">
        <v>0</v>
      </c>
    </row>
    <row r="940" spans="1:20">
      <c r="A940" s="31">
        <v>938</v>
      </c>
      <c r="B940" s="33" t="s">
        <v>1268</v>
      </c>
      <c r="C940" s="33">
        <v>100</v>
      </c>
      <c r="D940" s="33">
        <v>21</v>
      </c>
      <c r="E940" s="33">
        <v>93.5</v>
      </c>
      <c r="F940" s="33">
        <v>2</v>
      </c>
      <c r="G940" s="33">
        <v>0.60000002384185791</v>
      </c>
      <c r="H940" s="33">
        <v>0.80000001192092896</v>
      </c>
      <c r="I940" s="33">
        <v>1.7999999523162842</v>
      </c>
      <c r="J940" s="33">
        <v>192</v>
      </c>
      <c r="K940" s="33">
        <v>2.9999999329447746E-2</v>
      </c>
      <c r="L940" s="33">
        <v>1.9999999552965164E-2</v>
      </c>
      <c r="M940" s="33">
        <v>0.80000001192092896</v>
      </c>
      <c r="N940" s="33">
        <v>1.6599999666213989</v>
      </c>
      <c r="O940" s="33">
        <v>246.89999389648438</v>
      </c>
      <c r="P940" s="33">
        <v>31</v>
      </c>
      <c r="Q940" s="33">
        <v>0.40000000596046448</v>
      </c>
      <c r="R940" s="34" t="s">
        <v>526</v>
      </c>
      <c r="S940" s="33">
        <v>5</v>
      </c>
      <c r="T940" s="35">
        <v>0</v>
      </c>
    </row>
    <row r="941" spans="1:20">
      <c r="A941" s="31">
        <v>939</v>
      </c>
      <c r="B941" s="33" t="s">
        <v>1269</v>
      </c>
      <c r="C941" s="33">
        <v>100</v>
      </c>
      <c r="D941" s="33">
        <v>81</v>
      </c>
      <c r="E941" s="33">
        <v>75.800003051757813</v>
      </c>
      <c r="F941" s="33">
        <v>4.9000000953674316</v>
      </c>
      <c r="G941" s="33">
        <v>0.20000000298023224</v>
      </c>
      <c r="H941" s="33">
        <v>2.0999999046325684</v>
      </c>
      <c r="I941" s="33">
        <v>14.800000190734863</v>
      </c>
      <c r="J941" s="33">
        <v>0</v>
      </c>
      <c r="K941" s="33">
        <v>2.9999999329447746E-2</v>
      </c>
      <c r="L941" s="33">
        <v>2.9999999329447746E-2</v>
      </c>
      <c r="M941" s="33">
        <v>5.5999999046325684</v>
      </c>
      <c r="N941" s="33">
        <v>4.4499998092651367</v>
      </c>
      <c r="O941" s="33">
        <v>37.099998474121094</v>
      </c>
      <c r="P941" s="33">
        <v>28</v>
      </c>
      <c r="Q941" s="33">
        <v>1.1000000238418579</v>
      </c>
      <c r="R941" s="34" t="s">
        <v>526</v>
      </c>
      <c r="S941" s="33">
        <v>0</v>
      </c>
      <c r="T941" s="35">
        <v>0</v>
      </c>
    </row>
    <row r="942" spans="1:20">
      <c r="A942" s="31">
        <v>940</v>
      </c>
      <c r="B942" s="33" t="s">
        <v>1270</v>
      </c>
      <c r="C942" s="33">
        <v>85</v>
      </c>
      <c r="D942" s="33">
        <v>27</v>
      </c>
      <c r="E942" s="33">
        <v>92.199996948242188</v>
      </c>
      <c r="F942" s="33">
        <v>0.69999998807907104</v>
      </c>
      <c r="G942" s="33">
        <v>0.10000000149011612</v>
      </c>
      <c r="H942" s="33">
        <v>0.89999997615814209</v>
      </c>
      <c r="I942" s="33">
        <v>5.9000000953674316</v>
      </c>
      <c r="J942" s="33">
        <v>163</v>
      </c>
      <c r="K942" s="33">
        <v>9.9999997764825821E-3</v>
      </c>
      <c r="L942" s="33">
        <v>5.9999998658895493E-2</v>
      </c>
      <c r="M942" s="33">
        <v>0.69999998807907104</v>
      </c>
      <c r="N942" s="33">
        <v>1.1399999856948853</v>
      </c>
      <c r="O942" s="33">
        <v>1.2000000476837158</v>
      </c>
      <c r="P942" s="33">
        <v>49</v>
      </c>
      <c r="Q942" s="33">
        <v>0</v>
      </c>
      <c r="R942" s="34" t="s">
        <v>526</v>
      </c>
      <c r="S942" s="33">
        <v>29</v>
      </c>
      <c r="T942" s="35">
        <v>0</v>
      </c>
    </row>
    <row r="943" spans="1:20">
      <c r="A943" s="31">
        <v>941</v>
      </c>
      <c r="B943" s="33" t="s">
        <v>1271</v>
      </c>
      <c r="C943" s="33">
        <v>88</v>
      </c>
      <c r="D943" s="33">
        <v>212</v>
      </c>
      <c r="E943" s="33">
        <v>14.600000381469727</v>
      </c>
      <c r="F943" s="33">
        <v>15</v>
      </c>
      <c r="G943" s="33">
        <v>12</v>
      </c>
      <c r="H943" s="33">
        <v>41.700000762939453</v>
      </c>
      <c r="I943" s="33">
        <v>11</v>
      </c>
      <c r="J943" s="33">
        <v>0</v>
      </c>
      <c r="K943" s="33">
        <v>0.52999997138977051</v>
      </c>
      <c r="L943" s="33">
        <v>0.15999999642372131</v>
      </c>
      <c r="M943" s="33">
        <v>1.2000000476837158</v>
      </c>
      <c r="N943" s="33">
        <v>8.7600002288818359</v>
      </c>
      <c r="O943" s="33">
        <v>1.7999999523162842</v>
      </c>
      <c r="P943" s="33">
        <v>12</v>
      </c>
      <c r="Q943" s="33">
        <v>6</v>
      </c>
      <c r="R943" s="34" t="s">
        <v>526</v>
      </c>
      <c r="S943" s="33">
        <v>0</v>
      </c>
      <c r="T943" s="35">
        <v>0</v>
      </c>
    </row>
    <row r="944" spans="1:20">
      <c r="A944" s="31">
        <v>942</v>
      </c>
      <c r="B944" s="33" t="s">
        <v>1272</v>
      </c>
      <c r="C944" s="33">
        <v>80</v>
      </c>
      <c r="D944" s="33">
        <v>32</v>
      </c>
      <c r="E944" s="33">
        <v>88.800003051757813</v>
      </c>
      <c r="F944" s="33">
        <v>1.2999999523162842</v>
      </c>
      <c r="G944" s="33">
        <v>0.40000000596046448</v>
      </c>
      <c r="H944" s="33">
        <v>3.2000000476837158</v>
      </c>
      <c r="I944" s="33">
        <v>5.6999998092651367</v>
      </c>
      <c r="J944" s="33">
        <v>232</v>
      </c>
      <c r="K944" s="33">
        <v>2.9999999329447746E-2</v>
      </c>
      <c r="L944" s="33">
        <v>5.9999998658895493E-2</v>
      </c>
      <c r="M944" s="33">
        <v>0.80000001192092896</v>
      </c>
      <c r="N944" s="33">
        <v>0.43999999761581421</v>
      </c>
      <c r="O944" s="33">
        <v>2.5999999046325684</v>
      </c>
      <c r="P944" s="33">
        <v>37</v>
      </c>
      <c r="Q944" s="33">
        <v>1.3999999761581421</v>
      </c>
      <c r="R944" s="34" t="s">
        <v>526</v>
      </c>
      <c r="S944" s="33">
        <v>144</v>
      </c>
      <c r="T944" s="35">
        <v>0</v>
      </c>
    </row>
    <row r="945" spans="1:20">
      <c r="A945" s="31">
        <v>943</v>
      </c>
      <c r="B945" s="33" t="s">
        <v>1273</v>
      </c>
      <c r="C945" s="33">
        <v>84</v>
      </c>
      <c r="D945" s="33">
        <v>23</v>
      </c>
      <c r="E945" s="33">
        <v>91.900001525878906</v>
      </c>
      <c r="F945" s="33">
        <v>1.3999999761581421</v>
      </c>
      <c r="G945" s="33">
        <v>0.30000001192092896</v>
      </c>
      <c r="H945" s="33">
        <v>2.0999999046325684</v>
      </c>
      <c r="I945" s="33">
        <v>3.7000000476837158</v>
      </c>
      <c r="J945" s="33">
        <v>57</v>
      </c>
      <c r="K945" s="33">
        <v>2.9999999329447746E-2</v>
      </c>
      <c r="L945" s="33">
        <v>3.9999999105930328E-2</v>
      </c>
      <c r="M945" s="33">
        <v>0.5</v>
      </c>
      <c r="N945" s="33">
        <v>0.87999999523162842</v>
      </c>
      <c r="O945" s="33">
        <v>2.2000000476837158</v>
      </c>
      <c r="P945" s="33">
        <v>15</v>
      </c>
      <c r="Q945" s="33">
        <v>0.69999998807907104</v>
      </c>
      <c r="R945" s="34" t="s">
        <v>526</v>
      </c>
      <c r="S945" s="33">
        <v>62</v>
      </c>
      <c r="T945" s="35">
        <v>0</v>
      </c>
    </row>
    <row r="946" spans="1:20">
      <c r="A946" s="31">
        <v>944</v>
      </c>
      <c r="B946" s="33" t="s">
        <v>1274</v>
      </c>
      <c r="C946" s="33">
        <v>100</v>
      </c>
      <c r="D946" s="33">
        <v>13</v>
      </c>
      <c r="E946" s="33">
        <v>95.599998474121094</v>
      </c>
      <c r="F946" s="33">
        <v>0.60000002384185791</v>
      </c>
      <c r="G946" s="33">
        <v>0.10000000149011612</v>
      </c>
      <c r="H946" s="33">
        <v>0.80000001192092896</v>
      </c>
      <c r="I946" s="33">
        <v>2.4000000953674316</v>
      </c>
      <c r="J946" s="33">
        <v>88</v>
      </c>
      <c r="K946" s="33">
        <v>5.000000074505806E-2</v>
      </c>
      <c r="L946" s="33">
        <v>1.9999999552965164E-2</v>
      </c>
      <c r="M946" s="33">
        <v>1</v>
      </c>
      <c r="N946" s="33">
        <v>1.190000057220459</v>
      </c>
      <c r="O946" s="33">
        <v>0</v>
      </c>
      <c r="P946" s="33">
        <v>15</v>
      </c>
      <c r="Q946" s="33">
        <v>0.40000000596046448</v>
      </c>
      <c r="R946" s="34" t="s">
        <v>526</v>
      </c>
      <c r="S946" s="33">
        <v>8</v>
      </c>
      <c r="T946" s="35">
        <v>0</v>
      </c>
    </row>
    <row r="947" spans="1:20">
      <c r="A947" s="31">
        <v>945</v>
      </c>
      <c r="B947" s="33" t="s">
        <v>1275</v>
      </c>
      <c r="C947" s="33">
        <v>93</v>
      </c>
      <c r="D947" s="33">
        <v>21</v>
      </c>
      <c r="E947" s="33">
        <v>93.400001525878906</v>
      </c>
      <c r="F947" s="33">
        <v>1.1000000238418579</v>
      </c>
      <c r="G947" s="33">
        <v>0.20000000298023224</v>
      </c>
      <c r="H947" s="33">
        <v>1.2999999523162842</v>
      </c>
      <c r="I947" s="33">
        <v>3.5999999046325684</v>
      </c>
      <c r="J947" s="33">
        <v>8</v>
      </c>
      <c r="K947" s="33">
        <v>1.9999999552965164E-2</v>
      </c>
      <c r="L947" s="33">
        <v>3.9999999105930328E-2</v>
      </c>
      <c r="M947" s="33">
        <v>0.60000002384185791</v>
      </c>
      <c r="N947" s="33">
        <v>1.1299999952316284</v>
      </c>
      <c r="O947" s="33">
        <v>5.4000000953674316</v>
      </c>
      <c r="P947" s="33">
        <v>24</v>
      </c>
      <c r="Q947" s="33">
        <v>0.5</v>
      </c>
      <c r="R947" s="34" t="s">
        <v>526</v>
      </c>
      <c r="S947" s="33">
        <v>5</v>
      </c>
      <c r="T947" s="35">
        <v>0</v>
      </c>
    </row>
    <row r="948" spans="1:20">
      <c r="A948" s="31">
        <v>946</v>
      </c>
      <c r="B948" s="33" t="s">
        <v>1276</v>
      </c>
      <c r="C948" s="33">
        <v>90</v>
      </c>
      <c r="D948" s="33">
        <v>25</v>
      </c>
      <c r="E948" s="33">
        <v>92.800003051757813</v>
      </c>
      <c r="F948" s="33">
        <v>1</v>
      </c>
      <c r="G948" s="33">
        <v>0.60000002384185791</v>
      </c>
      <c r="H948" s="33">
        <v>1.2000000476837158</v>
      </c>
      <c r="I948" s="33">
        <v>4</v>
      </c>
      <c r="J948" s="33">
        <v>20</v>
      </c>
      <c r="K948" s="33">
        <v>1.9999999552965164E-2</v>
      </c>
      <c r="L948" s="33">
        <v>0.20000000298023224</v>
      </c>
      <c r="M948" s="33">
        <v>0.60000002384185791</v>
      </c>
      <c r="N948" s="33">
        <v>0.55000001192092896</v>
      </c>
      <c r="O948" s="33">
        <v>6.8000001907348633</v>
      </c>
      <c r="P948" s="33">
        <v>12</v>
      </c>
      <c r="Q948" s="33">
        <v>0.10000000149011612</v>
      </c>
      <c r="R948" s="34" t="s">
        <v>526</v>
      </c>
      <c r="S948" s="33">
        <v>7</v>
      </c>
      <c r="T948" s="35">
        <v>0</v>
      </c>
    </row>
    <row r="949" spans="1:20">
      <c r="A949" s="31">
        <v>947</v>
      </c>
      <c r="B949" s="33" t="s">
        <v>1277</v>
      </c>
      <c r="C949" s="33">
        <v>88</v>
      </c>
      <c r="D949" s="33">
        <v>37</v>
      </c>
      <c r="E949" s="33">
        <v>86.199996948242188</v>
      </c>
      <c r="F949" s="33">
        <v>2</v>
      </c>
      <c r="G949" s="33">
        <v>0.10000000149011612</v>
      </c>
      <c r="H949" s="33">
        <v>3.9000000953674316</v>
      </c>
      <c r="I949" s="33">
        <v>7.0999999046325684</v>
      </c>
      <c r="J949" s="33">
        <v>52</v>
      </c>
      <c r="K949" s="33">
        <v>5.000000074505806E-2</v>
      </c>
      <c r="L949" s="33">
        <v>9.0000003576278687E-2</v>
      </c>
      <c r="M949" s="33">
        <v>1</v>
      </c>
      <c r="N949" s="33">
        <v>1.0299999713897705</v>
      </c>
      <c r="O949" s="33">
        <v>3.9000000953674316</v>
      </c>
      <c r="P949" s="33">
        <v>45</v>
      </c>
      <c r="Q949" s="33">
        <v>0.10000000149011612</v>
      </c>
      <c r="R949" s="34" t="s">
        <v>526</v>
      </c>
      <c r="S949" s="33">
        <v>4</v>
      </c>
      <c r="T949" s="35">
        <v>0</v>
      </c>
    </row>
    <row r="950" spans="1:20">
      <c r="A950" s="31">
        <v>948</v>
      </c>
      <c r="B950" s="33" t="s">
        <v>1278</v>
      </c>
      <c r="C950" s="33">
        <v>100</v>
      </c>
      <c r="D950" s="33">
        <v>307</v>
      </c>
      <c r="E950" s="33">
        <v>10.5</v>
      </c>
      <c r="F950" s="33">
        <v>7.5999999046325684</v>
      </c>
      <c r="G950" s="33">
        <v>0.40000000596046448</v>
      </c>
      <c r="H950" s="33">
        <v>8.3000001907348633</v>
      </c>
      <c r="I950" s="33">
        <v>68.300003051757813</v>
      </c>
      <c r="J950" s="33">
        <v>2818</v>
      </c>
      <c r="K950" s="33">
        <v>0.23000000417232513</v>
      </c>
      <c r="L950" s="33">
        <v>0.18000000715255737</v>
      </c>
      <c r="M950" s="33">
        <v>4</v>
      </c>
      <c r="N950" s="33">
        <v>6.0500001907348633</v>
      </c>
      <c r="O950" s="33">
        <v>126</v>
      </c>
      <c r="P950" s="33">
        <v>130</v>
      </c>
      <c r="Q950" s="33">
        <v>7.4000000953674316</v>
      </c>
      <c r="R950" s="34" t="s">
        <v>526</v>
      </c>
      <c r="S950" s="33">
        <v>846</v>
      </c>
      <c r="T950" s="35">
        <v>0</v>
      </c>
    </row>
    <row r="951" spans="1:20">
      <c r="A951" s="31">
        <v>949</v>
      </c>
      <c r="B951" s="33" t="s">
        <v>1279</v>
      </c>
      <c r="C951" s="33">
        <v>100</v>
      </c>
      <c r="D951" s="33">
        <v>72</v>
      </c>
      <c r="E951" s="33">
        <v>72.300003051757813</v>
      </c>
      <c r="F951" s="33">
        <v>4.5999999046325684</v>
      </c>
      <c r="G951" s="33">
        <v>1.3999999761581421</v>
      </c>
      <c r="H951" s="33">
        <v>3.2000000476837158</v>
      </c>
      <c r="I951" s="33">
        <v>10.199999809265137</v>
      </c>
      <c r="J951" s="33">
        <v>0</v>
      </c>
      <c r="K951" s="33">
        <v>0.17000000178813934</v>
      </c>
      <c r="L951" s="33">
        <v>2.9999999329447746E-2</v>
      </c>
      <c r="M951" s="33">
        <v>0.20000000298023224</v>
      </c>
      <c r="N951" s="33">
        <v>1.1100000143051147</v>
      </c>
      <c r="O951" s="33">
        <v>2843.199951171875</v>
      </c>
      <c r="P951" s="33">
        <v>110</v>
      </c>
      <c r="Q951" s="33">
        <v>4.8000001907348633</v>
      </c>
      <c r="R951" s="34" t="s">
        <v>541</v>
      </c>
      <c r="S951" s="33">
        <v>0</v>
      </c>
      <c r="T951" s="35">
        <v>0</v>
      </c>
    </row>
    <row r="952" spans="1:20">
      <c r="A952" s="31">
        <v>950</v>
      </c>
      <c r="B952" s="33" t="s">
        <v>1280</v>
      </c>
      <c r="C952" s="33">
        <v>100</v>
      </c>
      <c r="D952" s="33">
        <v>141</v>
      </c>
      <c r="E952" s="33">
        <v>24.899999618530273</v>
      </c>
      <c r="F952" s="33">
        <v>13.300000190734863</v>
      </c>
      <c r="G952" s="33">
        <v>0.80000001192092896</v>
      </c>
      <c r="H952" s="33">
        <v>27.399999618530273</v>
      </c>
      <c r="I952" s="33">
        <v>20.100000381469727</v>
      </c>
      <c r="J952" s="33">
        <v>150</v>
      </c>
      <c r="K952" s="33">
        <v>0</v>
      </c>
      <c r="L952" s="33">
        <v>0.40000000596046448</v>
      </c>
      <c r="M952" s="33">
        <v>0.60000002384185791</v>
      </c>
      <c r="N952" s="33">
        <v>0</v>
      </c>
      <c r="O952" s="33">
        <v>3333</v>
      </c>
      <c r="P952" s="33">
        <v>0</v>
      </c>
      <c r="Q952" s="33">
        <v>0</v>
      </c>
      <c r="R952" s="34" t="s">
        <v>541</v>
      </c>
      <c r="S952" s="33">
        <v>0</v>
      </c>
      <c r="T952" s="35">
        <v>0</v>
      </c>
    </row>
    <row r="953" spans="1:20">
      <c r="A953" s="31">
        <v>951</v>
      </c>
      <c r="B953" s="33" t="s">
        <v>1281</v>
      </c>
      <c r="C953" s="33">
        <v>100</v>
      </c>
      <c r="D953" s="33">
        <v>36</v>
      </c>
      <c r="E953" s="33">
        <v>74.800003051757813</v>
      </c>
      <c r="F953" s="33">
        <v>2.4000000953674316</v>
      </c>
      <c r="G953" s="33">
        <v>0.30000001192092896</v>
      </c>
      <c r="H953" s="33">
        <v>2.4000000953674316</v>
      </c>
      <c r="I953" s="33">
        <v>6</v>
      </c>
      <c r="J953" s="33">
        <v>0</v>
      </c>
      <c r="K953" s="33">
        <v>2.9999999329447746E-2</v>
      </c>
      <c r="L953" s="33">
        <v>7.9999998211860657E-2</v>
      </c>
      <c r="M953" s="33">
        <v>0.80000001192092896</v>
      </c>
      <c r="N953" s="33">
        <v>0.15999999642372131</v>
      </c>
      <c r="O953" s="33">
        <v>4623.7001953125</v>
      </c>
      <c r="P953" s="33">
        <v>77</v>
      </c>
      <c r="Q953" s="33">
        <v>6.6999998092651367</v>
      </c>
      <c r="R953" s="34" t="s">
        <v>541</v>
      </c>
      <c r="S953" s="33">
        <v>5</v>
      </c>
      <c r="T953" s="35">
        <v>0</v>
      </c>
    </row>
    <row r="954" spans="1:20">
      <c r="A954" s="31">
        <v>952</v>
      </c>
      <c r="B954" s="33" t="s">
        <v>1282</v>
      </c>
      <c r="C954" s="33">
        <v>100</v>
      </c>
      <c r="D954" s="33">
        <v>51</v>
      </c>
      <c r="E954" s="33">
        <v>65.300003051757813</v>
      </c>
      <c r="F954" s="33">
        <v>3.2000000476837158</v>
      </c>
      <c r="G954" s="33">
        <v>0.40000000596046448</v>
      </c>
      <c r="H954" s="33">
        <v>1.7999999523162842</v>
      </c>
      <c r="I954" s="33">
        <v>8.6000003814697266</v>
      </c>
      <c r="J954" s="33">
        <v>0</v>
      </c>
      <c r="K954" s="33">
        <v>2.9999999329447746E-2</v>
      </c>
      <c r="L954" s="33">
        <v>5.9999998658895493E-2</v>
      </c>
      <c r="M954" s="33">
        <v>0.80000001192092896</v>
      </c>
      <c r="N954" s="33">
        <v>0</v>
      </c>
      <c r="O954" s="33">
        <v>6060.60009765625</v>
      </c>
      <c r="P954" s="33">
        <v>257</v>
      </c>
      <c r="Q954" s="33">
        <v>7.5</v>
      </c>
      <c r="R954" s="34" t="s">
        <v>541</v>
      </c>
      <c r="S954" s="33">
        <v>0</v>
      </c>
      <c r="T954" s="35">
        <v>0</v>
      </c>
    </row>
    <row r="955" spans="1:20">
      <c r="A955" s="31">
        <v>953</v>
      </c>
      <c r="B955" s="33" t="s">
        <v>1283</v>
      </c>
      <c r="C955" s="33">
        <v>100</v>
      </c>
      <c r="D955" s="33">
        <v>48</v>
      </c>
      <c r="E955" s="33">
        <v>72</v>
      </c>
      <c r="F955" s="33">
        <v>4.5999999046325684</v>
      </c>
      <c r="G955" s="33">
        <v>0.20000000298023224</v>
      </c>
      <c r="H955" s="33">
        <v>4.5</v>
      </c>
      <c r="I955" s="33">
        <v>7</v>
      </c>
      <c r="J955" s="33">
        <v>10</v>
      </c>
      <c r="K955" s="33">
        <v>0.10999999940395355</v>
      </c>
      <c r="L955" s="33">
        <v>0</v>
      </c>
      <c r="M955" s="33">
        <v>0</v>
      </c>
      <c r="N955" s="33">
        <v>0</v>
      </c>
      <c r="O955" s="33">
        <v>0</v>
      </c>
      <c r="P955" s="33">
        <v>0</v>
      </c>
      <c r="Q955" s="33">
        <v>0</v>
      </c>
      <c r="R955" s="34" t="s">
        <v>541</v>
      </c>
      <c r="S955" s="33">
        <v>0</v>
      </c>
      <c r="T955" s="35">
        <v>0</v>
      </c>
    </row>
    <row r="956" spans="1:20">
      <c r="A956" s="31">
        <v>954</v>
      </c>
      <c r="B956" s="33" t="s">
        <v>1284</v>
      </c>
      <c r="C956" s="33">
        <v>100</v>
      </c>
      <c r="D956" s="33">
        <v>34</v>
      </c>
      <c r="E956" s="33">
        <v>74</v>
      </c>
      <c r="F956" s="33">
        <v>2.5999999046325684</v>
      </c>
      <c r="G956" s="33">
        <v>0</v>
      </c>
      <c r="H956" s="33">
        <v>1</v>
      </c>
      <c r="I956" s="33">
        <v>5.8000001907348633</v>
      </c>
      <c r="J956" s="33">
        <v>0</v>
      </c>
      <c r="K956" s="33">
        <v>0.17000000178813934</v>
      </c>
      <c r="L956" s="33">
        <v>5.9999998658895493E-2</v>
      </c>
      <c r="M956" s="33">
        <v>1.3999999761581421</v>
      </c>
      <c r="N956" s="33">
        <v>0</v>
      </c>
      <c r="O956" s="33">
        <v>5443.2998046875</v>
      </c>
      <c r="P956" s="33">
        <v>244</v>
      </c>
      <c r="Q956" s="33">
        <v>6.8000001907348633</v>
      </c>
      <c r="R956" s="34" t="s">
        <v>541</v>
      </c>
      <c r="S956" s="33">
        <v>0</v>
      </c>
      <c r="T956" s="35">
        <v>0</v>
      </c>
    </row>
    <row r="957" spans="1:20">
      <c r="A957" s="31">
        <v>955</v>
      </c>
      <c r="B957" s="33" t="s">
        <v>1285</v>
      </c>
      <c r="C957" s="33">
        <v>100</v>
      </c>
      <c r="D957" s="33">
        <v>46</v>
      </c>
      <c r="E957" s="33">
        <v>68.400001525878906</v>
      </c>
      <c r="F957" s="33">
        <v>3.5</v>
      </c>
      <c r="G957" s="33">
        <v>0.30000001192092896</v>
      </c>
      <c r="H957" s="33">
        <v>2.7999999523162842</v>
      </c>
      <c r="I957" s="33">
        <v>7.3000001907348633</v>
      </c>
      <c r="J957" s="33">
        <v>12</v>
      </c>
      <c r="K957" s="33">
        <v>1.9999999552965164E-2</v>
      </c>
      <c r="L957" s="33">
        <v>9.0000003576278687E-2</v>
      </c>
      <c r="M957" s="33">
        <v>0.89999997615814209</v>
      </c>
      <c r="N957" s="33">
        <v>7228.60009765625</v>
      </c>
      <c r="O957" s="33">
        <v>7228.60009765625</v>
      </c>
      <c r="P957" s="33">
        <v>135</v>
      </c>
      <c r="Q957" s="33">
        <v>11.399999618530273</v>
      </c>
      <c r="R957" s="34" t="s">
        <v>541</v>
      </c>
      <c r="S957" s="33">
        <v>0</v>
      </c>
      <c r="T957" s="35">
        <v>0</v>
      </c>
    </row>
    <row r="958" spans="1:20">
      <c r="A958" s="31">
        <v>956</v>
      </c>
      <c r="B958" s="33" t="s">
        <v>1286</v>
      </c>
      <c r="C958" s="33">
        <v>100</v>
      </c>
      <c r="D958" s="33">
        <v>37</v>
      </c>
      <c r="E958" s="33">
        <v>75.599998474121094</v>
      </c>
      <c r="F958" s="33">
        <v>2.2000000476837158</v>
      </c>
      <c r="G958" s="33">
        <v>0.30000001192092896</v>
      </c>
      <c r="H958" s="33">
        <v>1.8999999761581421</v>
      </c>
      <c r="I958" s="33">
        <v>6.3000001907348633</v>
      </c>
      <c r="J958" s="33">
        <v>0</v>
      </c>
      <c r="K958" s="33">
        <v>2.9999999329447746E-2</v>
      </c>
      <c r="L958" s="33">
        <v>7.9999998211860657E-2</v>
      </c>
      <c r="M958" s="33">
        <v>0.69999998807907104</v>
      </c>
      <c r="N958" s="33">
        <v>0.82999998331069946</v>
      </c>
      <c r="O958" s="33">
        <v>2839</v>
      </c>
      <c r="P958" s="33">
        <v>54</v>
      </c>
      <c r="Q958" s="33">
        <v>6.4000000953674316</v>
      </c>
      <c r="R958" s="34" t="s">
        <v>541</v>
      </c>
      <c r="S958" s="33">
        <v>5</v>
      </c>
      <c r="T958" s="35">
        <v>0</v>
      </c>
    </row>
    <row r="959" spans="1:20">
      <c r="A959" s="31">
        <v>957</v>
      </c>
      <c r="B959" s="33" t="s">
        <v>1287</v>
      </c>
      <c r="C959" s="33">
        <v>100</v>
      </c>
      <c r="D959" s="33">
        <v>22</v>
      </c>
      <c r="E959" s="33">
        <v>81.300003051757813</v>
      </c>
      <c r="F959" s="33">
        <v>1.2999999523162842</v>
      </c>
      <c r="G959" s="33">
        <v>0.10000000149011612</v>
      </c>
      <c r="H959" s="33">
        <v>2.4000000953674316</v>
      </c>
      <c r="I959" s="33">
        <v>4.0999999046325684</v>
      </c>
      <c r="J959" s="33">
        <v>0</v>
      </c>
      <c r="K959" s="33">
        <v>5.9999998658895493E-2</v>
      </c>
      <c r="L959" s="33">
        <v>2.9999999329447746E-2</v>
      </c>
      <c r="M959" s="33">
        <v>0</v>
      </c>
      <c r="N959" s="33">
        <v>0.20999999344348907</v>
      </c>
      <c r="O959" s="33">
        <v>2777.39990234375</v>
      </c>
      <c r="P959" s="33">
        <v>125</v>
      </c>
      <c r="Q959" s="33">
        <v>4.4000000953674316</v>
      </c>
      <c r="R959" s="34" t="s">
        <v>541</v>
      </c>
      <c r="S959" s="33">
        <v>0</v>
      </c>
      <c r="T959" s="35">
        <v>0</v>
      </c>
    </row>
    <row r="960" spans="1:20">
      <c r="A960" s="31">
        <v>958</v>
      </c>
      <c r="B960" s="33" t="s">
        <v>1288</v>
      </c>
      <c r="C960" s="33">
        <v>100</v>
      </c>
      <c r="D960" s="33">
        <v>75</v>
      </c>
      <c r="E960" s="33">
        <v>68.300003051757813</v>
      </c>
      <c r="F960" s="33">
        <v>6</v>
      </c>
      <c r="G960" s="33">
        <v>0</v>
      </c>
      <c r="H960" s="33">
        <v>3.9000000953674316</v>
      </c>
      <c r="I960" s="33">
        <v>12.800000190734863</v>
      </c>
      <c r="J960" s="33">
        <v>3</v>
      </c>
      <c r="K960" s="33">
        <v>7.9999998211860657E-2</v>
      </c>
      <c r="L960" s="33">
        <v>1.9999999552965164E-2</v>
      </c>
      <c r="M960" s="33">
        <v>2</v>
      </c>
      <c r="N960" s="33">
        <v>0.99000000953674316</v>
      </c>
      <c r="O960" s="33">
        <v>3977.300048828125</v>
      </c>
      <c r="P960" s="33">
        <v>102</v>
      </c>
      <c r="Q960" s="33">
        <v>2.5999999046325684</v>
      </c>
      <c r="R960" s="34" t="s">
        <v>541</v>
      </c>
      <c r="S960" s="33">
        <v>0</v>
      </c>
      <c r="T960" s="35">
        <v>0</v>
      </c>
    </row>
    <row r="961" spans="1:20">
      <c r="A961" s="31">
        <v>959</v>
      </c>
      <c r="B961" s="33" t="s">
        <v>1289</v>
      </c>
      <c r="C961" s="33">
        <v>100</v>
      </c>
      <c r="D961" s="33">
        <v>99</v>
      </c>
      <c r="E961" s="33">
        <v>62.700000762939453</v>
      </c>
      <c r="F961" s="33">
        <v>2.7999999523162842</v>
      </c>
      <c r="G961" s="33">
        <v>0.20000000298023224</v>
      </c>
      <c r="H961" s="33">
        <v>1.2000000476837158</v>
      </c>
      <c r="I961" s="33">
        <v>21.600000381469727</v>
      </c>
      <c r="J961" s="33">
        <v>0</v>
      </c>
      <c r="K961" s="33">
        <v>7.0000000298023224E-2</v>
      </c>
      <c r="L961" s="33">
        <v>2.9999999329447746E-2</v>
      </c>
      <c r="M961" s="33">
        <v>0.40000000596046448</v>
      </c>
      <c r="N961" s="33">
        <v>0</v>
      </c>
      <c r="O961" s="33">
        <v>0</v>
      </c>
      <c r="P961" s="33">
        <v>96</v>
      </c>
      <c r="Q961" s="33">
        <v>4.0999999046325684</v>
      </c>
      <c r="R961" s="34" t="s">
        <v>541</v>
      </c>
      <c r="S961" s="33">
        <v>0</v>
      </c>
      <c r="T961" s="35">
        <v>0</v>
      </c>
    </row>
    <row r="962" spans="1:20">
      <c r="A962" s="31">
        <v>960</v>
      </c>
      <c r="B962" s="33" t="s">
        <v>1290</v>
      </c>
      <c r="C962" s="33">
        <v>100</v>
      </c>
      <c r="D962" s="33">
        <v>24</v>
      </c>
      <c r="E962" s="33">
        <v>76.199996948242188</v>
      </c>
      <c r="F962" s="33">
        <v>3</v>
      </c>
      <c r="G962" s="33">
        <v>0.30000001192092896</v>
      </c>
      <c r="H962" s="33">
        <v>1.2000000476837158</v>
      </c>
      <c r="I962" s="33">
        <v>2.2000000476837158</v>
      </c>
      <c r="J962" s="33">
        <v>30</v>
      </c>
      <c r="K962" s="33">
        <v>5.9999998658895493E-2</v>
      </c>
      <c r="L962" s="33">
        <v>9.9999997764825821E-3</v>
      </c>
      <c r="M962" s="33">
        <v>0.89999997615814209</v>
      </c>
      <c r="N962" s="33">
        <v>0</v>
      </c>
      <c r="O962" s="33">
        <v>3769.5</v>
      </c>
      <c r="P962" s="33">
        <v>52</v>
      </c>
      <c r="Q962" s="33">
        <v>3.7000000476837158</v>
      </c>
      <c r="R962" s="34" t="s">
        <v>541</v>
      </c>
      <c r="S962" s="33">
        <v>0</v>
      </c>
      <c r="T962" s="35">
        <v>0</v>
      </c>
    </row>
    <row r="963" spans="1:20">
      <c r="A963" s="31">
        <v>961</v>
      </c>
      <c r="B963" s="33" t="s">
        <v>1291</v>
      </c>
      <c r="C963" s="33">
        <v>100</v>
      </c>
      <c r="D963" s="33">
        <v>27</v>
      </c>
      <c r="E963" s="33">
        <v>67.699996948242188</v>
      </c>
      <c r="F963" s="33">
        <v>1.6000000238418579</v>
      </c>
      <c r="G963" s="33">
        <v>0.80000001192092896</v>
      </c>
      <c r="H963" s="33">
        <v>1.3999999761581421</v>
      </c>
      <c r="I963" s="33">
        <v>3.4000000953674316</v>
      </c>
      <c r="J963" s="33">
        <v>0</v>
      </c>
      <c r="K963" s="33">
        <v>0</v>
      </c>
      <c r="L963" s="33">
        <v>0.12999999523162842</v>
      </c>
      <c r="M963" s="33">
        <v>0.80000001192092896</v>
      </c>
      <c r="N963" s="33">
        <v>0</v>
      </c>
      <c r="O963" s="33">
        <v>9686</v>
      </c>
      <c r="P963" s="33">
        <v>39</v>
      </c>
      <c r="Q963" s="33">
        <v>4.4000000953674316</v>
      </c>
      <c r="R963" s="34" t="s">
        <v>541</v>
      </c>
      <c r="S963" s="33">
        <v>0</v>
      </c>
      <c r="T963" s="35">
        <v>0</v>
      </c>
    </row>
    <row r="964" spans="1:20">
      <c r="A964" s="31">
        <v>962</v>
      </c>
      <c r="B964" s="33" t="s">
        <v>1292</v>
      </c>
      <c r="C964" s="33">
        <v>100</v>
      </c>
      <c r="D964" s="33">
        <v>107</v>
      </c>
      <c r="E964" s="33">
        <v>59.200000762939453</v>
      </c>
      <c r="F964" s="33">
        <v>4.6999998092651367</v>
      </c>
      <c r="G964" s="33">
        <v>0</v>
      </c>
      <c r="H964" s="33">
        <v>2.7999999523162842</v>
      </c>
      <c r="I964" s="33">
        <v>22</v>
      </c>
      <c r="J964" s="33">
        <v>0</v>
      </c>
      <c r="K964" s="33">
        <v>9.9999997764825821E-3</v>
      </c>
      <c r="L964" s="33">
        <v>5.000000074505806E-2</v>
      </c>
      <c r="M964" s="33">
        <v>0.60000002384185791</v>
      </c>
      <c r="N964" s="33">
        <v>1.9299999475479126</v>
      </c>
      <c r="O964" s="33">
        <v>2523.199951171875</v>
      </c>
      <c r="P964" s="33">
        <v>15</v>
      </c>
      <c r="Q964" s="33">
        <v>4.1999998092651367</v>
      </c>
      <c r="R964" s="34" t="s">
        <v>541</v>
      </c>
      <c r="S964" s="33">
        <v>0</v>
      </c>
      <c r="T964" s="35">
        <v>0</v>
      </c>
    </row>
    <row r="965" spans="1:20">
      <c r="A965" s="31">
        <v>963</v>
      </c>
      <c r="B965" s="33" t="s">
        <v>1293</v>
      </c>
      <c r="C965" s="33">
        <v>100</v>
      </c>
      <c r="D965" s="33">
        <v>25</v>
      </c>
      <c r="E965" s="33">
        <v>90.300003051757813</v>
      </c>
      <c r="F965" s="33">
        <v>1.2000000476837158</v>
      </c>
      <c r="G965" s="33">
        <v>0.10000000149011612</v>
      </c>
      <c r="H965" s="33">
        <v>0</v>
      </c>
      <c r="I965" s="33">
        <v>4.9000000953674316</v>
      </c>
      <c r="J965" s="33">
        <v>0</v>
      </c>
      <c r="K965" s="33">
        <v>9.9999997764825821E-3</v>
      </c>
      <c r="L965" s="33">
        <v>0.10000000149011612</v>
      </c>
      <c r="M965" s="33">
        <v>0.60000002384185791</v>
      </c>
      <c r="N965" s="33">
        <v>0.87999999523162842</v>
      </c>
      <c r="O965" s="33">
        <v>1164</v>
      </c>
      <c r="P965" s="33">
        <v>51</v>
      </c>
      <c r="Q965" s="33">
        <v>1.3999999761581421</v>
      </c>
      <c r="R965" s="34" t="s">
        <v>541</v>
      </c>
      <c r="S965" s="33">
        <v>0</v>
      </c>
      <c r="T965" s="35">
        <v>0</v>
      </c>
    </row>
    <row r="966" spans="1:20">
      <c r="A966" s="31">
        <v>964</v>
      </c>
      <c r="B966" s="33" t="s">
        <v>1294</v>
      </c>
      <c r="C966" s="33">
        <v>100</v>
      </c>
      <c r="D966" s="33">
        <v>38</v>
      </c>
      <c r="E966" s="33">
        <v>70.5</v>
      </c>
      <c r="F966" s="33">
        <v>2.7999999523162842</v>
      </c>
      <c r="G966" s="33">
        <v>0.10000000149011612</v>
      </c>
      <c r="H966" s="33">
        <v>2.7000000476837158</v>
      </c>
      <c r="I966" s="33">
        <v>6.5999999046325684</v>
      </c>
      <c r="J966" s="33">
        <v>0</v>
      </c>
      <c r="K966" s="33">
        <v>7.0000000298023224E-2</v>
      </c>
      <c r="L966" s="33">
        <v>1.9999999552965164E-2</v>
      </c>
      <c r="M966" s="33">
        <v>0.80000001192092896</v>
      </c>
      <c r="N966" s="33">
        <v>0</v>
      </c>
      <c r="O966" s="33">
        <v>7250.7001953125</v>
      </c>
      <c r="P966" s="33">
        <v>87</v>
      </c>
      <c r="Q966" s="33">
        <v>2.9000000953674316</v>
      </c>
      <c r="R966" s="34" t="s">
        <v>541</v>
      </c>
      <c r="S966" s="33">
        <v>0</v>
      </c>
      <c r="T966" s="35">
        <v>0</v>
      </c>
    </row>
    <row r="967" spans="1:20">
      <c r="A967" s="31">
        <v>965</v>
      </c>
      <c r="B967" s="33" t="s">
        <v>1295</v>
      </c>
      <c r="C967" s="33">
        <v>100</v>
      </c>
      <c r="D967" s="33">
        <v>26</v>
      </c>
      <c r="E967" s="33">
        <v>70.699996948242188</v>
      </c>
      <c r="F967" s="33">
        <v>2.0999999046325684</v>
      </c>
      <c r="G967" s="33">
        <v>0.20000000298023224</v>
      </c>
      <c r="H967" s="33">
        <v>2</v>
      </c>
      <c r="I967" s="33">
        <v>3.9000000953674316</v>
      </c>
      <c r="J967" s="33">
        <v>2</v>
      </c>
      <c r="K967" s="33">
        <v>0</v>
      </c>
      <c r="L967" s="33">
        <v>1.9999999552965164E-2</v>
      </c>
      <c r="M967" s="33">
        <v>0.69999998807907104</v>
      </c>
      <c r="N967" s="33">
        <v>0</v>
      </c>
      <c r="O967" s="33">
        <v>6834.5</v>
      </c>
      <c r="P967" s="33">
        <v>174</v>
      </c>
      <c r="Q967" s="33">
        <v>5.8000001907348633</v>
      </c>
      <c r="R967" s="34" t="s">
        <v>541</v>
      </c>
      <c r="S967" s="33">
        <v>0</v>
      </c>
      <c r="T967" s="35">
        <v>0</v>
      </c>
    </row>
    <row r="968" spans="1:20">
      <c r="A968" s="31">
        <v>966</v>
      </c>
      <c r="B968" s="33" t="s">
        <v>1296</v>
      </c>
      <c r="C968" s="33">
        <v>100</v>
      </c>
      <c r="D968" s="33">
        <v>41</v>
      </c>
      <c r="E968" s="33">
        <v>73.5</v>
      </c>
      <c r="F968" s="33">
        <v>1.6000000238418579</v>
      </c>
      <c r="G968" s="33">
        <v>0.30000001192092896</v>
      </c>
      <c r="H968" s="33">
        <v>2.0999999046325684</v>
      </c>
      <c r="I968" s="33">
        <v>8</v>
      </c>
      <c r="J968" s="33">
        <v>43</v>
      </c>
      <c r="K968" s="33">
        <v>9.9999997764825821E-3</v>
      </c>
      <c r="L968" s="33">
        <v>1.9999999552965164E-2</v>
      </c>
      <c r="M968" s="33">
        <v>0.30000001192092896</v>
      </c>
      <c r="N968" s="33">
        <v>0.99000000953674316</v>
      </c>
      <c r="O968" s="33">
        <v>3232.5</v>
      </c>
      <c r="P968" s="33">
        <v>158</v>
      </c>
      <c r="Q968" s="33">
        <v>0</v>
      </c>
      <c r="R968" s="34" t="s">
        <v>541</v>
      </c>
      <c r="S968" s="33">
        <v>0</v>
      </c>
      <c r="T968" s="35">
        <v>0</v>
      </c>
    </row>
    <row r="969" spans="1:20">
      <c r="A969" s="31">
        <v>967</v>
      </c>
      <c r="B969" s="33" t="s">
        <v>1297</v>
      </c>
      <c r="C969" s="33">
        <v>100</v>
      </c>
      <c r="D969" s="33">
        <v>17</v>
      </c>
      <c r="E969" s="33">
        <v>79.599998474121094</v>
      </c>
      <c r="F969" s="33">
        <v>1.2999999523162842</v>
      </c>
      <c r="G969" s="33">
        <v>0.30000001192092896</v>
      </c>
      <c r="H969" s="33">
        <v>1.1000000238418579</v>
      </c>
      <c r="I969" s="33">
        <v>2.2000000476837158</v>
      </c>
      <c r="J969" s="33">
        <v>25</v>
      </c>
      <c r="K969" s="33">
        <v>9.9999997764825821E-3</v>
      </c>
      <c r="L969" s="33">
        <v>5.9999998658895493E-2</v>
      </c>
      <c r="M969" s="33">
        <v>0.60000002384185791</v>
      </c>
      <c r="N969" s="33">
        <v>0</v>
      </c>
      <c r="O969" s="33">
        <v>5030.7998046875</v>
      </c>
      <c r="P969" s="33">
        <v>84</v>
      </c>
      <c r="Q969" s="33">
        <v>6.5</v>
      </c>
      <c r="R969" s="34" t="s">
        <v>541</v>
      </c>
      <c r="S969" s="33">
        <v>0</v>
      </c>
      <c r="T969" s="35">
        <v>0</v>
      </c>
    </row>
    <row r="970" spans="1:20">
      <c r="A970" s="31">
        <v>968</v>
      </c>
      <c r="B970" s="33" t="s">
        <v>1298</v>
      </c>
      <c r="C970" s="33">
        <v>100</v>
      </c>
      <c r="D970" s="33">
        <v>22</v>
      </c>
      <c r="E970" s="33">
        <v>89.900001525878906</v>
      </c>
      <c r="F970" s="33">
        <v>2.5</v>
      </c>
      <c r="G970" s="33">
        <v>0.30000001192092896</v>
      </c>
      <c r="H970" s="33">
        <v>2.2000000476837158</v>
      </c>
      <c r="I970" s="33">
        <v>2.2000000476837158</v>
      </c>
      <c r="J970" s="33">
        <v>53</v>
      </c>
      <c r="K970" s="33">
        <v>0</v>
      </c>
      <c r="L970" s="33">
        <v>5.000000074505806E-2</v>
      </c>
      <c r="M970" s="33">
        <v>1.6000000238418579</v>
      </c>
      <c r="N970" s="33">
        <v>0</v>
      </c>
      <c r="O970" s="33">
        <v>990.5999755859375</v>
      </c>
      <c r="P970" s="33">
        <v>115</v>
      </c>
      <c r="Q970" s="33">
        <v>4.5</v>
      </c>
      <c r="R970" s="34" t="s">
        <v>541</v>
      </c>
      <c r="S970" s="33">
        <v>0</v>
      </c>
      <c r="T970" s="35">
        <v>0</v>
      </c>
    </row>
    <row r="971" spans="1:20">
      <c r="A971" s="31">
        <v>969</v>
      </c>
      <c r="B971" s="33" t="s">
        <v>1299</v>
      </c>
      <c r="C971" s="33">
        <v>100</v>
      </c>
      <c r="D971" s="33">
        <v>75</v>
      </c>
      <c r="E971" s="33">
        <v>67.699996948242188</v>
      </c>
      <c r="F971" s="33">
        <v>1.3999999761581421</v>
      </c>
      <c r="G971" s="33">
        <v>0</v>
      </c>
      <c r="H971" s="33">
        <v>0</v>
      </c>
      <c r="I971" s="33">
        <v>17.299999237060547</v>
      </c>
      <c r="J971" s="33">
        <v>0</v>
      </c>
      <c r="K971" s="33">
        <v>9.9999997764825821E-3</v>
      </c>
      <c r="L971" s="33">
        <v>3.9999999105930328E-2</v>
      </c>
      <c r="M971" s="33">
        <v>0.40000000596046448</v>
      </c>
      <c r="N971" s="33">
        <v>0.93000000715255737</v>
      </c>
      <c r="O971" s="33">
        <v>1103</v>
      </c>
      <c r="P971" s="33">
        <v>8</v>
      </c>
      <c r="Q971" s="33">
        <v>6.4000000953674316</v>
      </c>
      <c r="R971" s="34" t="s">
        <v>541</v>
      </c>
      <c r="S971" s="33">
        <v>0</v>
      </c>
      <c r="T971" s="35">
        <v>0</v>
      </c>
    </row>
    <row r="972" spans="1:20">
      <c r="A972" s="31">
        <v>970</v>
      </c>
      <c r="B972" s="33" t="s">
        <v>1300</v>
      </c>
      <c r="C972" s="33">
        <v>100</v>
      </c>
      <c r="D972" s="33">
        <v>30</v>
      </c>
      <c r="E972" s="33">
        <v>76.099998474121094</v>
      </c>
      <c r="F972" s="33">
        <v>3.5</v>
      </c>
      <c r="G972" s="33">
        <v>0.40000000596046448</v>
      </c>
      <c r="H972" s="33">
        <v>1.2999999523162842</v>
      </c>
      <c r="I972" s="33">
        <v>3.2000000476837158</v>
      </c>
      <c r="J972" s="33">
        <v>0</v>
      </c>
      <c r="K972" s="33">
        <v>5.000000074505806E-2</v>
      </c>
      <c r="L972" s="33">
        <v>9.0000003576278687E-2</v>
      </c>
      <c r="M972" s="33">
        <v>0.80000001192092896</v>
      </c>
      <c r="N972" s="33">
        <v>0</v>
      </c>
      <c r="O972" s="33">
        <v>6880.7998046875</v>
      </c>
      <c r="P972" s="33">
        <v>102</v>
      </c>
      <c r="Q972" s="33">
        <v>3.7999999523162842</v>
      </c>
      <c r="R972" s="34" t="s">
        <v>541</v>
      </c>
      <c r="S972" s="33">
        <v>0</v>
      </c>
      <c r="T972" s="35">
        <v>0</v>
      </c>
    </row>
    <row r="973" spans="1:20">
      <c r="A973" s="31">
        <v>971</v>
      </c>
      <c r="B973" s="33" t="s">
        <v>1301</v>
      </c>
      <c r="C973" s="33">
        <v>100</v>
      </c>
      <c r="D973" s="33">
        <v>60</v>
      </c>
      <c r="E973" s="33">
        <v>67.699996948242188</v>
      </c>
      <c r="F973" s="33">
        <v>3.2999999523162842</v>
      </c>
      <c r="G973" s="33">
        <v>0.20000000298023224</v>
      </c>
      <c r="H973" s="33">
        <v>3.4000000953674316</v>
      </c>
      <c r="I973" s="33">
        <v>11.199999809265137</v>
      </c>
      <c r="J973" s="33">
        <v>0</v>
      </c>
      <c r="K973" s="33">
        <v>3.9999999105930328E-2</v>
      </c>
      <c r="L973" s="33">
        <v>9.0000003576278687E-2</v>
      </c>
      <c r="M973" s="33">
        <v>0.89999997615814209</v>
      </c>
      <c r="N973" s="33">
        <v>0</v>
      </c>
      <c r="O973" s="33">
        <v>4203</v>
      </c>
      <c r="P973" s="33">
        <v>53</v>
      </c>
      <c r="Q973" s="33">
        <v>3.4000000953674316</v>
      </c>
      <c r="R973" s="34" t="s">
        <v>541</v>
      </c>
      <c r="S973" s="33">
        <v>17</v>
      </c>
      <c r="T973" s="35">
        <v>0</v>
      </c>
    </row>
    <row r="974" spans="1:20">
      <c r="A974" s="31">
        <v>972</v>
      </c>
      <c r="B974" s="33" t="s">
        <v>1302</v>
      </c>
      <c r="C974" s="33">
        <v>100</v>
      </c>
      <c r="D974" s="33">
        <v>37</v>
      </c>
      <c r="E974" s="33">
        <v>77.800003051757813</v>
      </c>
      <c r="F974" s="33">
        <v>1.3999999761581421</v>
      </c>
      <c r="G974" s="33">
        <v>0.5</v>
      </c>
      <c r="H974" s="33">
        <v>1.7999999523162842</v>
      </c>
      <c r="I974" s="33">
        <v>6.6999998092651367</v>
      </c>
      <c r="J974" s="33">
        <v>17</v>
      </c>
      <c r="K974" s="33">
        <v>2.9999999329447746E-2</v>
      </c>
      <c r="L974" s="33">
        <v>5.9999998658895493E-2</v>
      </c>
      <c r="M974" s="33">
        <v>0.5</v>
      </c>
      <c r="N974" s="33">
        <v>0</v>
      </c>
      <c r="O974" s="33">
        <v>2650.89990234375</v>
      </c>
      <c r="P974" s="33">
        <v>118</v>
      </c>
      <c r="Q974" s="33">
        <v>3.2999999523162842</v>
      </c>
      <c r="R974" s="34" t="s">
        <v>541</v>
      </c>
      <c r="S974" s="33">
        <v>0</v>
      </c>
      <c r="T974" s="35">
        <v>0</v>
      </c>
    </row>
    <row r="975" spans="1:20">
      <c r="A975" s="31">
        <v>973</v>
      </c>
      <c r="B975" s="33" t="s">
        <v>1303</v>
      </c>
      <c r="C975" s="33">
        <v>100</v>
      </c>
      <c r="D975" s="33">
        <v>121</v>
      </c>
      <c r="E975" s="33">
        <v>59</v>
      </c>
      <c r="F975" s="33">
        <v>5.4000000953674316</v>
      </c>
      <c r="G975" s="33">
        <v>0.20000000298023224</v>
      </c>
      <c r="H975" s="33">
        <v>0.69999998807907104</v>
      </c>
      <c r="I975" s="33">
        <v>24.299999237060547</v>
      </c>
      <c r="J975" s="33">
        <v>0</v>
      </c>
      <c r="K975" s="33">
        <v>5.000000074505806E-2</v>
      </c>
      <c r="L975" s="33">
        <v>0.15000000596046448</v>
      </c>
      <c r="M975" s="33">
        <v>2</v>
      </c>
      <c r="N975" s="33">
        <v>1.7899999618530273</v>
      </c>
      <c r="O975" s="33">
        <v>400</v>
      </c>
      <c r="P975" s="33">
        <v>30</v>
      </c>
      <c r="Q975" s="33">
        <v>1.7999999523162842</v>
      </c>
      <c r="R975" s="34" t="s">
        <v>541</v>
      </c>
      <c r="S975" s="33">
        <v>0</v>
      </c>
      <c r="T975" s="35">
        <v>0</v>
      </c>
    </row>
    <row r="976" spans="1:20">
      <c r="A976" s="31">
        <v>974</v>
      </c>
      <c r="B976" s="33" t="s">
        <v>1304</v>
      </c>
      <c r="C976" s="33">
        <v>100</v>
      </c>
      <c r="D976" s="33">
        <v>39</v>
      </c>
      <c r="E976" s="33">
        <v>73.400001525878906</v>
      </c>
      <c r="F976" s="33">
        <v>5.5</v>
      </c>
      <c r="G976" s="33">
        <v>0</v>
      </c>
      <c r="H976" s="33">
        <v>1.5</v>
      </c>
      <c r="I976" s="33">
        <v>4.1999998092651367</v>
      </c>
      <c r="J976" s="33">
        <v>0</v>
      </c>
      <c r="K976" s="33">
        <v>7.9999998211860657E-2</v>
      </c>
      <c r="L976" s="33">
        <v>5.000000074505806E-2</v>
      </c>
      <c r="M976" s="33">
        <v>0.89999997615814209</v>
      </c>
      <c r="N976" s="33">
        <v>0.15000000596046448</v>
      </c>
      <c r="O976" s="33">
        <v>4981.2998046875</v>
      </c>
      <c r="P976" s="33">
        <v>38</v>
      </c>
      <c r="Q976" s="33">
        <v>2.7000000476837158</v>
      </c>
      <c r="R976" s="34" t="s">
        <v>541</v>
      </c>
      <c r="S976" s="33">
        <v>0</v>
      </c>
      <c r="T976" s="35">
        <v>0</v>
      </c>
    </row>
    <row r="977" spans="1:20">
      <c r="A977" s="31">
        <v>975</v>
      </c>
      <c r="B977" s="33" t="s">
        <v>1305</v>
      </c>
      <c r="C977" s="33">
        <v>100</v>
      </c>
      <c r="D977" s="33">
        <v>32</v>
      </c>
      <c r="E977" s="33">
        <v>81.300003051757813</v>
      </c>
      <c r="F977" s="33">
        <v>1.7000000476837158</v>
      </c>
      <c r="G977" s="33">
        <v>0.30000001192092896</v>
      </c>
      <c r="H977" s="33">
        <v>1.7999999523162842</v>
      </c>
      <c r="I977" s="33">
        <v>5.5999999046325684</v>
      </c>
      <c r="J977" s="33">
        <v>0</v>
      </c>
      <c r="K977" s="33">
        <v>2.9999999329447746E-2</v>
      </c>
      <c r="L977" s="33">
        <v>2.9999999329447746E-2</v>
      </c>
      <c r="M977" s="33">
        <v>0.30000001192092896</v>
      </c>
      <c r="N977" s="33">
        <v>0.20999999344348907</v>
      </c>
      <c r="O977" s="33">
        <v>3087.10009765625</v>
      </c>
      <c r="P977" s="33">
        <v>44</v>
      </c>
      <c r="Q977" s="33">
        <v>3.0999999046325684</v>
      </c>
      <c r="R977" s="34" t="s">
        <v>541</v>
      </c>
      <c r="S977" s="33">
        <v>7</v>
      </c>
      <c r="T977" s="35">
        <v>0</v>
      </c>
    </row>
    <row r="978" spans="1:20">
      <c r="A978" s="31">
        <v>976</v>
      </c>
      <c r="B978" s="33" t="s">
        <v>1306</v>
      </c>
      <c r="C978" s="33">
        <v>100</v>
      </c>
      <c r="D978" s="33">
        <v>34</v>
      </c>
      <c r="E978" s="33">
        <v>78.900001525878906</v>
      </c>
      <c r="F978" s="33">
        <v>2.9000000953674316</v>
      </c>
      <c r="G978" s="33">
        <v>0.5</v>
      </c>
      <c r="H978" s="33">
        <v>1.6000000238418579</v>
      </c>
      <c r="I978" s="33">
        <v>4.5999999046325684</v>
      </c>
      <c r="J978" s="33">
        <v>0</v>
      </c>
      <c r="K978" s="33">
        <v>2.9999999329447746E-2</v>
      </c>
      <c r="L978" s="33">
        <v>1.9999999552965164E-2</v>
      </c>
      <c r="M978" s="33">
        <v>0</v>
      </c>
      <c r="N978" s="33">
        <v>0.18000000715255737</v>
      </c>
      <c r="O978" s="33">
        <v>4092.699951171875</v>
      </c>
      <c r="P978" s="33">
        <v>21</v>
      </c>
      <c r="Q978" s="33">
        <v>4.5</v>
      </c>
      <c r="R978" s="34" t="s">
        <v>541</v>
      </c>
      <c r="S978" s="33">
        <v>0</v>
      </c>
      <c r="T978" s="35">
        <v>0</v>
      </c>
    </row>
    <row r="979" spans="1:20">
      <c r="A979" s="31">
        <v>977</v>
      </c>
      <c r="B979" s="33" t="s">
        <v>1307</v>
      </c>
      <c r="C979" s="33">
        <v>74</v>
      </c>
      <c r="D979" s="33">
        <v>114</v>
      </c>
      <c r="E979" s="33">
        <v>66.099998474121094</v>
      </c>
      <c r="F979" s="33">
        <v>2.0999999046325684</v>
      </c>
      <c r="G979" s="33">
        <v>0.20000000298023224</v>
      </c>
      <c r="H979" s="33">
        <v>1.7000000476837158</v>
      </c>
      <c r="I979" s="33">
        <v>25.899999618530273</v>
      </c>
      <c r="J979" s="33">
        <v>0</v>
      </c>
      <c r="K979" s="33">
        <v>3.9999999105930328E-2</v>
      </c>
      <c r="L979" s="33">
        <v>5.9999998658895493E-2</v>
      </c>
      <c r="M979" s="33">
        <v>0.20000000298023224</v>
      </c>
      <c r="N979" s="33">
        <v>0.70999997854232788</v>
      </c>
      <c r="O979" s="33">
        <v>692.20001220703125</v>
      </c>
      <c r="P979" s="33">
        <v>38</v>
      </c>
      <c r="Q979" s="33">
        <v>1.2999999523162842</v>
      </c>
      <c r="R979" s="34" t="s">
        <v>541</v>
      </c>
      <c r="S979" s="33">
        <v>0</v>
      </c>
      <c r="T979" s="35">
        <v>0</v>
      </c>
    </row>
    <row r="980" spans="1:20">
      <c r="A980" s="31">
        <v>978</v>
      </c>
      <c r="B980" s="33" t="s">
        <v>1308</v>
      </c>
      <c r="C980" s="33">
        <v>73</v>
      </c>
      <c r="D980" s="33">
        <v>104</v>
      </c>
      <c r="E980" s="33">
        <v>67.199996948242188</v>
      </c>
      <c r="F980" s="33">
        <v>4.4000000953674316</v>
      </c>
      <c r="G980" s="33">
        <v>0.10000000149011612</v>
      </c>
      <c r="H980" s="33">
        <v>2.5999999046325684</v>
      </c>
      <c r="I980" s="33">
        <v>21.299999237060547</v>
      </c>
      <c r="J980" s="33">
        <v>0</v>
      </c>
      <c r="K980" s="33">
        <v>3.9999999105930328E-2</v>
      </c>
      <c r="L980" s="33">
        <v>3.9999999105930328E-2</v>
      </c>
      <c r="M980" s="33">
        <v>0</v>
      </c>
      <c r="N980" s="33">
        <v>0.5</v>
      </c>
      <c r="O980" s="33">
        <v>3503.10009765625</v>
      </c>
      <c r="P980" s="33">
        <v>6</v>
      </c>
      <c r="Q980" s="33">
        <v>3.5999999046325684</v>
      </c>
      <c r="R980" s="34" t="s">
        <v>541</v>
      </c>
      <c r="S980" s="33">
        <v>0</v>
      </c>
      <c r="T980" s="35">
        <v>0</v>
      </c>
    </row>
    <row r="981" spans="1:20">
      <c r="A981" s="31">
        <v>979</v>
      </c>
      <c r="B981" s="33" t="s">
        <v>1309</v>
      </c>
      <c r="C981" s="33">
        <v>100</v>
      </c>
      <c r="D981" s="33">
        <v>97</v>
      </c>
      <c r="E981" s="33">
        <v>73.699996948242188</v>
      </c>
      <c r="F981" s="33">
        <v>0.5</v>
      </c>
      <c r="G981" s="33">
        <v>0.5</v>
      </c>
      <c r="H981" s="33">
        <v>0.40000000596046448</v>
      </c>
      <c r="I981" s="33">
        <v>22.600000381469727</v>
      </c>
      <c r="J981" s="33">
        <v>0</v>
      </c>
      <c r="K981" s="33">
        <v>0</v>
      </c>
      <c r="L981" s="33">
        <v>0</v>
      </c>
      <c r="M981" s="33">
        <v>0.40000000596046448</v>
      </c>
      <c r="N981" s="33">
        <v>9.9999997764825821E-3</v>
      </c>
      <c r="O981" s="33">
        <v>809</v>
      </c>
      <c r="P981" s="33">
        <v>68</v>
      </c>
      <c r="Q981" s="33">
        <v>4.1999998092651367</v>
      </c>
      <c r="R981" s="34" t="s">
        <v>541</v>
      </c>
      <c r="S981" s="33">
        <v>0</v>
      </c>
      <c r="T981" s="35">
        <v>0</v>
      </c>
    </row>
    <row r="982" spans="1:20">
      <c r="A982" s="31">
        <v>980</v>
      </c>
      <c r="B982" s="33" t="s">
        <v>1310</v>
      </c>
      <c r="C982" s="33">
        <v>100</v>
      </c>
      <c r="D982" s="33">
        <v>23</v>
      </c>
      <c r="E982" s="33">
        <v>83</v>
      </c>
      <c r="F982" s="33">
        <v>2.2999999523162842</v>
      </c>
      <c r="G982" s="33">
        <v>0.20000000298023224</v>
      </c>
      <c r="H982" s="33">
        <v>1</v>
      </c>
      <c r="I982" s="33">
        <v>3.0999999046325684</v>
      </c>
      <c r="J982" s="33">
        <v>0</v>
      </c>
      <c r="K982" s="33">
        <v>5.9999998658895493E-2</v>
      </c>
      <c r="L982" s="33">
        <v>5.000000074505806E-2</v>
      </c>
      <c r="M982" s="33">
        <v>0.60000002384185791</v>
      </c>
      <c r="N982" s="33">
        <v>0</v>
      </c>
      <c r="O982" s="33">
        <v>4665.10009765625</v>
      </c>
      <c r="P982" s="33">
        <v>28</v>
      </c>
      <c r="Q982" s="33">
        <v>3.0999999046325684</v>
      </c>
      <c r="R982" s="34" t="s">
        <v>541</v>
      </c>
      <c r="S982" s="33">
        <v>0</v>
      </c>
      <c r="T982" s="35">
        <v>0</v>
      </c>
    </row>
    <row r="983" spans="1:20">
      <c r="A983" s="31">
        <v>981</v>
      </c>
      <c r="B983" s="33" t="s">
        <v>1311</v>
      </c>
      <c r="C983" s="33">
        <v>100</v>
      </c>
      <c r="D983" s="33">
        <v>25</v>
      </c>
      <c r="E983" s="33">
        <v>88.199996948242188</v>
      </c>
      <c r="F983" s="33">
        <v>2.4000000953674316</v>
      </c>
      <c r="G983" s="33">
        <v>0.80000001192092896</v>
      </c>
      <c r="H983" s="33">
        <v>1.7999999523162842</v>
      </c>
      <c r="I983" s="33">
        <v>2</v>
      </c>
      <c r="J983" s="33">
        <v>0</v>
      </c>
      <c r="K983" s="33">
        <v>5.000000074505806E-2</v>
      </c>
      <c r="L983" s="33">
        <v>0.18000000715255737</v>
      </c>
      <c r="M983" s="33">
        <v>0.40000000596046448</v>
      </c>
      <c r="N983" s="33">
        <v>0</v>
      </c>
      <c r="O983" s="33">
        <v>1712.4000244140625</v>
      </c>
      <c r="P983" s="33">
        <v>457</v>
      </c>
      <c r="Q983" s="33">
        <v>0</v>
      </c>
      <c r="R983" s="34" t="s">
        <v>541</v>
      </c>
      <c r="S983" s="33">
        <v>0</v>
      </c>
      <c r="T983" s="35">
        <v>0</v>
      </c>
    </row>
    <row r="984" spans="1:20">
      <c r="A984" s="31">
        <v>982</v>
      </c>
      <c r="B984" s="33" t="s">
        <v>1312</v>
      </c>
      <c r="C984" s="33">
        <v>100</v>
      </c>
      <c r="D984" s="33">
        <v>25</v>
      </c>
      <c r="E984" s="33">
        <v>77.099998474121094</v>
      </c>
      <c r="F984" s="33">
        <v>2.4000000953674316</v>
      </c>
      <c r="G984" s="33">
        <v>0.20000000298023224</v>
      </c>
      <c r="H984" s="33">
        <v>2.0999999046325684</v>
      </c>
      <c r="I984" s="33">
        <v>3.2999999523162842</v>
      </c>
      <c r="J984" s="33">
        <v>8</v>
      </c>
      <c r="K984" s="33">
        <v>5.000000074505806E-2</v>
      </c>
      <c r="L984" s="33">
        <v>7.0000000298023224E-2</v>
      </c>
      <c r="M984" s="33">
        <v>0.69999998807907104</v>
      </c>
      <c r="N984" s="33">
        <v>0.23999999463558197</v>
      </c>
      <c r="O984" s="33">
        <v>3304.199951171875</v>
      </c>
      <c r="P984" s="33">
        <v>294</v>
      </c>
      <c r="Q984" s="33">
        <v>5.5</v>
      </c>
      <c r="R984" s="34" t="s">
        <v>541</v>
      </c>
      <c r="S984" s="33">
        <v>4</v>
      </c>
      <c r="T984" s="35">
        <v>0</v>
      </c>
    </row>
    <row r="985" spans="1:20">
      <c r="A985" s="31">
        <v>983</v>
      </c>
      <c r="B985" s="33" t="s">
        <v>1313</v>
      </c>
      <c r="C985" s="33">
        <v>100</v>
      </c>
      <c r="D985" s="33">
        <v>563</v>
      </c>
      <c r="E985" s="33">
        <v>6.9000000953674316</v>
      </c>
      <c r="F985" s="33">
        <v>25</v>
      </c>
      <c r="G985" s="33">
        <v>44.299999237060547</v>
      </c>
      <c r="H985" s="33">
        <v>5.5</v>
      </c>
      <c r="I985" s="33">
        <v>16</v>
      </c>
      <c r="J985" s="33">
        <v>5</v>
      </c>
      <c r="K985" s="33">
        <v>0.72000002861022949</v>
      </c>
      <c r="L985" s="33">
        <v>0.12999999523162842</v>
      </c>
      <c r="M985" s="33">
        <v>17.899999618530273</v>
      </c>
      <c r="N985" s="33">
        <v>18.090000152587891</v>
      </c>
      <c r="O985" s="33">
        <v>3.5999999046325684</v>
      </c>
      <c r="P985" s="33">
        <v>39</v>
      </c>
      <c r="Q985" s="33">
        <v>2.0999999046325684</v>
      </c>
      <c r="R985" s="34" t="s">
        <v>732</v>
      </c>
      <c r="S985" s="33">
        <v>2</v>
      </c>
      <c r="T985" s="35">
        <v>0</v>
      </c>
    </row>
    <row r="986" spans="1:20">
      <c r="A986" s="31">
        <v>984</v>
      </c>
      <c r="B986" s="33" t="s">
        <v>1314</v>
      </c>
      <c r="C986" s="33">
        <v>100</v>
      </c>
      <c r="D986" s="33">
        <v>581</v>
      </c>
      <c r="E986" s="33">
        <v>1.7999999523162842</v>
      </c>
      <c r="F986" s="33">
        <v>24.100000381469727</v>
      </c>
      <c r="G986" s="33">
        <v>44.400001525878906</v>
      </c>
      <c r="H986" s="33">
        <v>4.3000001907348633</v>
      </c>
      <c r="I986" s="33">
        <v>21.200000762939453</v>
      </c>
      <c r="J986" s="33">
        <v>0</v>
      </c>
      <c r="K986" s="33">
        <v>0.11999999731779099</v>
      </c>
      <c r="L986" s="33">
        <v>0.10000000149011612</v>
      </c>
      <c r="M986" s="33">
        <v>18.899999618530273</v>
      </c>
      <c r="N986" s="33">
        <v>14.970000267028809</v>
      </c>
      <c r="O986" s="33">
        <v>445.10000610351563</v>
      </c>
      <c r="P986" s="33">
        <v>284</v>
      </c>
      <c r="Q986" s="33">
        <v>6.9000000953674316</v>
      </c>
      <c r="R986" s="34" t="s">
        <v>732</v>
      </c>
      <c r="S986" s="33">
        <v>0</v>
      </c>
      <c r="T986" s="35">
        <v>0</v>
      </c>
    </row>
    <row r="987" spans="1:20">
      <c r="A987" s="31">
        <v>985</v>
      </c>
      <c r="B987" s="33" t="s">
        <v>1315</v>
      </c>
      <c r="C987" s="33">
        <v>50</v>
      </c>
      <c r="D987" s="33">
        <v>597</v>
      </c>
      <c r="E987" s="33">
        <v>2.4000000953674316</v>
      </c>
      <c r="F987" s="33">
        <v>23.899999618530273</v>
      </c>
      <c r="G987" s="33">
        <v>49.900001525878906</v>
      </c>
      <c r="H987" s="33">
        <v>6.0999999046325684</v>
      </c>
      <c r="I987" s="33">
        <v>13</v>
      </c>
      <c r="J987" s="33">
        <v>5</v>
      </c>
      <c r="K987" s="33">
        <v>0.36000001430511475</v>
      </c>
      <c r="L987" s="33">
        <v>0.20000000298023224</v>
      </c>
      <c r="M987" s="33">
        <v>4.8000001907348633</v>
      </c>
      <c r="N987" s="33">
        <v>34.529998779296875</v>
      </c>
      <c r="O987" s="33">
        <v>5.5</v>
      </c>
      <c r="P987" s="33">
        <v>72</v>
      </c>
      <c r="Q987" s="33">
        <v>5.6999998092651367</v>
      </c>
      <c r="R987" s="34" t="s">
        <v>732</v>
      </c>
      <c r="S987" s="33">
        <v>0</v>
      </c>
      <c r="T987" s="35">
        <v>0</v>
      </c>
    </row>
    <row r="988" spans="1:20">
      <c r="A988" s="31">
        <v>986</v>
      </c>
      <c r="B988" s="33" t="s">
        <v>1316</v>
      </c>
      <c r="C988" s="33">
        <v>52</v>
      </c>
      <c r="D988" s="33">
        <v>616</v>
      </c>
      <c r="E988" s="33">
        <v>2</v>
      </c>
      <c r="F988" s="33">
        <v>22.600000381469727</v>
      </c>
      <c r="G988" s="33">
        <v>52.799999237060547</v>
      </c>
      <c r="H988" s="33">
        <v>4.8000001907348633</v>
      </c>
      <c r="I988" s="33">
        <v>12.5</v>
      </c>
      <c r="J988" s="33">
        <v>5</v>
      </c>
      <c r="K988" s="33">
        <v>0.43000000715255737</v>
      </c>
      <c r="L988" s="33">
        <v>0.25999999046325684</v>
      </c>
      <c r="M988" s="33">
        <v>4.8000001907348633</v>
      </c>
      <c r="N988" s="33">
        <v>26.459999084472656</v>
      </c>
      <c r="O988" s="33">
        <v>1322</v>
      </c>
      <c r="P988" s="33">
        <v>72</v>
      </c>
      <c r="Q988" s="33">
        <v>6.0999999046325684</v>
      </c>
      <c r="R988" s="34" t="s">
        <v>732</v>
      </c>
      <c r="S988" s="33">
        <v>0</v>
      </c>
      <c r="T988" s="35">
        <v>0</v>
      </c>
    </row>
    <row r="989" spans="1:20">
      <c r="A989" s="31">
        <v>987</v>
      </c>
      <c r="B989" s="33" t="s">
        <v>1317</v>
      </c>
      <c r="C989" s="33">
        <v>100</v>
      </c>
      <c r="D989" s="33">
        <v>606</v>
      </c>
      <c r="E989" s="33">
        <v>7.8000001907348633</v>
      </c>
      <c r="F989" s="33">
        <v>19.100000381469727</v>
      </c>
      <c r="G989" s="33">
        <v>53.400001525878906</v>
      </c>
      <c r="H989" s="33">
        <v>4.5</v>
      </c>
      <c r="I989" s="33">
        <v>12.199999809265137</v>
      </c>
      <c r="J989" s="33">
        <v>0</v>
      </c>
      <c r="K989" s="33">
        <v>1.7999999523162842</v>
      </c>
      <c r="L989" s="33">
        <v>0.15999999642372131</v>
      </c>
      <c r="M989" s="33">
        <v>4.5</v>
      </c>
      <c r="N989" s="33">
        <v>79.089996337890625</v>
      </c>
      <c r="O989" s="33">
        <v>50</v>
      </c>
      <c r="P989" s="33">
        <v>1</v>
      </c>
      <c r="Q989" s="33">
        <v>2.9000000953674316</v>
      </c>
      <c r="R989" s="34" t="s">
        <v>732</v>
      </c>
      <c r="S989" s="33">
        <v>0</v>
      </c>
      <c r="T989" s="35">
        <v>0</v>
      </c>
    </row>
    <row r="990" spans="1:20">
      <c r="A990" s="31">
        <v>988</v>
      </c>
      <c r="B990" s="33" t="s">
        <v>1318</v>
      </c>
      <c r="C990" s="33">
        <v>100</v>
      </c>
      <c r="D990" s="33">
        <v>201</v>
      </c>
      <c r="E990" s="33">
        <v>49.200000762939453</v>
      </c>
      <c r="F990" s="33">
        <v>2.7999999523162842</v>
      </c>
      <c r="G990" s="33">
        <v>0.5</v>
      </c>
      <c r="H990" s="33">
        <v>0.69999998807907104</v>
      </c>
      <c r="I990" s="33">
        <v>46.200000762939453</v>
      </c>
      <c r="J990" s="33">
        <v>0</v>
      </c>
      <c r="K990" s="33">
        <v>3.9999999105930328E-2</v>
      </c>
      <c r="L990" s="33">
        <v>9.0000003576278687E-2</v>
      </c>
      <c r="M990" s="33">
        <v>1.5</v>
      </c>
      <c r="N990" s="33">
        <v>0</v>
      </c>
      <c r="O990" s="33">
        <v>8.6999998092651367</v>
      </c>
      <c r="P990" s="33">
        <v>24</v>
      </c>
      <c r="Q990" s="33">
        <v>0</v>
      </c>
      <c r="R990" s="34" t="s">
        <v>732</v>
      </c>
      <c r="S990" s="33">
        <v>0</v>
      </c>
      <c r="T990" s="35">
        <v>0</v>
      </c>
    </row>
    <row r="991" spans="1:20">
      <c r="A991" s="31">
        <v>989</v>
      </c>
      <c r="B991" s="33" t="s">
        <v>1319</v>
      </c>
      <c r="C991" s="33">
        <v>100</v>
      </c>
      <c r="D991" s="33">
        <v>344</v>
      </c>
      <c r="E991" s="33">
        <v>9.5</v>
      </c>
      <c r="F991" s="33">
        <v>17.200000762939453</v>
      </c>
      <c r="G991" s="33">
        <v>2</v>
      </c>
      <c r="H991" s="33">
        <v>3</v>
      </c>
      <c r="I991" s="33">
        <v>64.199996948242188</v>
      </c>
      <c r="J991" s="33">
        <v>0</v>
      </c>
      <c r="K991" s="33">
        <v>0.15999999642372131</v>
      </c>
      <c r="L991" s="33">
        <v>7.9999998211860657E-2</v>
      </c>
      <c r="M991" s="33">
        <v>4.1999998092651367</v>
      </c>
      <c r="N991" s="33">
        <v>2.7100000381469727</v>
      </c>
      <c r="O991" s="33">
        <v>5.0999999046325684</v>
      </c>
      <c r="P991" s="33">
        <v>97</v>
      </c>
      <c r="Q991" s="33">
        <v>3.5999999046325684</v>
      </c>
      <c r="R991" s="34" t="s">
        <v>732</v>
      </c>
      <c r="S991" s="33">
        <v>5</v>
      </c>
      <c r="T991" s="35">
        <v>0</v>
      </c>
    </row>
    <row r="992" spans="1:20">
      <c r="A992" s="31">
        <v>990</v>
      </c>
      <c r="B992" s="33" t="s">
        <v>1320</v>
      </c>
      <c r="C992" s="33">
        <v>73</v>
      </c>
      <c r="D992" s="33">
        <v>345</v>
      </c>
      <c r="E992" s="33">
        <v>13.399999618530273</v>
      </c>
      <c r="F992" s="33">
        <v>5.3000001907348633</v>
      </c>
      <c r="G992" s="33">
        <v>1.7000000476837158</v>
      </c>
      <c r="H992" s="33">
        <v>1.2000000476837158</v>
      </c>
      <c r="I992" s="33">
        <v>77.199996948242188</v>
      </c>
      <c r="J992" s="33">
        <v>5</v>
      </c>
      <c r="K992" s="33">
        <v>7.9999998211860657E-2</v>
      </c>
      <c r="L992" s="33">
        <v>0.15000000596046448</v>
      </c>
      <c r="M992" s="33">
        <v>0.80000001192092896</v>
      </c>
      <c r="N992" s="33">
        <v>11.449999809265137</v>
      </c>
      <c r="O992" s="33">
        <v>8.5</v>
      </c>
      <c r="P992" s="33">
        <v>0</v>
      </c>
      <c r="Q992" s="33">
        <v>1.2000000476837158</v>
      </c>
      <c r="R992" s="34" t="s">
        <v>732</v>
      </c>
      <c r="S992" s="33">
        <v>25</v>
      </c>
      <c r="T992" s="35">
        <v>0</v>
      </c>
    </row>
    <row r="993" spans="1:20">
      <c r="A993" s="31">
        <v>991</v>
      </c>
      <c r="B993" s="33" t="s">
        <v>1321</v>
      </c>
      <c r="C993" s="33">
        <v>80</v>
      </c>
      <c r="D993" s="33">
        <v>185</v>
      </c>
      <c r="E993" s="33">
        <v>52</v>
      </c>
      <c r="F993" s="33">
        <v>4.1999998092651367</v>
      </c>
      <c r="G993" s="33">
        <v>0.69999998807907104</v>
      </c>
      <c r="H993" s="33">
        <v>1.7000000476837158</v>
      </c>
      <c r="I993" s="33">
        <v>40.5</v>
      </c>
      <c r="J993" s="33">
        <v>32</v>
      </c>
      <c r="K993" s="33">
        <v>0.14000000059604645</v>
      </c>
      <c r="L993" s="33">
        <v>0.17000000178813934</v>
      </c>
      <c r="M993" s="33">
        <v>0.80000001192092896</v>
      </c>
      <c r="N993" s="33">
        <v>4.559999942779541</v>
      </c>
      <c r="O993" s="33">
        <v>13.899999618530273</v>
      </c>
      <c r="P993" s="33">
        <v>17</v>
      </c>
      <c r="Q993" s="33">
        <v>1.1000000238418579</v>
      </c>
      <c r="R993" s="34" t="s">
        <v>732</v>
      </c>
      <c r="S993" s="33">
        <v>24</v>
      </c>
      <c r="T993" s="35">
        <v>0</v>
      </c>
    </row>
    <row r="994" spans="1:20">
      <c r="A994" s="31">
        <v>992</v>
      </c>
      <c r="B994" s="33" t="s">
        <v>1322</v>
      </c>
      <c r="C994" s="33">
        <v>38</v>
      </c>
      <c r="D994" s="33">
        <v>174</v>
      </c>
      <c r="E994" s="33">
        <v>57.599998474121094</v>
      </c>
      <c r="F994" s="33">
        <v>12</v>
      </c>
      <c r="G994" s="33">
        <v>6.6999998092651367</v>
      </c>
      <c r="H994" s="33">
        <v>5.4000000953674316</v>
      </c>
      <c r="I994" s="33">
        <v>16.299999237060547</v>
      </c>
      <c r="J994" s="33">
        <v>0</v>
      </c>
      <c r="K994" s="33">
        <v>9.0000003576278687E-2</v>
      </c>
      <c r="L994" s="33">
        <v>0.10000000149011612</v>
      </c>
      <c r="M994" s="33">
        <v>1.5</v>
      </c>
      <c r="N994" s="33">
        <v>0</v>
      </c>
      <c r="O994" s="33">
        <v>0</v>
      </c>
      <c r="P994" s="33">
        <v>0</v>
      </c>
      <c r="Q994" s="33">
        <v>0</v>
      </c>
      <c r="R994" s="34" t="s">
        <v>732</v>
      </c>
      <c r="S994" s="33">
        <v>40</v>
      </c>
      <c r="T994" s="35">
        <v>0</v>
      </c>
    </row>
    <row r="995" spans="1:20">
      <c r="A995" s="31">
        <v>993</v>
      </c>
      <c r="B995" s="33" t="s">
        <v>1323</v>
      </c>
      <c r="C995" s="33">
        <v>68</v>
      </c>
      <c r="D995" s="33">
        <v>574</v>
      </c>
      <c r="E995" s="33">
        <v>4.0999999046325684</v>
      </c>
      <c r="F995" s="33">
        <v>36</v>
      </c>
      <c r="G995" s="33">
        <v>46.099998474121094</v>
      </c>
      <c r="H995" s="33">
        <v>4.0999999046325684</v>
      </c>
      <c r="I995" s="33">
        <v>3.7999999523162842</v>
      </c>
      <c r="J995" s="33">
        <v>0</v>
      </c>
      <c r="K995" s="33">
        <v>7.9999998211860657E-2</v>
      </c>
      <c r="L995" s="33">
        <v>0.15999999642372131</v>
      </c>
      <c r="M995" s="33">
        <v>3.2999999523162842</v>
      </c>
      <c r="N995" s="33">
        <v>27.280000686645508</v>
      </c>
      <c r="O995" s="33">
        <v>15.800000190734863</v>
      </c>
      <c r="P995" s="33">
        <v>37</v>
      </c>
      <c r="Q995" s="33">
        <v>6.5</v>
      </c>
      <c r="R995" s="34" t="s">
        <v>732</v>
      </c>
      <c r="S995" s="33">
        <v>0</v>
      </c>
      <c r="T995" s="35">
        <v>0</v>
      </c>
    </row>
    <row r="996" spans="1:20">
      <c r="A996" s="31">
        <v>994</v>
      </c>
      <c r="B996" s="33" t="s">
        <v>1324</v>
      </c>
      <c r="C996" s="33">
        <v>100</v>
      </c>
      <c r="D996" s="33">
        <v>566</v>
      </c>
      <c r="E996" s="33">
        <v>9.1999998092651367</v>
      </c>
      <c r="F996" s="33">
        <v>33.200000762939453</v>
      </c>
      <c r="G996" s="33">
        <v>48.099998474121094</v>
      </c>
      <c r="H996" s="33">
        <v>4.9000000953674316</v>
      </c>
      <c r="I996" s="33">
        <v>0</v>
      </c>
      <c r="J996" s="33">
        <v>0</v>
      </c>
      <c r="K996" s="33">
        <v>0.20000000298023224</v>
      </c>
      <c r="L996" s="33">
        <v>9.0000003576278687E-2</v>
      </c>
      <c r="M996" s="33">
        <v>1.7999999523162842</v>
      </c>
      <c r="N996" s="33">
        <v>13.25</v>
      </c>
      <c r="O996" s="33">
        <v>20.600000381469727</v>
      </c>
      <c r="P996" s="33">
        <v>16</v>
      </c>
      <c r="Q996" s="33">
        <v>1.5</v>
      </c>
      <c r="R996" s="34" t="s">
        <v>732</v>
      </c>
      <c r="S996" s="33">
        <v>0</v>
      </c>
      <c r="T996" s="35">
        <v>0</v>
      </c>
    </row>
    <row r="997" spans="1:20">
      <c r="A997" s="31">
        <v>995</v>
      </c>
      <c r="B997" s="33" t="s">
        <v>1325</v>
      </c>
      <c r="C997" s="33">
        <v>100</v>
      </c>
      <c r="D997" s="33">
        <v>351</v>
      </c>
      <c r="E997" s="33">
        <v>11.399999618530273</v>
      </c>
      <c r="F997" s="33">
        <v>8.3000001907348633</v>
      </c>
      <c r="G997" s="33">
        <v>0.30000001192092896</v>
      </c>
      <c r="H997" s="33">
        <v>0.89999997615814209</v>
      </c>
      <c r="I997" s="33">
        <v>78.699996948242188</v>
      </c>
      <c r="J997" s="33">
        <v>0</v>
      </c>
      <c r="K997" s="33">
        <v>0.30000001192092896</v>
      </c>
      <c r="L997" s="33">
        <v>9.0000003576278687E-2</v>
      </c>
      <c r="M997" s="33">
        <v>0.40000000596046448</v>
      </c>
      <c r="N997" s="33">
        <v>0</v>
      </c>
      <c r="O997" s="33">
        <v>28.399999618530273</v>
      </c>
      <c r="P997" s="33">
        <v>37</v>
      </c>
      <c r="Q997" s="33">
        <v>0.5</v>
      </c>
      <c r="R997" s="34" t="s">
        <v>732</v>
      </c>
      <c r="S997" s="33">
        <v>0</v>
      </c>
      <c r="T997" s="35">
        <v>0</v>
      </c>
    </row>
    <row r="998" spans="1:20">
      <c r="A998" s="31">
        <v>996</v>
      </c>
      <c r="B998" s="33" t="s">
        <v>1326</v>
      </c>
      <c r="C998" s="33">
        <v>30</v>
      </c>
      <c r="D998" s="33">
        <v>596</v>
      </c>
      <c r="E998" s="33">
        <v>2.2000000476837158</v>
      </c>
      <c r="F998" s="33">
        <v>7.9000000953674316</v>
      </c>
      <c r="G998" s="33">
        <v>50.799999237060547</v>
      </c>
      <c r="H998" s="33">
        <v>7.8000001907348633</v>
      </c>
      <c r="I998" s="33">
        <v>26.799999237060547</v>
      </c>
      <c r="J998" s="33">
        <v>0</v>
      </c>
      <c r="K998" s="33">
        <v>1.9999999552965164E-2</v>
      </c>
      <c r="L998" s="33">
        <v>9.0000003576278687E-2</v>
      </c>
      <c r="M998" s="33">
        <v>1</v>
      </c>
      <c r="N998" s="33">
        <v>14.079999923706055</v>
      </c>
      <c r="O998" s="33">
        <v>430.29998779296875</v>
      </c>
      <c r="P998" s="33">
        <v>133</v>
      </c>
      <c r="Q998" s="33">
        <v>5.4000000953674316</v>
      </c>
      <c r="R998" s="34" t="s">
        <v>732</v>
      </c>
      <c r="S998" s="33">
        <v>0</v>
      </c>
      <c r="T998" s="35">
        <v>0</v>
      </c>
    </row>
    <row r="999" spans="1:20">
      <c r="A999" s="31">
        <v>997</v>
      </c>
      <c r="B999" s="33" t="s">
        <v>1327</v>
      </c>
      <c r="C999" s="33">
        <v>24</v>
      </c>
      <c r="D999" s="33">
        <v>601</v>
      </c>
      <c r="E999" s="33">
        <v>2.2000000476837158</v>
      </c>
      <c r="F999" s="33">
        <v>18</v>
      </c>
      <c r="G999" s="33">
        <v>50.400001525878906</v>
      </c>
      <c r="H999" s="33">
        <v>7.4000000953674316</v>
      </c>
      <c r="I999" s="33">
        <v>18.799999237060547</v>
      </c>
      <c r="J999" s="33">
        <v>5</v>
      </c>
      <c r="K999" s="33">
        <v>0.15999999642372131</v>
      </c>
      <c r="L999" s="33">
        <v>9.0000003576278687E-2</v>
      </c>
      <c r="M999" s="33">
        <v>0.5</v>
      </c>
      <c r="N999" s="33">
        <v>65.550003051757813</v>
      </c>
      <c r="O999" s="33">
        <v>250.69999694824219</v>
      </c>
      <c r="P999" s="33">
        <v>57</v>
      </c>
      <c r="Q999" s="33">
        <v>6.8000001907348633</v>
      </c>
      <c r="R999" s="34" t="s">
        <v>732</v>
      </c>
      <c r="S999" s="33">
        <v>0</v>
      </c>
      <c r="T999" s="35">
        <v>0</v>
      </c>
    </row>
    <row r="1000" spans="1:20">
      <c r="A1000" s="31">
        <v>998</v>
      </c>
      <c r="B1000" s="33" t="s">
        <v>1328</v>
      </c>
      <c r="C1000" s="33">
        <v>31</v>
      </c>
      <c r="D1000" s="33">
        <v>619</v>
      </c>
      <c r="E1000" s="33">
        <v>3.5999999046325684</v>
      </c>
      <c r="F1000" s="33">
        <v>14.100000381469727</v>
      </c>
      <c r="G1000" s="33">
        <v>58.5</v>
      </c>
      <c r="H1000" s="33">
        <v>12.399999618530273</v>
      </c>
      <c r="I1000" s="33">
        <v>9</v>
      </c>
      <c r="J1000" s="33">
        <v>5</v>
      </c>
      <c r="K1000" s="33">
        <v>0</v>
      </c>
      <c r="L1000" s="33">
        <v>0.10999999940395355</v>
      </c>
      <c r="M1000" s="33">
        <v>3.7999999523162842</v>
      </c>
      <c r="N1000" s="33">
        <v>25.200000762939453</v>
      </c>
      <c r="O1000" s="33">
        <v>3</v>
      </c>
      <c r="P1000" s="33">
        <v>161</v>
      </c>
      <c r="Q1000" s="33">
        <v>5.1999998092651367</v>
      </c>
      <c r="R1000" s="34" t="s">
        <v>732</v>
      </c>
      <c r="S1000" s="33">
        <v>0</v>
      </c>
      <c r="T1000" s="35">
        <v>0</v>
      </c>
    </row>
    <row r="1001" spans="1:20">
      <c r="A1001" s="31">
        <v>999</v>
      </c>
      <c r="B1001" s="33" t="s">
        <v>1329</v>
      </c>
      <c r="C1001" s="33">
        <v>32</v>
      </c>
      <c r="D1001" s="33">
        <v>640</v>
      </c>
      <c r="E1001" s="33">
        <v>3</v>
      </c>
      <c r="F1001" s="33">
        <v>12.600000381469727</v>
      </c>
      <c r="G1001" s="33">
        <v>62.599998474121094</v>
      </c>
      <c r="H1001" s="33">
        <v>12.399999618530273</v>
      </c>
      <c r="I1001" s="33">
        <v>8.6000003814697266</v>
      </c>
      <c r="J1001" s="33">
        <v>7</v>
      </c>
      <c r="K1001" s="33">
        <v>0.40999999642372131</v>
      </c>
      <c r="L1001" s="33">
        <v>9.0000003576278687E-2</v>
      </c>
      <c r="M1001" s="33">
        <v>3.7999999523162842</v>
      </c>
      <c r="N1001" s="33">
        <v>34.470001220703125</v>
      </c>
      <c r="O1001" s="33">
        <v>0</v>
      </c>
      <c r="P1001" s="33">
        <v>3</v>
      </c>
      <c r="Q1001" s="33">
        <v>5.9000000953674316</v>
      </c>
      <c r="R1001" s="34" t="s">
        <v>732</v>
      </c>
      <c r="S1001" s="33">
        <v>0</v>
      </c>
      <c r="T1001" s="35">
        <v>0</v>
      </c>
    </row>
    <row r="1002" spans="1:20">
      <c r="A1002" s="31">
        <v>1000</v>
      </c>
      <c r="B1002" s="33" t="s">
        <v>1330</v>
      </c>
      <c r="C1002" s="33">
        <v>100</v>
      </c>
      <c r="D1002" s="33">
        <v>698</v>
      </c>
      <c r="E1002" s="33">
        <v>0.80000001192092896</v>
      </c>
      <c r="F1002" s="33">
        <v>13.399999618530273</v>
      </c>
      <c r="G1002" s="33">
        <v>70.599998474121094</v>
      </c>
      <c r="H1002" s="33">
        <v>10</v>
      </c>
      <c r="I1002" s="33">
        <v>2.2000000476837158</v>
      </c>
      <c r="J1002" s="33">
        <v>2</v>
      </c>
      <c r="K1002" s="33">
        <v>0.18999999761581421</v>
      </c>
      <c r="L1002" s="33">
        <v>0.25</v>
      </c>
      <c r="M1002" s="33">
        <v>4</v>
      </c>
      <c r="N1002" s="33">
        <v>32.790000915527344</v>
      </c>
      <c r="O1002" s="33">
        <v>10.100000381469727</v>
      </c>
      <c r="P1002" s="33">
        <v>78</v>
      </c>
      <c r="Q1002" s="33">
        <v>4.3000001907348633</v>
      </c>
      <c r="R1002" s="34" t="s">
        <v>732</v>
      </c>
      <c r="S1002" s="33">
        <v>0</v>
      </c>
      <c r="T1002" s="35">
        <v>0</v>
      </c>
    </row>
    <row r="1003" spans="1:20">
      <c r="A1003" s="31">
        <v>1001</v>
      </c>
      <c r="B1003" s="33" t="s">
        <v>1331</v>
      </c>
      <c r="C1003" s="33">
        <v>38</v>
      </c>
      <c r="D1003" s="33">
        <v>541</v>
      </c>
      <c r="E1003" s="33">
        <v>5</v>
      </c>
      <c r="F1003" s="33">
        <v>30.299999237060547</v>
      </c>
      <c r="G1003" s="33">
        <v>46.5</v>
      </c>
      <c r="H1003" s="33">
        <v>13.199999809265137</v>
      </c>
      <c r="I1003" s="33">
        <v>0.20000000298023224</v>
      </c>
      <c r="J1003" s="33">
        <v>0</v>
      </c>
      <c r="K1003" s="33">
        <v>2.9999999329447746E-2</v>
      </c>
      <c r="L1003" s="33">
        <v>5.000000074505806E-2</v>
      </c>
      <c r="M1003" s="33">
        <v>3.2000000476837158</v>
      </c>
      <c r="N1003" s="33">
        <v>2.7100000381469727</v>
      </c>
      <c r="O1003" s="33">
        <v>133.69999694824219</v>
      </c>
      <c r="P1003" s="33">
        <v>392</v>
      </c>
      <c r="Q1003" s="33">
        <v>4.4000000953674316</v>
      </c>
      <c r="R1003" s="34" t="s">
        <v>732</v>
      </c>
      <c r="S1003" s="33">
        <v>0</v>
      </c>
      <c r="T1003" s="35">
        <v>0</v>
      </c>
    </row>
    <row r="1004" spans="1:20">
      <c r="A1004" s="31">
        <v>1002</v>
      </c>
      <c r="B1004" s="33" t="s">
        <v>1332</v>
      </c>
      <c r="C1004" s="33">
        <v>43</v>
      </c>
      <c r="D1004" s="33">
        <v>573</v>
      </c>
      <c r="E1004" s="33">
        <v>4.3000001907348633</v>
      </c>
      <c r="F1004" s="33">
        <v>32.700000762939453</v>
      </c>
      <c r="G1004" s="33">
        <v>44.799999237060547</v>
      </c>
      <c r="H1004" s="33">
        <v>4.5</v>
      </c>
      <c r="I1004" s="33">
        <v>9.6999998092651367</v>
      </c>
      <c r="J1004" s="33">
        <v>0</v>
      </c>
      <c r="K1004" s="33">
        <v>3.9999999105930328E-2</v>
      </c>
      <c r="L1004" s="33">
        <v>7.9999998211860657E-2</v>
      </c>
      <c r="M1004" s="33">
        <v>3.4000000953674316</v>
      </c>
      <c r="N1004" s="33">
        <v>1.2300000190734863</v>
      </c>
      <c r="O1004" s="33">
        <v>187.69999694824219</v>
      </c>
      <c r="P1004" s="33">
        <v>28</v>
      </c>
      <c r="Q1004" s="33">
        <v>8.1999998092651367</v>
      </c>
      <c r="R1004" s="34" t="s">
        <v>732</v>
      </c>
      <c r="S1004" s="33">
        <v>0</v>
      </c>
      <c r="T1004" s="35">
        <v>0</v>
      </c>
    </row>
    <row r="1005" spans="1:20">
      <c r="A1005" s="31">
        <v>1003</v>
      </c>
      <c r="B1005" s="33" t="s">
        <v>1333</v>
      </c>
      <c r="C1005" s="33">
        <v>100</v>
      </c>
      <c r="D1005" s="33">
        <v>555</v>
      </c>
      <c r="E1005" s="33">
        <v>9.1999998092651367</v>
      </c>
      <c r="F1005" s="33">
        <v>32.400001525878906</v>
      </c>
      <c r="G1005" s="33">
        <v>45.900001525878906</v>
      </c>
      <c r="H1005" s="33">
        <v>5.4000000953674316</v>
      </c>
      <c r="I1005" s="33">
        <v>3.2000000476837158</v>
      </c>
      <c r="J1005" s="33">
        <v>0</v>
      </c>
      <c r="K1005" s="33">
        <v>0.20000000298023224</v>
      </c>
      <c r="L1005" s="33">
        <v>7.9999998211860657E-2</v>
      </c>
      <c r="M1005" s="33">
        <v>1.3999999761581421</v>
      </c>
      <c r="N1005" s="33">
        <v>27.370000839233398</v>
      </c>
      <c r="O1005" s="33">
        <v>9.3999996185302734</v>
      </c>
      <c r="P1005" s="33">
        <v>0</v>
      </c>
      <c r="Q1005" s="33">
        <v>4.6999998092651367</v>
      </c>
      <c r="R1005" s="34" t="s">
        <v>732</v>
      </c>
      <c r="S1005" s="33">
        <v>0</v>
      </c>
      <c r="T1005" s="35">
        <v>0</v>
      </c>
    </row>
    <row r="1006" spans="1:20">
      <c r="A1006" s="31">
        <v>1004</v>
      </c>
      <c r="B1006" s="33" t="s">
        <v>1334</v>
      </c>
      <c r="C1006" s="33">
        <v>100</v>
      </c>
      <c r="D1006" s="33">
        <v>514</v>
      </c>
      <c r="E1006" s="33">
        <v>5.5999999046325684</v>
      </c>
      <c r="F1006" s="33">
        <v>24.700000762939453</v>
      </c>
      <c r="G1006" s="33">
        <v>44.799999237060547</v>
      </c>
      <c r="H1006" s="33">
        <v>19.200000762939453</v>
      </c>
      <c r="I1006" s="33">
        <v>2.9000000953674316</v>
      </c>
      <c r="J1006" s="33">
        <v>0</v>
      </c>
      <c r="K1006" s="33">
        <v>7.9999998211860657E-2</v>
      </c>
      <c r="L1006" s="33">
        <v>1.25</v>
      </c>
      <c r="M1006" s="33">
        <v>0</v>
      </c>
      <c r="N1006" s="33">
        <v>18.530000686645508</v>
      </c>
      <c r="O1006" s="33">
        <v>7.0999999046325684</v>
      </c>
      <c r="P1006" s="33">
        <v>71</v>
      </c>
      <c r="Q1006" s="33">
        <v>1.2999999523162842</v>
      </c>
      <c r="R1006" s="34" t="s">
        <v>732</v>
      </c>
      <c r="S1006" s="33">
        <v>26</v>
      </c>
      <c r="T1006" s="35">
        <v>0</v>
      </c>
    </row>
    <row r="1007" spans="1:20">
      <c r="A1007" s="31">
        <v>1005</v>
      </c>
      <c r="B1007" s="33" t="s">
        <v>1335</v>
      </c>
      <c r="C1007" s="33">
        <v>27</v>
      </c>
      <c r="D1007" s="33">
        <v>542</v>
      </c>
      <c r="E1007" s="33">
        <v>7.4000000953674316</v>
      </c>
      <c r="F1007" s="33">
        <v>20</v>
      </c>
      <c r="G1007" s="33">
        <v>44.799999237060547</v>
      </c>
      <c r="H1007" s="33">
        <v>9.6000003814697266</v>
      </c>
      <c r="I1007" s="33">
        <v>14.699999809265137</v>
      </c>
      <c r="J1007" s="33">
        <v>8</v>
      </c>
      <c r="K1007" s="33">
        <v>0.62000000476837158</v>
      </c>
      <c r="L1007" s="33">
        <v>0.14000000059604645</v>
      </c>
      <c r="M1007" s="33">
        <v>2.5</v>
      </c>
      <c r="N1007" s="33">
        <v>36.430000305175781</v>
      </c>
      <c r="O1007" s="33">
        <v>4.6999998092651367</v>
      </c>
      <c r="P1007" s="33">
        <v>104</v>
      </c>
      <c r="Q1007" s="33">
        <v>6.4000000953674316</v>
      </c>
      <c r="R1007" s="34" t="s">
        <v>732</v>
      </c>
      <c r="S1007" s="33">
        <v>0</v>
      </c>
      <c r="T1007" s="35">
        <v>0</v>
      </c>
    </row>
    <row r="1008" spans="1:20">
      <c r="A1008" s="31">
        <v>1006</v>
      </c>
      <c r="B1008" s="33" t="s">
        <v>1336</v>
      </c>
      <c r="C1008" s="33">
        <v>21</v>
      </c>
      <c r="D1008" s="33">
        <v>594</v>
      </c>
      <c r="E1008" s="33">
        <v>2.2999999523162842</v>
      </c>
      <c r="F1008" s="33">
        <v>30.5</v>
      </c>
      <c r="G1008" s="33">
        <v>50.299999237060547</v>
      </c>
      <c r="H1008" s="33">
        <v>8.1999998092651367</v>
      </c>
      <c r="I1008" s="33">
        <v>4.9000000953674316</v>
      </c>
      <c r="J1008" s="33">
        <v>12</v>
      </c>
      <c r="K1008" s="33">
        <v>0.20999999344348907</v>
      </c>
      <c r="L1008" s="33">
        <v>0.2199999988079071</v>
      </c>
      <c r="M1008" s="33">
        <v>9.8000001907348633</v>
      </c>
      <c r="N1008" s="33">
        <v>25.200000762939453</v>
      </c>
      <c r="O1008" s="33">
        <v>153</v>
      </c>
      <c r="P1008" s="33">
        <v>815</v>
      </c>
      <c r="Q1008" s="33">
        <v>5.0999999046325684</v>
      </c>
      <c r="R1008" s="34" t="s">
        <v>732</v>
      </c>
      <c r="S1008" s="33">
        <v>0</v>
      </c>
      <c r="T1008" s="35">
        <v>0</v>
      </c>
    </row>
    <row r="1009" spans="1:20">
      <c r="A1009" s="31">
        <v>1007</v>
      </c>
      <c r="B1009" s="33" t="s">
        <v>1337</v>
      </c>
      <c r="C1009" s="33">
        <v>88</v>
      </c>
      <c r="D1009" s="33">
        <v>190</v>
      </c>
      <c r="E1009" s="33">
        <v>61.299999237060547</v>
      </c>
      <c r="F1009" s="33">
        <v>12.699999809265137</v>
      </c>
      <c r="G1009" s="33">
        <v>12.699999809265137</v>
      </c>
      <c r="H1009" s="33">
        <v>0</v>
      </c>
      <c r="I1009" s="33">
        <v>6.3000001907348633</v>
      </c>
      <c r="J1009" s="33">
        <v>134</v>
      </c>
      <c r="K1009" s="33">
        <v>0.15999999642372131</v>
      </c>
      <c r="L1009" s="33">
        <v>0.33000001311302185</v>
      </c>
      <c r="M1009" s="33">
        <v>0.10000000149011612</v>
      </c>
      <c r="N1009" s="33">
        <v>6.25</v>
      </c>
      <c r="O1009" s="33">
        <v>2706.10009765625</v>
      </c>
      <c r="P1009" s="33">
        <v>118</v>
      </c>
      <c r="Q1009" s="33">
        <v>3.5999999046325684</v>
      </c>
      <c r="R1009" s="34" t="s">
        <v>973</v>
      </c>
      <c r="S1009" s="33">
        <v>0</v>
      </c>
      <c r="T1009" s="35">
        <v>647</v>
      </c>
    </row>
    <row r="1010" spans="1:20">
      <c r="A1010" s="31">
        <v>1008</v>
      </c>
      <c r="B1010" s="33" t="s">
        <v>1338</v>
      </c>
      <c r="C1010" s="33">
        <v>100</v>
      </c>
      <c r="D1010" s="33">
        <v>47</v>
      </c>
      <c r="E1010" s="33">
        <v>87.699996948242188</v>
      </c>
      <c r="F1010" s="33">
        <v>9.8999996185302734</v>
      </c>
      <c r="G1010" s="33">
        <v>0</v>
      </c>
      <c r="H1010" s="33">
        <v>0</v>
      </c>
      <c r="I1010" s="33">
        <v>1.7999999523162842</v>
      </c>
      <c r="J1010" s="33">
        <v>23</v>
      </c>
      <c r="K1010" s="33">
        <v>9.9999997764825821E-3</v>
      </c>
      <c r="L1010" s="33">
        <v>7.0000000298023224E-2</v>
      </c>
      <c r="M1010" s="33">
        <v>0.10000000149011612</v>
      </c>
      <c r="N1010" s="33">
        <v>0.15999999642372131</v>
      </c>
      <c r="O1010" s="33">
        <v>71.199996948242188</v>
      </c>
      <c r="P1010" s="33">
        <v>18</v>
      </c>
      <c r="Q1010" s="33">
        <v>0.10000000149011612</v>
      </c>
      <c r="R1010" s="34" t="s">
        <v>973</v>
      </c>
      <c r="S1010" s="33">
        <v>0</v>
      </c>
      <c r="T1010" s="35">
        <v>0</v>
      </c>
    </row>
    <row r="1011" spans="1:20">
      <c r="A1011" s="31">
        <v>1009</v>
      </c>
      <c r="B1011" s="33" t="s">
        <v>1339</v>
      </c>
      <c r="C1011" s="33">
        <v>100</v>
      </c>
      <c r="D1011" s="33">
        <v>378</v>
      </c>
      <c r="E1011" s="33">
        <v>44.900001525878906</v>
      </c>
      <c r="F1011" s="33">
        <v>14.5</v>
      </c>
      <c r="G1011" s="33">
        <v>33.799999237060547</v>
      </c>
      <c r="H1011" s="33">
        <v>0</v>
      </c>
      <c r="I1011" s="33">
        <v>4</v>
      </c>
      <c r="J1011" s="33">
        <v>1980</v>
      </c>
      <c r="K1011" s="33">
        <v>0.2800000011920929</v>
      </c>
      <c r="L1011" s="33">
        <v>0.62000000476837158</v>
      </c>
      <c r="M1011" s="33">
        <v>0</v>
      </c>
      <c r="N1011" s="33">
        <v>12.720000267028809</v>
      </c>
      <c r="O1011" s="33">
        <v>30.100000381469727</v>
      </c>
      <c r="P1011" s="33">
        <v>123</v>
      </c>
      <c r="Q1011" s="33">
        <v>4.9000000953674316</v>
      </c>
      <c r="R1011" s="34" t="s">
        <v>973</v>
      </c>
      <c r="S1011" s="33">
        <v>0</v>
      </c>
      <c r="T1011" s="35">
        <v>1576</v>
      </c>
    </row>
    <row r="1012" spans="1:20">
      <c r="A1012" s="31">
        <v>1010</v>
      </c>
      <c r="B1012" s="33" t="s">
        <v>1340</v>
      </c>
      <c r="C1012" s="33">
        <v>67</v>
      </c>
      <c r="D1012" s="33">
        <v>150</v>
      </c>
      <c r="E1012" s="33">
        <v>71.5</v>
      </c>
      <c r="F1012" s="33">
        <v>19.100000381469727</v>
      </c>
      <c r="G1012" s="33">
        <v>8.1999998092651367</v>
      </c>
      <c r="H1012" s="33">
        <v>0</v>
      </c>
      <c r="I1012" s="33">
        <v>0</v>
      </c>
      <c r="J1012" s="33">
        <v>0</v>
      </c>
      <c r="K1012" s="33">
        <v>1.9999999552965164E-2</v>
      </c>
      <c r="L1012" s="33">
        <v>7.9999998211860657E-2</v>
      </c>
      <c r="M1012" s="33">
        <v>3.2999999523162842</v>
      </c>
      <c r="N1012" s="33">
        <v>1.4900000095367432</v>
      </c>
      <c r="O1012" s="33">
        <v>152.69999694824219</v>
      </c>
      <c r="P1012" s="33">
        <v>23</v>
      </c>
      <c r="Q1012" s="33">
        <v>0.30000001192092896</v>
      </c>
      <c r="R1012" s="34" t="s">
        <v>1341</v>
      </c>
      <c r="S1012" s="33">
        <v>0</v>
      </c>
      <c r="T1012" s="35">
        <v>0</v>
      </c>
    </row>
    <row r="1013" spans="1:20">
      <c r="A1013" s="31">
        <v>1011</v>
      </c>
      <c r="B1013" s="33" t="s">
        <v>1342</v>
      </c>
      <c r="C1013" s="33">
        <v>80</v>
      </c>
      <c r="D1013" s="33">
        <v>122</v>
      </c>
      <c r="E1013" s="33">
        <v>72.5</v>
      </c>
      <c r="F1013" s="33">
        <v>21.200000762939453</v>
      </c>
      <c r="G1013" s="33">
        <v>3.0999999046325684</v>
      </c>
      <c r="H1013" s="33">
        <v>0</v>
      </c>
      <c r="I1013" s="33">
        <v>2.2000000476837158</v>
      </c>
      <c r="J1013" s="33">
        <v>19</v>
      </c>
      <c r="K1013" s="33">
        <v>2.9999999329447746E-2</v>
      </c>
      <c r="L1013" s="33">
        <v>3.9999999105930328E-2</v>
      </c>
      <c r="M1013" s="33">
        <v>2.0999999046325684</v>
      </c>
      <c r="N1013" s="33">
        <v>0.70999997854232788</v>
      </c>
      <c r="O1013" s="33">
        <v>74.199996948242188</v>
      </c>
      <c r="P1013" s="33">
        <v>35</v>
      </c>
      <c r="Q1013" s="33">
        <v>0.80000001192092896</v>
      </c>
      <c r="R1013" s="34" t="s">
        <v>1341</v>
      </c>
      <c r="S1013" s="33">
        <v>0</v>
      </c>
      <c r="T1013" s="35">
        <v>75</v>
      </c>
    </row>
    <row r="1014" spans="1:20">
      <c r="A1014" s="31">
        <v>1012</v>
      </c>
      <c r="B1014" s="33" t="s">
        <v>1343</v>
      </c>
      <c r="C1014" s="33">
        <v>67</v>
      </c>
      <c r="D1014" s="33">
        <v>157</v>
      </c>
      <c r="E1014" s="33">
        <v>52.799999237060547</v>
      </c>
      <c r="F1014" s="33">
        <v>23.299999237060547</v>
      </c>
      <c r="G1014" s="33">
        <v>1.6000000238418579</v>
      </c>
      <c r="H1014" s="33">
        <v>0</v>
      </c>
      <c r="I1014" s="33">
        <v>12.399999618530273</v>
      </c>
      <c r="J1014" s="33">
        <v>0</v>
      </c>
      <c r="K1014" s="33">
        <v>3.9999999105930328E-2</v>
      </c>
      <c r="L1014" s="33">
        <v>0</v>
      </c>
      <c r="M1014" s="33">
        <v>2.7000000476837158</v>
      </c>
      <c r="N1014" s="33">
        <v>4.5999999046325684</v>
      </c>
      <c r="O1014" s="33">
        <v>5350</v>
      </c>
      <c r="P1014" s="33">
        <v>0</v>
      </c>
      <c r="Q1014" s="33">
        <v>6.1999998092651367</v>
      </c>
      <c r="R1014" s="34" t="s">
        <v>1341</v>
      </c>
      <c r="S1014" s="33">
        <v>0</v>
      </c>
      <c r="T1014" s="35">
        <v>0</v>
      </c>
    </row>
    <row r="1015" spans="1:20">
      <c r="A1015" s="31">
        <v>1013</v>
      </c>
      <c r="B1015" s="33" t="s">
        <v>1344</v>
      </c>
      <c r="C1015" s="33">
        <v>78</v>
      </c>
      <c r="D1015" s="33">
        <v>135</v>
      </c>
      <c r="E1015" s="33">
        <v>65.400001525878906</v>
      </c>
      <c r="F1015" s="33">
        <v>18.899999618530273</v>
      </c>
      <c r="G1015" s="33">
        <v>0.40000000596046448</v>
      </c>
      <c r="H1015" s="33">
        <v>0</v>
      </c>
      <c r="I1015" s="33">
        <v>14</v>
      </c>
      <c r="J1015" s="33">
        <v>0</v>
      </c>
      <c r="K1015" s="33">
        <v>3.9999999105930328E-2</v>
      </c>
      <c r="L1015" s="33">
        <v>5.9999998658895493E-2</v>
      </c>
      <c r="M1015" s="33">
        <v>5.4000000953674316</v>
      </c>
      <c r="N1015" s="33">
        <v>1.3400000333786011</v>
      </c>
      <c r="O1015" s="33">
        <v>65.400001525878906</v>
      </c>
      <c r="P1015" s="33">
        <v>21</v>
      </c>
      <c r="Q1015" s="33">
        <v>0.60000002384185791</v>
      </c>
      <c r="R1015" s="34" t="s">
        <v>1341</v>
      </c>
      <c r="S1015" s="33">
        <v>0</v>
      </c>
      <c r="T1015" s="35">
        <v>0</v>
      </c>
    </row>
    <row r="1016" spans="1:20">
      <c r="A1016" s="31">
        <v>1014</v>
      </c>
      <c r="B1016" s="33" t="s">
        <v>1345</v>
      </c>
      <c r="C1016" s="33">
        <v>59</v>
      </c>
      <c r="D1016" s="33">
        <v>135</v>
      </c>
      <c r="E1016" s="33">
        <v>73.099998474121094</v>
      </c>
      <c r="F1016" s="33">
        <v>18.299999237060547</v>
      </c>
      <c r="G1016" s="33">
        <v>6.3000001907348633</v>
      </c>
      <c r="H1016" s="33">
        <v>0</v>
      </c>
      <c r="I1016" s="33">
        <v>1.2000000476837158</v>
      </c>
      <c r="J1016" s="33">
        <v>28</v>
      </c>
      <c r="K1016" s="33">
        <v>1.9999999552965164E-2</v>
      </c>
      <c r="L1016" s="33">
        <v>7.0000000298023224E-2</v>
      </c>
      <c r="M1016" s="33">
        <v>1.7000000476837158</v>
      </c>
      <c r="N1016" s="33">
        <v>0.51999998092651367</v>
      </c>
      <c r="O1016" s="33">
        <v>41.099998474121094</v>
      </c>
      <c r="P1016" s="33">
        <v>89</v>
      </c>
      <c r="Q1016" s="33">
        <v>0.69999998807907104</v>
      </c>
      <c r="R1016" s="34" t="s">
        <v>1341</v>
      </c>
      <c r="S1016" s="33">
        <v>0</v>
      </c>
      <c r="T1016" s="35">
        <v>94</v>
      </c>
    </row>
    <row r="1017" spans="1:20">
      <c r="A1017" s="31">
        <v>1015</v>
      </c>
      <c r="B1017" s="33" t="s">
        <v>1346</v>
      </c>
      <c r="C1017" s="33">
        <v>78</v>
      </c>
      <c r="D1017" s="33">
        <v>165</v>
      </c>
      <c r="E1017" s="33">
        <v>72.699996948242188</v>
      </c>
      <c r="F1017" s="33">
        <v>18.299999237060547</v>
      </c>
      <c r="G1017" s="33">
        <v>10.199999809265137</v>
      </c>
      <c r="H1017" s="33">
        <v>0</v>
      </c>
      <c r="I1017" s="33">
        <v>0</v>
      </c>
      <c r="J1017" s="33">
        <v>0</v>
      </c>
      <c r="K1017" s="33">
        <v>7.0000000298023224E-2</v>
      </c>
      <c r="L1017" s="33">
        <v>0</v>
      </c>
      <c r="M1017" s="33">
        <v>0</v>
      </c>
      <c r="N1017" s="33">
        <v>0</v>
      </c>
      <c r="O1017" s="33">
        <v>0</v>
      </c>
      <c r="P1017" s="33">
        <v>0</v>
      </c>
      <c r="Q1017" s="33">
        <v>0</v>
      </c>
      <c r="R1017" s="34" t="s">
        <v>1341</v>
      </c>
      <c r="S1017" s="33">
        <v>0</v>
      </c>
      <c r="T1017" s="35">
        <v>103</v>
      </c>
    </row>
    <row r="1018" spans="1:20">
      <c r="A1018" s="31">
        <v>1016</v>
      </c>
      <c r="B1018" s="33" t="s">
        <v>1347</v>
      </c>
      <c r="C1018" s="33">
        <v>58</v>
      </c>
      <c r="D1018" s="33">
        <v>112</v>
      </c>
      <c r="E1018" s="33">
        <v>77.300003051757813</v>
      </c>
      <c r="F1018" s="33">
        <v>16.600000381469727</v>
      </c>
      <c r="G1018" s="33">
        <v>5.1999998092651367</v>
      </c>
      <c r="H1018" s="33">
        <v>0</v>
      </c>
      <c r="I1018" s="33">
        <v>0</v>
      </c>
      <c r="J1018" s="33">
        <v>11</v>
      </c>
      <c r="K1018" s="33">
        <v>3.9999999105930328E-2</v>
      </c>
      <c r="L1018" s="33">
        <v>0.10999999940395355</v>
      </c>
      <c r="M1018" s="33">
        <v>2.7999999523162842</v>
      </c>
      <c r="N1018" s="33">
        <v>2.0299999713897705</v>
      </c>
      <c r="O1018" s="33">
        <v>46</v>
      </c>
      <c r="P1018" s="33">
        <v>38</v>
      </c>
      <c r="Q1018" s="33">
        <v>0.80000001192092896</v>
      </c>
      <c r="R1018" s="34" t="s">
        <v>1341</v>
      </c>
      <c r="S1018" s="33">
        <v>0</v>
      </c>
      <c r="T1018" s="35">
        <v>86</v>
      </c>
    </row>
    <row r="1019" spans="1:20">
      <c r="A1019" s="31">
        <v>1017</v>
      </c>
      <c r="B1019" s="33" t="s">
        <v>1348</v>
      </c>
      <c r="C1019" s="33">
        <v>70</v>
      </c>
      <c r="D1019" s="33">
        <v>142</v>
      </c>
      <c r="E1019" s="33">
        <v>72.800003051757813</v>
      </c>
      <c r="F1019" s="33">
        <v>18.5</v>
      </c>
      <c r="G1019" s="33">
        <v>7.8000001907348633</v>
      </c>
      <c r="H1019" s="33">
        <v>0</v>
      </c>
      <c r="I1019" s="33">
        <v>0</v>
      </c>
      <c r="J1019" s="33">
        <v>24</v>
      </c>
      <c r="K1019" s="33">
        <v>3.9999999105930328E-2</v>
      </c>
      <c r="L1019" s="33">
        <v>7.0000000298023224E-2</v>
      </c>
      <c r="M1019" s="33">
        <v>2.0999999046325684</v>
      </c>
      <c r="N1019" s="33">
        <v>1.2599999904632568</v>
      </c>
      <c r="O1019" s="33">
        <v>62.5</v>
      </c>
      <c r="P1019" s="33">
        <v>46</v>
      </c>
      <c r="Q1019" s="33">
        <v>1.1000000238418579</v>
      </c>
      <c r="R1019" s="34" t="s">
        <v>1341</v>
      </c>
      <c r="S1019" s="33">
        <v>0</v>
      </c>
      <c r="T1019" s="35">
        <v>77</v>
      </c>
    </row>
    <row r="1020" spans="1:20">
      <c r="A1020" s="31">
        <v>1018</v>
      </c>
      <c r="B1020" s="33" t="s">
        <v>1349</v>
      </c>
      <c r="C1020" s="33">
        <v>59</v>
      </c>
      <c r="D1020" s="33">
        <v>114</v>
      </c>
      <c r="E1020" s="33">
        <v>76.5</v>
      </c>
      <c r="F1020" s="33">
        <v>18.100000381469727</v>
      </c>
      <c r="G1020" s="33">
        <v>5</v>
      </c>
      <c r="H1020" s="33">
        <v>0</v>
      </c>
      <c r="I1020" s="33">
        <v>0</v>
      </c>
      <c r="J1020" s="33">
        <v>12</v>
      </c>
      <c r="K1020" s="33">
        <v>1.9999999552965164E-2</v>
      </c>
      <c r="L1020" s="33">
        <v>7.9999998211860657E-2</v>
      </c>
      <c r="M1020" s="33">
        <v>4.6999998092651367</v>
      </c>
      <c r="N1020" s="33">
        <v>1.7000000476837158</v>
      </c>
      <c r="O1020" s="33">
        <v>87</v>
      </c>
      <c r="P1020" s="33">
        <v>59</v>
      </c>
      <c r="Q1020" s="33">
        <v>6.4000000953674316</v>
      </c>
      <c r="R1020" s="34" t="s">
        <v>1341</v>
      </c>
      <c r="S1020" s="33">
        <v>0</v>
      </c>
      <c r="T1020" s="35">
        <v>121</v>
      </c>
    </row>
    <row r="1021" spans="1:20">
      <c r="A1021" s="31">
        <v>1019</v>
      </c>
      <c r="B1021" s="33" t="s">
        <v>1350</v>
      </c>
      <c r="C1021" s="33">
        <v>66</v>
      </c>
      <c r="D1021" s="33">
        <v>96</v>
      </c>
      <c r="E1021" s="33">
        <v>77.699996948242188</v>
      </c>
      <c r="F1021" s="33">
        <v>17.700000762939453</v>
      </c>
      <c r="G1021" s="33">
        <v>2.5</v>
      </c>
      <c r="H1021" s="33">
        <v>0</v>
      </c>
      <c r="I1021" s="33">
        <v>0.80000001192092896</v>
      </c>
      <c r="J1021" s="33">
        <v>10</v>
      </c>
      <c r="K1021" s="33">
        <v>2.9999999329447746E-2</v>
      </c>
      <c r="L1021" s="33">
        <v>0.10000000149011612</v>
      </c>
      <c r="M1021" s="33">
        <v>1.8999999761581421</v>
      </c>
      <c r="N1021" s="33">
        <v>1.1299999952316284</v>
      </c>
      <c r="O1021" s="33">
        <v>120.30000305175781</v>
      </c>
      <c r="P1021" s="33">
        <v>53</v>
      </c>
      <c r="Q1021" s="33">
        <v>0.69999998807907104</v>
      </c>
      <c r="R1021" s="34" t="s">
        <v>1341</v>
      </c>
      <c r="S1021" s="33">
        <v>0</v>
      </c>
      <c r="T1021" s="35">
        <v>86</v>
      </c>
    </row>
    <row r="1022" spans="1:20">
      <c r="A1022" s="31">
        <v>1020</v>
      </c>
      <c r="B1022" s="33" t="s">
        <v>1351</v>
      </c>
      <c r="C1022" s="33">
        <v>76</v>
      </c>
      <c r="D1022" s="33">
        <v>127</v>
      </c>
      <c r="E1022" s="33">
        <v>73.300003051757813</v>
      </c>
      <c r="F1022" s="33">
        <v>17.700000762939453</v>
      </c>
      <c r="G1022" s="33">
        <v>4.9000000953674316</v>
      </c>
      <c r="H1022" s="33">
        <v>0</v>
      </c>
      <c r="I1022" s="33">
        <v>3.0999999046325684</v>
      </c>
      <c r="J1022" s="33">
        <v>29</v>
      </c>
      <c r="K1022" s="33">
        <v>1.9999999552965164E-2</v>
      </c>
      <c r="L1022" s="33">
        <v>5.9999998658895493E-2</v>
      </c>
      <c r="M1022" s="33">
        <v>2.7999999523162842</v>
      </c>
      <c r="N1022" s="33">
        <v>0.81999999284744263</v>
      </c>
      <c r="O1022" s="33">
        <v>150.10000610351563</v>
      </c>
      <c r="P1022" s="33">
        <v>28</v>
      </c>
      <c r="Q1022" s="33">
        <v>1.2000000476837158</v>
      </c>
      <c r="R1022" s="34" t="s">
        <v>1341</v>
      </c>
      <c r="S1022" s="33">
        <v>0</v>
      </c>
      <c r="T1022" s="35">
        <v>76</v>
      </c>
    </row>
    <row r="1023" spans="1:20">
      <c r="A1023" s="31">
        <v>1021</v>
      </c>
      <c r="B1023" s="33" t="s">
        <v>1352</v>
      </c>
      <c r="C1023" s="33">
        <v>72</v>
      </c>
      <c r="D1023" s="33">
        <v>143</v>
      </c>
      <c r="E1023" s="33">
        <v>74.099998474121094</v>
      </c>
      <c r="F1023" s="33">
        <v>17.200000762939453</v>
      </c>
      <c r="G1023" s="33">
        <v>8.6000003814697266</v>
      </c>
      <c r="H1023" s="33">
        <v>0</v>
      </c>
      <c r="I1023" s="33">
        <v>0</v>
      </c>
      <c r="J1023" s="33">
        <v>45</v>
      </c>
      <c r="K1023" s="33">
        <v>7.0000000298023224E-2</v>
      </c>
      <c r="L1023" s="33">
        <v>0.18000000715255737</v>
      </c>
      <c r="M1023" s="33">
        <v>4.4000000953674316</v>
      </c>
      <c r="N1023" s="33">
        <v>0.77999997138977051</v>
      </c>
      <c r="O1023" s="33">
        <v>0</v>
      </c>
      <c r="P1023" s="33">
        <v>13</v>
      </c>
      <c r="Q1023" s="33">
        <v>0.30000001192092896</v>
      </c>
      <c r="R1023" s="34" t="s">
        <v>1341</v>
      </c>
      <c r="S1023" s="33">
        <v>0</v>
      </c>
      <c r="T1023" s="35">
        <v>101</v>
      </c>
    </row>
    <row r="1024" spans="1:20">
      <c r="A1024" s="31">
        <v>1022</v>
      </c>
      <c r="B1024" s="33" t="s">
        <v>1353</v>
      </c>
      <c r="C1024" s="33">
        <v>65</v>
      </c>
      <c r="D1024" s="33">
        <v>106</v>
      </c>
      <c r="E1024" s="33">
        <v>75.199996948242188</v>
      </c>
      <c r="F1024" s="33">
        <v>17.899999618530273</v>
      </c>
      <c r="G1024" s="33">
        <v>2.5999999046325684</v>
      </c>
      <c r="H1024" s="33">
        <v>0</v>
      </c>
      <c r="I1024" s="33">
        <v>2.7000000476837158</v>
      </c>
      <c r="J1024" s="33">
        <v>12</v>
      </c>
      <c r="K1024" s="33">
        <v>1.9999999552965164E-2</v>
      </c>
      <c r="L1024" s="33">
        <v>0.10000000149011612</v>
      </c>
      <c r="M1024" s="33">
        <v>3.5</v>
      </c>
      <c r="N1024" s="33">
        <v>1.0800000429153442</v>
      </c>
      <c r="O1024" s="33">
        <v>103.90000152587891</v>
      </c>
      <c r="P1024" s="33">
        <v>186</v>
      </c>
      <c r="Q1024" s="33">
        <v>2.2999999523162842</v>
      </c>
      <c r="R1024" s="34" t="s">
        <v>1341</v>
      </c>
      <c r="S1024" s="33">
        <v>0</v>
      </c>
      <c r="T1024" s="35">
        <v>65</v>
      </c>
    </row>
    <row r="1025" spans="1:20">
      <c r="A1025" s="31">
        <v>1023</v>
      </c>
      <c r="B1025" s="33" t="s">
        <v>1354</v>
      </c>
      <c r="C1025" s="33">
        <v>72</v>
      </c>
      <c r="D1025" s="33">
        <v>107</v>
      </c>
      <c r="E1025" s="33">
        <v>74.599998474121094</v>
      </c>
      <c r="F1025" s="33">
        <v>21.100000381469727</v>
      </c>
      <c r="G1025" s="33">
        <v>2.2999999523162842</v>
      </c>
      <c r="H1025" s="33">
        <v>0</v>
      </c>
      <c r="I1025" s="33">
        <v>0.5</v>
      </c>
      <c r="J1025" s="33">
        <v>117</v>
      </c>
      <c r="K1025" s="33">
        <v>2.9999999329447746E-2</v>
      </c>
      <c r="L1025" s="33">
        <v>3.9999999105930328E-2</v>
      </c>
      <c r="M1025" s="33">
        <v>1.5</v>
      </c>
      <c r="N1025" s="33">
        <v>2.3499999046325684</v>
      </c>
      <c r="O1025" s="33">
        <v>150.39999389648438</v>
      </c>
      <c r="P1025" s="33">
        <v>107</v>
      </c>
      <c r="Q1025" s="33">
        <v>0.40000000596046448</v>
      </c>
      <c r="R1025" s="34" t="s">
        <v>1341</v>
      </c>
      <c r="S1025" s="33">
        <v>0</v>
      </c>
      <c r="T1025" s="35">
        <v>73</v>
      </c>
    </row>
    <row r="1026" spans="1:20">
      <c r="A1026" s="31">
        <v>1024</v>
      </c>
      <c r="B1026" s="33" t="s">
        <v>1355</v>
      </c>
      <c r="C1026" s="33">
        <v>100</v>
      </c>
      <c r="D1026" s="33">
        <v>196</v>
      </c>
      <c r="E1026" s="33">
        <v>36.299999237060547</v>
      </c>
      <c r="F1026" s="33">
        <v>37.5</v>
      </c>
      <c r="G1026" s="33">
        <v>3.0999999046325684</v>
      </c>
      <c r="H1026" s="33">
        <v>0</v>
      </c>
      <c r="I1026" s="33">
        <v>4.5999999046325684</v>
      </c>
      <c r="J1026" s="33">
        <v>119</v>
      </c>
      <c r="K1026" s="33">
        <v>9.9999997764825821E-3</v>
      </c>
      <c r="L1026" s="33">
        <v>0.17000000178813934</v>
      </c>
      <c r="M1026" s="33">
        <v>2</v>
      </c>
      <c r="N1026" s="33">
        <v>0.30000001192092896</v>
      </c>
      <c r="O1026" s="33">
        <v>4375</v>
      </c>
      <c r="P1026" s="33">
        <v>590</v>
      </c>
      <c r="Q1026" s="33">
        <v>4.3000001907348633</v>
      </c>
      <c r="R1026" s="34" t="s">
        <v>1341</v>
      </c>
      <c r="S1026" s="33">
        <v>0</v>
      </c>
      <c r="T1026" s="35">
        <v>379</v>
      </c>
    </row>
    <row r="1027" spans="1:20">
      <c r="A1027" s="31">
        <v>1025</v>
      </c>
      <c r="B1027" s="33" t="s">
        <v>1356</v>
      </c>
      <c r="C1027" s="33">
        <v>64</v>
      </c>
      <c r="D1027" s="33">
        <v>191</v>
      </c>
      <c r="E1027" s="33">
        <v>66.900001525878906</v>
      </c>
      <c r="F1027" s="33">
        <v>17.600000381469727</v>
      </c>
      <c r="G1027" s="33">
        <v>12.800000190734863</v>
      </c>
      <c r="H1027" s="33">
        <v>0</v>
      </c>
      <c r="I1027" s="33">
        <v>1.2999999523162842</v>
      </c>
      <c r="J1027" s="33">
        <v>5</v>
      </c>
      <c r="K1027" s="33">
        <v>0.18999999761581421</v>
      </c>
      <c r="L1027" s="33">
        <v>0.11999999731779099</v>
      </c>
      <c r="M1027" s="33">
        <v>6.5</v>
      </c>
      <c r="N1027" s="33">
        <v>0.33000001311302185</v>
      </c>
      <c r="O1027" s="33">
        <v>65</v>
      </c>
      <c r="P1027" s="33">
        <v>15</v>
      </c>
      <c r="Q1027" s="33">
        <v>2.2000000476837158</v>
      </c>
      <c r="R1027" s="34" t="s">
        <v>1341</v>
      </c>
      <c r="S1027" s="33">
        <v>0</v>
      </c>
      <c r="T1027" s="35">
        <v>0</v>
      </c>
    </row>
    <row r="1028" spans="1:20">
      <c r="A1028" s="31">
        <v>1026</v>
      </c>
      <c r="B1028" s="33" t="s">
        <v>1357</v>
      </c>
      <c r="C1028" s="33">
        <v>75</v>
      </c>
      <c r="D1028" s="33">
        <v>180</v>
      </c>
      <c r="E1028" s="33">
        <v>66.5</v>
      </c>
      <c r="F1028" s="33">
        <v>20.200000762939453</v>
      </c>
      <c r="G1028" s="33">
        <v>10.399999618530273</v>
      </c>
      <c r="H1028" s="33">
        <v>0</v>
      </c>
      <c r="I1028" s="33">
        <v>1.3999999761581421</v>
      </c>
      <c r="J1028" s="33">
        <v>0</v>
      </c>
      <c r="K1028" s="33">
        <v>9.9999997764825821E-3</v>
      </c>
      <c r="L1028" s="33">
        <v>1.9999999552965164E-2</v>
      </c>
      <c r="M1028" s="33">
        <v>0</v>
      </c>
      <c r="N1028" s="33">
        <v>3.3599998950958252</v>
      </c>
      <c r="O1028" s="33">
        <v>73.300003051757813</v>
      </c>
      <c r="P1028" s="33">
        <v>58</v>
      </c>
      <c r="Q1028" s="33">
        <v>1.2000000476837158</v>
      </c>
      <c r="R1028" s="34" t="s">
        <v>1341</v>
      </c>
      <c r="S1028" s="33">
        <v>0</v>
      </c>
      <c r="T1028" s="35">
        <v>101</v>
      </c>
    </row>
    <row r="1029" spans="1:20">
      <c r="A1029" s="31">
        <v>1027</v>
      </c>
      <c r="B1029" s="33" t="s">
        <v>1358</v>
      </c>
      <c r="C1029" s="33">
        <v>67</v>
      </c>
      <c r="D1029" s="33">
        <v>100</v>
      </c>
      <c r="E1029" s="33">
        <v>76.5</v>
      </c>
      <c r="F1029" s="33">
        <v>16.700000762939453</v>
      </c>
      <c r="G1029" s="33">
        <v>2.2999999523162842</v>
      </c>
      <c r="H1029" s="33">
        <v>0</v>
      </c>
      <c r="I1029" s="33">
        <v>3</v>
      </c>
      <c r="J1029" s="33">
        <v>11</v>
      </c>
      <c r="K1029" s="33">
        <v>5.000000074505806E-2</v>
      </c>
      <c r="L1029" s="33">
        <v>0.10000000149011612</v>
      </c>
      <c r="M1029" s="33">
        <v>3.7000000476837158</v>
      </c>
      <c r="N1029" s="33">
        <v>7.0000000298023224E-2</v>
      </c>
      <c r="O1029" s="33">
        <v>156.30000305175781</v>
      </c>
      <c r="P1029" s="33">
        <v>95</v>
      </c>
      <c r="Q1029" s="33">
        <v>2.2000000476837158</v>
      </c>
      <c r="R1029" s="34" t="s">
        <v>1341</v>
      </c>
      <c r="S1029" s="33">
        <v>0</v>
      </c>
      <c r="T1029" s="35">
        <v>71</v>
      </c>
    </row>
    <row r="1030" spans="1:20">
      <c r="A1030" s="31">
        <v>1028</v>
      </c>
      <c r="B1030" s="33" t="s">
        <v>1359</v>
      </c>
      <c r="C1030" s="33">
        <v>61</v>
      </c>
      <c r="D1030" s="33">
        <v>117</v>
      </c>
      <c r="E1030" s="33">
        <v>74.5</v>
      </c>
      <c r="F1030" s="33">
        <v>19.899999618530273</v>
      </c>
      <c r="G1030" s="33">
        <v>4.1999998092651367</v>
      </c>
      <c r="H1030" s="33">
        <v>0</v>
      </c>
      <c r="I1030" s="33">
        <v>0</v>
      </c>
      <c r="J1030" s="33">
        <v>12</v>
      </c>
      <c r="K1030" s="33">
        <v>1.9999999552965164E-2</v>
      </c>
      <c r="L1030" s="33">
        <v>7.0000000298023224E-2</v>
      </c>
      <c r="M1030" s="33">
        <v>5.9000000953674316</v>
      </c>
      <c r="N1030" s="33">
        <v>0.87000000476837158</v>
      </c>
      <c r="O1030" s="33">
        <v>68.599998474121094</v>
      </c>
      <c r="P1030" s="33">
        <v>63</v>
      </c>
      <c r="Q1030" s="33">
        <v>1</v>
      </c>
      <c r="R1030" s="34" t="s">
        <v>1341</v>
      </c>
      <c r="S1030" s="33">
        <v>0</v>
      </c>
      <c r="T1030" s="35">
        <v>124</v>
      </c>
    </row>
    <row r="1031" spans="1:20">
      <c r="A1031" s="31">
        <v>1029</v>
      </c>
      <c r="B1031" s="33" t="s">
        <v>1360</v>
      </c>
      <c r="C1031" s="33">
        <v>60</v>
      </c>
      <c r="D1031" s="33">
        <v>206</v>
      </c>
      <c r="E1031" s="33">
        <v>64.300003051757813</v>
      </c>
      <c r="F1031" s="33">
        <v>17</v>
      </c>
      <c r="G1031" s="33">
        <v>13.699999809265137</v>
      </c>
      <c r="H1031" s="33">
        <v>0</v>
      </c>
      <c r="I1031" s="33">
        <v>3.5999999046325684</v>
      </c>
      <c r="J1031" s="33">
        <v>0</v>
      </c>
      <c r="K1031" s="33">
        <v>1.9999999552965164E-2</v>
      </c>
      <c r="L1031" s="33">
        <v>1.9999999552965164E-2</v>
      </c>
      <c r="M1031" s="33">
        <v>4.3000001907348633</v>
      </c>
      <c r="N1031" s="33">
        <v>1.059999942779541</v>
      </c>
      <c r="O1031" s="33">
        <v>15.800000190734863</v>
      </c>
      <c r="P1031" s="33">
        <v>69</v>
      </c>
      <c r="Q1031" s="33">
        <v>1.8999999761581421</v>
      </c>
      <c r="R1031" s="34" t="s">
        <v>1341</v>
      </c>
      <c r="S1031" s="33">
        <v>0</v>
      </c>
      <c r="T1031" s="35">
        <v>70</v>
      </c>
    </row>
    <row r="1032" spans="1:20">
      <c r="A1032" s="31">
        <v>1030</v>
      </c>
      <c r="B1032" s="33" t="s">
        <v>1361</v>
      </c>
      <c r="C1032" s="33">
        <v>67</v>
      </c>
      <c r="D1032" s="33">
        <v>122</v>
      </c>
      <c r="E1032" s="33">
        <v>74.599998474121094</v>
      </c>
      <c r="F1032" s="33">
        <v>18.799999237060547</v>
      </c>
      <c r="G1032" s="33">
        <v>5</v>
      </c>
      <c r="H1032" s="33">
        <v>0</v>
      </c>
      <c r="I1032" s="33">
        <v>0.5</v>
      </c>
      <c r="J1032" s="33">
        <v>22</v>
      </c>
      <c r="K1032" s="33">
        <v>5.9999998658895493E-2</v>
      </c>
      <c r="L1032" s="33">
        <v>7.0000000298023224E-2</v>
      </c>
      <c r="M1032" s="33">
        <v>3</v>
      </c>
      <c r="N1032" s="33">
        <v>1.7000000476837158</v>
      </c>
      <c r="O1032" s="33">
        <v>95.800003051757813</v>
      </c>
      <c r="P1032" s="33">
        <v>28</v>
      </c>
      <c r="Q1032" s="33">
        <v>0.69999998807907104</v>
      </c>
      <c r="R1032" s="34" t="s">
        <v>1341</v>
      </c>
      <c r="S1032" s="33">
        <v>0</v>
      </c>
      <c r="T1032" s="35">
        <v>71</v>
      </c>
    </row>
    <row r="1033" spans="1:20">
      <c r="A1033" s="31">
        <v>1031</v>
      </c>
      <c r="B1033" s="33" t="s">
        <v>1362</v>
      </c>
      <c r="C1033" s="33">
        <v>55</v>
      </c>
      <c r="D1033" s="33">
        <v>105</v>
      </c>
      <c r="E1033" s="33">
        <v>76.099998474121094</v>
      </c>
      <c r="F1033" s="33">
        <v>18</v>
      </c>
      <c r="G1033" s="33">
        <v>2.7999999523162842</v>
      </c>
      <c r="H1033" s="33">
        <v>0</v>
      </c>
      <c r="I1033" s="33">
        <v>1.8999999761581421</v>
      </c>
      <c r="J1033" s="33">
        <v>6</v>
      </c>
      <c r="K1033" s="33">
        <v>2.9999999329447746E-2</v>
      </c>
      <c r="L1033" s="33">
        <v>7.0000000298023224E-2</v>
      </c>
      <c r="M1033" s="33">
        <v>4.9000000953674316</v>
      </c>
      <c r="N1033" s="33">
        <v>0.69999998807907104</v>
      </c>
      <c r="O1033" s="33">
        <v>163.89999389648438</v>
      </c>
      <c r="P1033" s="33">
        <v>160</v>
      </c>
      <c r="Q1033" s="33">
        <v>1.2000000476837158</v>
      </c>
      <c r="R1033" s="34" t="s">
        <v>1341</v>
      </c>
      <c r="S1033" s="33">
        <v>0</v>
      </c>
      <c r="T1033" s="35">
        <v>120</v>
      </c>
    </row>
    <row r="1034" spans="1:20">
      <c r="A1034" s="31">
        <v>1032</v>
      </c>
      <c r="B1034" s="33" t="s">
        <v>1363</v>
      </c>
      <c r="C1034" s="33">
        <v>63</v>
      </c>
      <c r="D1034" s="33">
        <v>133</v>
      </c>
      <c r="E1034" s="33">
        <v>74</v>
      </c>
      <c r="F1034" s="33">
        <v>18.399999618530273</v>
      </c>
      <c r="G1034" s="33">
        <v>7</v>
      </c>
      <c r="H1034" s="33">
        <v>0</v>
      </c>
      <c r="I1034" s="33">
        <v>0</v>
      </c>
      <c r="J1034" s="33">
        <v>0</v>
      </c>
      <c r="K1034" s="33">
        <v>3.9999999105930328E-2</v>
      </c>
      <c r="L1034" s="33">
        <v>9.0000003576278687E-2</v>
      </c>
      <c r="M1034" s="33">
        <v>3.5999999046325684</v>
      </c>
      <c r="N1034" s="33">
        <v>1.0900000333786011</v>
      </c>
      <c r="O1034" s="33">
        <v>101.90000152587891</v>
      </c>
      <c r="P1034" s="33">
        <v>94</v>
      </c>
      <c r="Q1034" s="33">
        <v>0.89999997615814209</v>
      </c>
      <c r="R1034" s="34" t="s">
        <v>1341</v>
      </c>
      <c r="S1034" s="33">
        <v>0</v>
      </c>
      <c r="T1034" s="35">
        <v>166</v>
      </c>
    </row>
    <row r="1035" spans="1:20">
      <c r="A1035" s="31">
        <v>1033</v>
      </c>
      <c r="B1035" s="33" t="s">
        <v>1364</v>
      </c>
      <c r="C1035" s="33">
        <v>52</v>
      </c>
      <c r="D1035" s="33">
        <v>124</v>
      </c>
      <c r="E1035" s="33">
        <v>71.599998474121094</v>
      </c>
      <c r="F1035" s="33">
        <v>17.799999237060547</v>
      </c>
      <c r="G1035" s="33">
        <v>2.7000000476837158</v>
      </c>
      <c r="H1035" s="33">
        <v>0</v>
      </c>
      <c r="I1035" s="33">
        <v>7.0999999046325684</v>
      </c>
      <c r="J1035" s="33">
        <v>0</v>
      </c>
      <c r="K1035" s="33">
        <v>9.9999997764825821E-3</v>
      </c>
      <c r="L1035" s="33">
        <v>5.9999998658895493E-2</v>
      </c>
      <c r="M1035" s="33">
        <v>3.7000000476837158</v>
      </c>
      <c r="N1035" s="33">
        <v>1.4800000190734863</v>
      </c>
      <c r="O1035" s="33">
        <v>250.39999389648438</v>
      </c>
      <c r="P1035" s="33">
        <v>59</v>
      </c>
      <c r="Q1035" s="33">
        <v>6.4000000953674316</v>
      </c>
      <c r="R1035" s="34" t="s">
        <v>1341</v>
      </c>
      <c r="S1035" s="33">
        <v>0</v>
      </c>
      <c r="T1035" s="35">
        <v>90</v>
      </c>
    </row>
    <row r="1036" spans="1:20">
      <c r="A1036" s="31">
        <v>1034</v>
      </c>
      <c r="B1036" s="33" t="s">
        <v>1365</v>
      </c>
      <c r="C1036" s="33">
        <v>67</v>
      </c>
      <c r="D1036" s="33">
        <v>89</v>
      </c>
      <c r="E1036" s="33">
        <v>78</v>
      </c>
      <c r="F1036" s="33">
        <v>18</v>
      </c>
      <c r="G1036" s="33">
        <v>1.3999999761581421</v>
      </c>
      <c r="H1036" s="33">
        <v>0</v>
      </c>
      <c r="I1036" s="33">
        <v>1.2000000476837158</v>
      </c>
      <c r="J1036" s="33">
        <v>50</v>
      </c>
      <c r="K1036" s="33">
        <v>5.9999998658895493E-2</v>
      </c>
      <c r="L1036" s="33">
        <v>0.98000001907348633</v>
      </c>
      <c r="M1036" s="33">
        <v>3.7000000476837158</v>
      </c>
      <c r="N1036" s="33">
        <v>1.3400000333786011</v>
      </c>
      <c r="O1036" s="33">
        <v>70.199996948242188</v>
      </c>
      <c r="P1036" s="33">
        <v>42</v>
      </c>
      <c r="Q1036" s="33">
        <v>2.5</v>
      </c>
      <c r="R1036" s="34" t="s">
        <v>1341</v>
      </c>
      <c r="S1036" s="33">
        <v>0</v>
      </c>
      <c r="T1036" s="35">
        <v>126</v>
      </c>
    </row>
    <row r="1037" spans="1:20">
      <c r="A1037" s="31">
        <v>1035</v>
      </c>
      <c r="B1037" s="33" t="s">
        <v>1366</v>
      </c>
      <c r="C1037" s="33">
        <v>88</v>
      </c>
      <c r="D1037" s="33">
        <v>61</v>
      </c>
      <c r="E1037" s="33">
        <v>85.199996948242188</v>
      </c>
      <c r="F1037" s="33">
        <v>15.399999618530273</v>
      </c>
      <c r="G1037" s="33">
        <v>0.80000001192092896</v>
      </c>
      <c r="H1037" s="33">
        <v>0</v>
      </c>
      <c r="I1037" s="33">
        <v>0</v>
      </c>
      <c r="J1037" s="33">
        <v>0</v>
      </c>
      <c r="K1037" s="33">
        <v>3.9999999105930328E-2</v>
      </c>
      <c r="L1037" s="33">
        <v>2.0799999237060547</v>
      </c>
      <c r="M1037" s="33">
        <v>1.7999999523162842</v>
      </c>
      <c r="N1037" s="33">
        <v>1.1000000238418579</v>
      </c>
      <c r="O1037" s="33">
        <v>131</v>
      </c>
      <c r="P1037" s="33">
        <v>57</v>
      </c>
      <c r="Q1037" s="33">
        <v>2.7999999523162842</v>
      </c>
      <c r="R1037" s="34" t="s">
        <v>1341</v>
      </c>
      <c r="S1037" s="33">
        <v>0</v>
      </c>
      <c r="T1037" s="35">
        <v>0</v>
      </c>
    </row>
    <row r="1038" spans="1:20">
      <c r="A1038" s="31">
        <v>1036</v>
      </c>
      <c r="B1038" s="33" t="s">
        <v>1367</v>
      </c>
      <c r="C1038" s="33">
        <v>50</v>
      </c>
      <c r="D1038" s="33">
        <v>146</v>
      </c>
      <c r="E1038" s="33">
        <v>72.599998474121094</v>
      </c>
      <c r="F1038" s="33">
        <v>15.399999618530273</v>
      </c>
      <c r="G1038" s="33">
        <v>8</v>
      </c>
      <c r="H1038" s="33">
        <v>0</v>
      </c>
      <c r="I1038" s="33">
        <v>3.0999999046325684</v>
      </c>
      <c r="J1038" s="33">
        <v>8</v>
      </c>
      <c r="K1038" s="33">
        <v>5.000000074505806E-2</v>
      </c>
      <c r="L1038" s="33">
        <v>0.10999999940395355</v>
      </c>
      <c r="M1038" s="33">
        <v>4.3000001907348633</v>
      </c>
      <c r="N1038" s="33">
        <v>9.0000003576278687E-2</v>
      </c>
      <c r="O1038" s="33">
        <v>45.5</v>
      </c>
      <c r="P1038" s="33">
        <v>18</v>
      </c>
      <c r="Q1038" s="33">
        <v>0.60000002384185791</v>
      </c>
      <c r="R1038" s="34" t="s">
        <v>1341</v>
      </c>
      <c r="S1038" s="33">
        <v>0</v>
      </c>
      <c r="T1038" s="35">
        <v>53</v>
      </c>
    </row>
    <row r="1039" spans="1:20">
      <c r="A1039" s="31">
        <v>1037</v>
      </c>
      <c r="B1039" s="33" t="s">
        <v>1368</v>
      </c>
      <c r="C1039" s="33">
        <v>80</v>
      </c>
      <c r="D1039" s="33">
        <v>137</v>
      </c>
      <c r="E1039" s="33">
        <v>68.599998474121094</v>
      </c>
      <c r="F1039" s="33">
        <v>22.700000762939453</v>
      </c>
      <c r="G1039" s="33">
        <v>3.2999999523162842</v>
      </c>
      <c r="H1039" s="33">
        <v>0</v>
      </c>
      <c r="I1039" s="33">
        <v>4.0999999046325684</v>
      </c>
      <c r="J1039" s="33">
        <v>0</v>
      </c>
      <c r="K1039" s="33">
        <v>5.000000074505806E-2</v>
      </c>
      <c r="L1039" s="33">
        <v>1.9999999552965164E-2</v>
      </c>
      <c r="M1039" s="33">
        <v>0</v>
      </c>
      <c r="N1039" s="33">
        <v>0.27000001072883606</v>
      </c>
      <c r="O1039" s="33">
        <v>48.299999237060547</v>
      </c>
      <c r="P1039" s="33">
        <v>27</v>
      </c>
      <c r="Q1039" s="33">
        <v>0.60000002384185791</v>
      </c>
      <c r="R1039" s="34" t="s">
        <v>1341</v>
      </c>
      <c r="S1039" s="33">
        <v>0</v>
      </c>
      <c r="T1039" s="35">
        <v>73</v>
      </c>
    </row>
    <row r="1040" spans="1:20">
      <c r="A1040" s="31">
        <v>1038</v>
      </c>
      <c r="B1040" s="33" t="s">
        <v>1369</v>
      </c>
      <c r="C1040" s="33">
        <v>63</v>
      </c>
      <c r="D1040" s="33">
        <v>117</v>
      </c>
      <c r="E1040" s="33">
        <v>79.900001525878906</v>
      </c>
      <c r="F1040" s="33">
        <v>15.600000381469727</v>
      </c>
      <c r="G1040" s="33">
        <v>6.0999999046325684</v>
      </c>
      <c r="H1040" s="33">
        <v>0</v>
      </c>
      <c r="I1040" s="33">
        <v>0</v>
      </c>
      <c r="J1040" s="33">
        <v>0</v>
      </c>
      <c r="K1040" s="33">
        <v>9.9999997764825821E-3</v>
      </c>
      <c r="L1040" s="33">
        <v>0.25</v>
      </c>
      <c r="M1040" s="33">
        <v>0.89999997615814209</v>
      </c>
      <c r="N1040" s="33">
        <v>2.5099999904632568</v>
      </c>
      <c r="O1040" s="33">
        <v>0</v>
      </c>
      <c r="P1040" s="33">
        <v>0</v>
      </c>
      <c r="Q1040" s="33">
        <v>0</v>
      </c>
      <c r="R1040" s="34" t="s">
        <v>1341</v>
      </c>
      <c r="S1040" s="33">
        <v>0</v>
      </c>
      <c r="T1040" s="35">
        <v>34</v>
      </c>
    </row>
    <row r="1041" spans="1:20">
      <c r="A1041" s="31">
        <v>1039</v>
      </c>
      <c r="B1041" s="33" t="s">
        <v>1370</v>
      </c>
      <c r="C1041" s="33">
        <v>80</v>
      </c>
      <c r="D1041" s="33">
        <v>126</v>
      </c>
      <c r="E1041" s="33">
        <v>73.900001525878906</v>
      </c>
      <c r="F1041" s="33">
        <v>19.5</v>
      </c>
      <c r="G1041" s="33">
        <v>6</v>
      </c>
      <c r="H1041" s="33">
        <v>0</v>
      </c>
      <c r="I1041" s="33">
        <v>0</v>
      </c>
      <c r="J1041" s="33">
        <v>0</v>
      </c>
      <c r="K1041" s="33">
        <v>0</v>
      </c>
      <c r="L1041" s="33">
        <v>0</v>
      </c>
      <c r="M1041" s="33">
        <v>0</v>
      </c>
      <c r="N1041" s="33">
        <v>0</v>
      </c>
      <c r="O1041" s="33">
        <v>0</v>
      </c>
      <c r="P1041" s="33">
        <v>0</v>
      </c>
      <c r="Q1041" s="33">
        <v>0</v>
      </c>
      <c r="R1041" s="34" t="s">
        <v>1341</v>
      </c>
      <c r="S1041" s="33">
        <v>0</v>
      </c>
      <c r="T1041" s="35">
        <v>0</v>
      </c>
    </row>
    <row r="1042" spans="1:20">
      <c r="A1042" s="31">
        <v>1040</v>
      </c>
      <c r="B1042" s="33" t="s">
        <v>1371</v>
      </c>
      <c r="C1042" s="33">
        <v>40</v>
      </c>
      <c r="D1042" s="33">
        <v>100</v>
      </c>
      <c r="E1042" s="33">
        <v>77.099998474121094</v>
      </c>
      <c r="F1042" s="33">
        <v>18.600000381469727</v>
      </c>
      <c r="G1042" s="33">
        <v>2.9000000953674316</v>
      </c>
      <c r="H1042" s="33">
        <v>0</v>
      </c>
      <c r="I1042" s="33">
        <v>0</v>
      </c>
      <c r="J1042" s="33">
        <v>20</v>
      </c>
      <c r="K1042" s="33">
        <v>9.9999997764825821E-3</v>
      </c>
      <c r="L1042" s="33">
        <v>2.9999999329447746E-2</v>
      </c>
      <c r="M1042" s="33">
        <v>4.8000001907348633</v>
      </c>
      <c r="N1042" s="33">
        <v>0.61000001430511475</v>
      </c>
      <c r="O1042" s="33">
        <v>118</v>
      </c>
      <c r="P1042" s="33">
        <v>102</v>
      </c>
      <c r="Q1042" s="33">
        <v>1.3999999761581421</v>
      </c>
      <c r="R1042" s="34" t="s">
        <v>1341</v>
      </c>
      <c r="S1042" s="33">
        <v>0</v>
      </c>
      <c r="T1042" s="35">
        <v>54</v>
      </c>
    </row>
    <row r="1043" spans="1:20">
      <c r="A1043" s="31">
        <v>1041</v>
      </c>
      <c r="B1043" s="33" t="s">
        <v>1372</v>
      </c>
      <c r="C1043" s="33">
        <v>79</v>
      </c>
      <c r="D1043" s="33">
        <v>106</v>
      </c>
      <c r="E1043" s="33">
        <v>77.5</v>
      </c>
      <c r="F1043" s="33">
        <v>13.199999809265137</v>
      </c>
      <c r="G1043" s="33">
        <v>5.5</v>
      </c>
      <c r="H1043" s="33">
        <v>0</v>
      </c>
      <c r="I1043" s="33">
        <v>0.80000001192092896</v>
      </c>
      <c r="J1043" s="33">
        <v>15</v>
      </c>
      <c r="K1043" s="33">
        <v>0</v>
      </c>
      <c r="L1043" s="33">
        <v>7.9999998211860657E-2</v>
      </c>
      <c r="M1043" s="33">
        <v>1</v>
      </c>
      <c r="N1043" s="33">
        <v>0.8399999737739563</v>
      </c>
      <c r="O1043" s="33">
        <v>53.099998474121094</v>
      </c>
      <c r="P1043" s="33">
        <v>114</v>
      </c>
      <c r="Q1043" s="33">
        <v>1.7000000476837158</v>
      </c>
      <c r="R1043" s="34" t="s">
        <v>1341</v>
      </c>
      <c r="S1043" s="33">
        <v>0</v>
      </c>
      <c r="T1043" s="35">
        <v>93</v>
      </c>
    </row>
    <row r="1044" spans="1:20">
      <c r="A1044" s="31">
        <v>1042</v>
      </c>
      <c r="B1044" s="33" t="s">
        <v>1373</v>
      </c>
      <c r="C1044" s="33">
        <v>90</v>
      </c>
      <c r="D1044" s="33">
        <v>124</v>
      </c>
      <c r="E1044" s="33">
        <v>72.699996948242188</v>
      </c>
      <c r="F1044" s="33">
        <v>15.5</v>
      </c>
      <c r="G1044" s="33">
        <v>5.0999999046325684</v>
      </c>
      <c r="H1044" s="33">
        <v>0</v>
      </c>
      <c r="I1044" s="33">
        <v>4</v>
      </c>
      <c r="J1044" s="33">
        <v>14</v>
      </c>
      <c r="K1044" s="33">
        <v>5.9999998658895493E-2</v>
      </c>
      <c r="L1044" s="33">
        <v>5.9999998658895493E-2</v>
      </c>
      <c r="M1044" s="33">
        <v>0.89999997615814209</v>
      </c>
      <c r="N1044" s="33">
        <v>0.74000000953674316</v>
      </c>
      <c r="O1044" s="33">
        <v>38.5</v>
      </c>
      <c r="P1044" s="33">
        <v>78</v>
      </c>
      <c r="Q1044" s="33">
        <v>1.6000000238418579</v>
      </c>
      <c r="R1044" s="34" t="s">
        <v>1341</v>
      </c>
      <c r="S1044" s="33">
        <v>0</v>
      </c>
      <c r="T1044" s="35">
        <v>0</v>
      </c>
    </row>
    <row r="1045" spans="1:20">
      <c r="A1045" s="31">
        <v>1043</v>
      </c>
      <c r="B1045" s="33" t="s">
        <v>1374</v>
      </c>
      <c r="C1045" s="33">
        <v>54</v>
      </c>
      <c r="D1045" s="33">
        <v>108</v>
      </c>
      <c r="E1045" s="33">
        <v>75.400001525878906</v>
      </c>
      <c r="F1045" s="33">
        <v>17.100000381469727</v>
      </c>
      <c r="G1045" s="33">
        <v>2.7000000476837158</v>
      </c>
      <c r="H1045" s="33">
        <v>0</v>
      </c>
      <c r="I1045" s="33">
        <v>3.7999999523162842</v>
      </c>
      <c r="J1045" s="33">
        <v>17</v>
      </c>
      <c r="K1045" s="33">
        <v>3.9999999105930328E-2</v>
      </c>
      <c r="L1045" s="33">
        <v>9.0000003576278687E-2</v>
      </c>
      <c r="M1045" s="33">
        <v>2.5</v>
      </c>
      <c r="N1045" s="33">
        <v>0.68000000715255737</v>
      </c>
      <c r="O1045" s="33">
        <v>41.200000762939453</v>
      </c>
      <c r="P1045" s="33">
        <v>79</v>
      </c>
      <c r="Q1045" s="33">
        <v>1.2999999523162842</v>
      </c>
      <c r="R1045" s="34" t="s">
        <v>1341</v>
      </c>
      <c r="S1045" s="33">
        <v>0</v>
      </c>
      <c r="T1045" s="35">
        <v>130</v>
      </c>
    </row>
    <row r="1046" spans="1:20">
      <c r="A1046" s="31">
        <v>1044</v>
      </c>
      <c r="B1046" s="33" t="s">
        <v>1375</v>
      </c>
      <c r="C1046" s="33">
        <v>56</v>
      </c>
      <c r="D1046" s="33">
        <v>134</v>
      </c>
      <c r="E1046" s="33">
        <v>70.300003051757813</v>
      </c>
      <c r="F1046" s="33">
        <v>19.600000381469727</v>
      </c>
      <c r="G1046" s="33">
        <v>4.1999998092651367</v>
      </c>
      <c r="H1046" s="33">
        <v>0</v>
      </c>
      <c r="I1046" s="33">
        <v>4.5</v>
      </c>
      <c r="J1046" s="33">
        <v>0</v>
      </c>
      <c r="K1046" s="33">
        <v>9.9999997764825821E-3</v>
      </c>
      <c r="L1046" s="33">
        <v>3.9999999105930328E-2</v>
      </c>
      <c r="M1046" s="33">
        <v>2.4000000953674316</v>
      </c>
      <c r="N1046" s="33">
        <v>0</v>
      </c>
      <c r="O1046" s="33">
        <v>47.700000762939453</v>
      </c>
      <c r="P1046" s="33">
        <v>103</v>
      </c>
      <c r="Q1046" s="33">
        <v>2</v>
      </c>
      <c r="R1046" s="34" t="s">
        <v>1341</v>
      </c>
      <c r="S1046" s="33">
        <v>0</v>
      </c>
      <c r="T1046" s="35">
        <v>0</v>
      </c>
    </row>
    <row r="1047" spans="1:20">
      <c r="A1047" s="31">
        <v>1045</v>
      </c>
      <c r="B1047" s="33" t="s">
        <v>1376</v>
      </c>
      <c r="C1047" s="33">
        <v>71</v>
      </c>
      <c r="D1047" s="33">
        <v>159</v>
      </c>
      <c r="E1047" s="33">
        <v>71.900001525878906</v>
      </c>
      <c r="F1047" s="33">
        <v>20.700000762939453</v>
      </c>
      <c r="G1047" s="33">
        <v>8.5</v>
      </c>
      <c r="H1047" s="33">
        <v>0</v>
      </c>
      <c r="I1047" s="33">
        <v>0</v>
      </c>
      <c r="J1047" s="33">
        <v>0</v>
      </c>
      <c r="K1047" s="33">
        <v>0</v>
      </c>
      <c r="L1047" s="33">
        <v>1.9999999552965164E-2</v>
      </c>
      <c r="M1047" s="33">
        <v>0</v>
      </c>
      <c r="N1047" s="33">
        <v>1.8300000429153442</v>
      </c>
      <c r="O1047" s="33">
        <v>47.799999237060547</v>
      </c>
      <c r="P1047" s="33">
        <v>39</v>
      </c>
      <c r="Q1047" s="33">
        <v>1.2999999523162842</v>
      </c>
      <c r="R1047" s="34" t="s">
        <v>1341</v>
      </c>
      <c r="S1047" s="33">
        <v>0</v>
      </c>
      <c r="T1047" s="35">
        <v>76</v>
      </c>
    </row>
    <row r="1048" spans="1:20">
      <c r="A1048" s="31">
        <v>1046</v>
      </c>
      <c r="B1048" s="33" t="s">
        <v>1377</v>
      </c>
      <c r="C1048" s="33">
        <v>61</v>
      </c>
      <c r="D1048" s="33">
        <v>102</v>
      </c>
      <c r="E1048" s="33">
        <v>77.800003051757813</v>
      </c>
      <c r="F1048" s="33">
        <v>17.799999237060547</v>
      </c>
      <c r="G1048" s="33">
        <v>3.5999999046325684</v>
      </c>
      <c r="H1048" s="33">
        <v>0</v>
      </c>
      <c r="I1048" s="33">
        <v>0</v>
      </c>
      <c r="J1048" s="33">
        <v>20</v>
      </c>
      <c r="K1048" s="33">
        <v>2.9999999329447746E-2</v>
      </c>
      <c r="L1048" s="33">
        <v>7.0000000298023224E-2</v>
      </c>
      <c r="M1048" s="33">
        <v>2.5</v>
      </c>
      <c r="N1048" s="33">
        <v>1.2300000190734863</v>
      </c>
      <c r="O1048" s="33">
        <v>57.5</v>
      </c>
      <c r="P1048" s="33">
        <v>53</v>
      </c>
      <c r="Q1048" s="33">
        <v>1.3999999761581421</v>
      </c>
      <c r="R1048" s="34" t="s">
        <v>1341</v>
      </c>
      <c r="S1048" s="33">
        <v>0</v>
      </c>
      <c r="T1048" s="35">
        <v>99</v>
      </c>
    </row>
    <row r="1049" spans="1:20">
      <c r="A1049" s="31">
        <v>1047</v>
      </c>
      <c r="B1049" s="33" t="s">
        <v>1378</v>
      </c>
      <c r="C1049" s="33">
        <v>57</v>
      </c>
      <c r="D1049" s="33">
        <v>95</v>
      </c>
      <c r="E1049" s="33">
        <v>77.699996948242188</v>
      </c>
      <c r="F1049" s="33">
        <v>18.399999618530273</v>
      </c>
      <c r="G1049" s="33">
        <v>2.0999999046325684</v>
      </c>
      <c r="H1049" s="33">
        <v>0</v>
      </c>
      <c r="I1049" s="33">
        <v>0.69999998807907104</v>
      </c>
      <c r="J1049" s="33">
        <v>125</v>
      </c>
      <c r="K1049" s="33">
        <v>9.9999997764825821E-3</v>
      </c>
      <c r="L1049" s="33">
        <v>3.9999999105930328E-2</v>
      </c>
      <c r="M1049" s="33">
        <v>3</v>
      </c>
      <c r="N1049" s="33">
        <v>1.5399999618530273</v>
      </c>
      <c r="O1049" s="33">
        <v>40.099998474121094</v>
      </c>
      <c r="P1049" s="33">
        <v>31</v>
      </c>
      <c r="Q1049" s="33">
        <v>0.89999997615814209</v>
      </c>
      <c r="R1049" s="34" t="s">
        <v>1341</v>
      </c>
      <c r="S1049" s="33">
        <v>0</v>
      </c>
      <c r="T1049" s="35">
        <v>86</v>
      </c>
    </row>
    <row r="1050" spans="1:20">
      <c r="A1050" s="31">
        <v>1048</v>
      </c>
      <c r="B1050" s="33" t="s">
        <v>1379</v>
      </c>
      <c r="C1050" s="33">
        <v>100</v>
      </c>
      <c r="D1050" s="33">
        <v>399</v>
      </c>
      <c r="E1050" s="33">
        <v>27</v>
      </c>
      <c r="F1050" s="33">
        <v>30.700000762939453</v>
      </c>
      <c r="G1050" s="33">
        <v>26.899999618530273</v>
      </c>
      <c r="H1050" s="33">
        <v>0</v>
      </c>
      <c r="I1050" s="33">
        <v>8.5</v>
      </c>
      <c r="J1050" s="33">
        <v>0</v>
      </c>
      <c r="K1050" s="33">
        <v>3.9999999105930328E-2</v>
      </c>
      <c r="L1050" s="33">
        <v>9.0000003576278687E-2</v>
      </c>
      <c r="M1050" s="33">
        <v>2.2999999523162842</v>
      </c>
      <c r="N1050" s="33">
        <v>5.559999942779541</v>
      </c>
      <c r="O1050" s="33">
        <v>2310</v>
      </c>
      <c r="P1050" s="33">
        <v>598</v>
      </c>
      <c r="Q1050" s="33">
        <v>6.0999999046325684</v>
      </c>
      <c r="R1050" s="34" t="s">
        <v>1341</v>
      </c>
      <c r="S1050" s="33">
        <v>0</v>
      </c>
      <c r="T1050" s="35">
        <v>162</v>
      </c>
    </row>
    <row r="1051" spans="1:20">
      <c r="A1051" s="31">
        <v>1049</v>
      </c>
      <c r="B1051" s="33" t="s">
        <v>1380</v>
      </c>
      <c r="C1051" s="33">
        <v>54</v>
      </c>
      <c r="D1051" s="33">
        <v>109</v>
      </c>
      <c r="E1051" s="33">
        <v>76.699996948242188</v>
      </c>
      <c r="F1051" s="33">
        <v>17.600000381469727</v>
      </c>
      <c r="G1051" s="33">
        <v>4.0999999046325684</v>
      </c>
      <c r="H1051" s="33">
        <v>0</v>
      </c>
      <c r="I1051" s="33">
        <v>0.5</v>
      </c>
      <c r="J1051" s="33">
        <v>25</v>
      </c>
      <c r="K1051" s="33">
        <v>2.9999999329447746E-2</v>
      </c>
      <c r="L1051" s="33">
        <v>9.0000003576278687E-2</v>
      </c>
      <c r="M1051" s="33">
        <v>2.7000000476837158</v>
      </c>
      <c r="N1051" s="33">
        <v>1.2699999809265137</v>
      </c>
      <c r="O1051" s="33">
        <v>53.700000762939453</v>
      </c>
      <c r="P1051" s="33">
        <v>50</v>
      </c>
      <c r="Q1051" s="33">
        <v>1</v>
      </c>
      <c r="R1051" s="34" t="s">
        <v>1341</v>
      </c>
      <c r="S1051" s="33">
        <v>0</v>
      </c>
      <c r="T1051" s="35">
        <v>84</v>
      </c>
    </row>
    <row r="1052" spans="1:20">
      <c r="A1052" s="31">
        <v>1050</v>
      </c>
      <c r="B1052" s="33" t="s">
        <v>1381</v>
      </c>
      <c r="C1052" s="33">
        <v>53</v>
      </c>
      <c r="D1052" s="33">
        <v>77</v>
      </c>
      <c r="E1052" s="33">
        <v>80.900001525878906</v>
      </c>
      <c r="F1052" s="33">
        <v>16</v>
      </c>
      <c r="G1052" s="33">
        <v>1</v>
      </c>
      <c r="H1052" s="33">
        <v>0</v>
      </c>
      <c r="I1052" s="33">
        <v>1</v>
      </c>
      <c r="J1052" s="33">
        <v>7</v>
      </c>
      <c r="K1052" s="33">
        <v>0</v>
      </c>
      <c r="L1052" s="33">
        <v>0.2800000011920929</v>
      </c>
      <c r="M1052" s="33">
        <v>2.5</v>
      </c>
      <c r="N1052" s="33">
        <v>0.10000000149011612</v>
      </c>
      <c r="O1052" s="33">
        <v>66.800003051757813</v>
      </c>
      <c r="P1052" s="33">
        <v>24</v>
      </c>
      <c r="Q1052" s="33">
        <v>1.1000000238418579</v>
      </c>
      <c r="R1052" s="34" t="s">
        <v>1341</v>
      </c>
      <c r="S1052" s="33">
        <v>0</v>
      </c>
      <c r="T1052" s="35">
        <v>54</v>
      </c>
    </row>
    <row r="1053" spans="1:20">
      <c r="A1053" s="31">
        <v>1051</v>
      </c>
      <c r="B1053" s="33" t="s">
        <v>1382</v>
      </c>
      <c r="C1053" s="33">
        <v>55</v>
      </c>
      <c r="D1053" s="33">
        <v>98</v>
      </c>
      <c r="E1053" s="33">
        <v>76</v>
      </c>
      <c r="F1053" s="33">
        <v>18.399999618530273</v>
      </c>
      <c r="G1053" s="33">
        <v>1.5</v>
      </c>
      <c r="H1053" s="33">
        <v>0</v>
      </c>
      <c r="I1053" s="33">
        <v>2.7999999523162842</v>
      </c>
      <c r="J1053" s="33">
        <v>0</v>
      </c>
      <c r="K1053" s="33">
        <v>0.10999999940395355</v>
      </c>
      <c r="L1053" s="33">
        <v>0.17000000178813934</v>
      </c>
      <c r="M1053" s="33">
        <v>3.2999999523162842</v>
      </c>
      <c r="N1053" s="33">
        <v>1.9099999666213989</v>
      </c>
      <c r="O1053" s="33">
        <v>19.799999237060547</v>
      </c>
      <c r="P1053" s="33">
        <v>12</v>
      </c>
      <c r="Q1053" s="33">
        <v>0.89999997615814209</v>
      </c>
      <c r="R1053" s="34" t="s">
        <v>1341</v>
      </c>
      <c r="S1053" s="33">
        <v>0</v>
      </c>
      <c r="T1053" s="35">
        <v>78</v>
      </c>
    </row>
    <row r="1054" spans="1:20">
      <c r="A1054" s="31">
        <v>1052</v>
      </c>
      <c r="B1054" s="33" t="s">
        <v>1383</v>
      </c>
      <c r="C1054" s="33">
        <v>58</v>
      </c>
      <c r="D1054" s="33">
        <v>100</v>
      </c>
      <c r="E1054" s="33">
        <v>77.699996948242188</v>
      </c>
      <c r="F1054" s="33">
        <v>18.600000381469727</v>
      </c>
      <c r="G1054" s="33">
        <v>3.4000000953674316</v>
      </c>
      <c r="H1054" s="33">
        <v>0</v>
      </c>
      <c r="I1054" s="33">
        <v>0</v>
      </c>
      <c r="J1054" s="33">
        <v>19</v>
      </c>
      <c r="K1054" s="33">
        <v>2.9999999329447746E-2</v>
      </c>
      <c r="L1054" s="33">
        <v>0.17000000178813934</v>
      </c>
      <c r="M1054" s="33">
        <v>3.0999999046325684</v>
      </c>
      <c r="N1054" s="33">
        <v>0.75</v>
      </c>
      <c r="O1054" s="33">
        <v>144.10000610351563</v>
      </c>
      <c r="P1054" s="33">
        <v>138</v>
      </c>
      <c r="Q1054" s="33">
        <v>2</v>
      </c>
      <c r="R1054" s="34" t="s">
        <v>1341</v>
      </c>
      <c r="S1054" s="33">
        <v>0</v>
      </c>
      <c r="T1054" s="35">
        <v>86</v>
      </c>
    </row>
    <row r="1055" spans="1:20">
      <c r="A1055" s="31">
        <v>1053</v>
      </c>
      <c r="B1055" s="33" t="s">
        <v>1384</v>
      </c>
      <c r="C1055" s="33">
        <v>84</v>
      </c>
      <c r="D1055" s="33">
        <v>181</v>
      </c>
      <c r="E1055" s="33">
        <v>67.099998474121094</v>
      </c>
      <c r="F1055" s="33">
        <v>18.600000381469727</v>
      </c>
      <c r="G1055" s="33">
        <v>10.800000190734863</v>
      </c>
      <c r="H1055" s="33">
        <v>0</v>
      </c>
      <c r="I1055" s="33">
        <v>2.2999999523162842</v>
      </c>
      <c r="J1055" s="33">
        <v>0</v>
      </c>
      <c r="K1055" s="33">
        <v>1.9999999552965164E-2</v>
      </c>
      <c r="L1055" s="33">
        <v>1.9999999552965164E-2</v>
      </c>
      <c r="M1055" s="33">
        <v>3.7999999523162842</v>
      </c>
      <c r="N1055" s="33">
        <v>3.5999999046325684</v>
      </c>
      <c r="O1055" s="33">
        <v>58.799999237060547</v>
      </c>
      <c r="P1055" s="33">
        <v>42</v>
      </c>
      <c r="Q1055" s="33">
        <v>1.5</v>
      </c>
      <c r="R1055" s="34" t="s">
        <v>1341</v>
      </c>
      <c r="S1055" s="33">
        <v>0</v>
      </c>
      <c r="T1055" s="35">
        <v>177</v>
      </c>
    </row>
    <row r="1056" spans="1:20">
      <c r="A1056" s="31">
        <v>1054</v>
      </c>
      <c r="B1056" s="33" t="s">
        <v>1385</v>
      </c>
      <c r="C1056" s="33">
        <v>63</v>
      </c>
      <c r="D1056" s="33">
        <v>113</v>
      </c>
      <c r="E1056" s="33">
        <v>76.699996948242188</v>
      </c>
      <c r="F1056" s="33">
        <v>18.899999618530273</v>
      </c>
      <c r="G1056" s="33">
        <v>5</v>
      </c>
      <c r="H1056" s="33">
        <v>0</v>
      </c>
      <c r="I1056" s="33">
        <v>0</v>
      </c>
      <c r="J1056" s="33">
        <v>25</v>
      </c>
      <c r="K1056" s="33">
        <v>1.9999999552965164E-2</v>
      </c>
      <c r="L1056" s="33">
        <v>5.9999998658895493E-2</v>
      </c>
      <c r="M1056" s="33">
        <v>2.0999999046325684</v>
      </c>
      <c r="N1056" s="33">
        <v>0.81000000238418579</v>
      </c>
      <c r="O1056" s="33">
        <v>106.09999847412109</v>
      </c>
      <c r="P1056" s="33">
        <v>34</v>
      </c>
      <c r="Q1056" s="33">
        <v>1.7999999523162842</v>
      </c>
      <c r="R1056" s="34" t="s">
        <v>1341</v>
      </c>
      <c r="S1056" s="33">
        <v>0</v>
      </c>
      <c r="T1056" s="35">
        <v>88</v>
      </c>
    </row>
    <row r="1057" spans="1:20">
      <c r="A1057" s="31">
        <v>1055</v>
      </c>
      <c r="B1057" s="33" t="s">
        <v>1386</v>
      </c>
      <c r="C1057" s="33">
        <v>76</v>
      </c>
      <c r="D1057" s="33">
        <v>82</v>
      </c>
      <c r="E1057" s="33">
        <v>79.300003051757813</v>
      </c>
      <c r="F1057" s="33">
        <v>20.200000762939453</v>
      </c>
      <c r="G1057" s="33">
        <v>0.89999997615814209</v>
      </c>
      <c r="H1057" s="33">
        <v>0</v>
      </c>
      <c r="I1057" s="33">
        <v>0</v>
      </c>
      <c r="J1057" s="33">
        <v>33</v>
      </c>
      <c r="K1057" s="33">
        <v>9.9999997764825821E-3</v>
      </c>
      <c r="L1057" s="33">
        <v>5.000000074505806E-2</v>
      </c>
      <c r="M1057" s="33">
        <v>3</v>
      </c>
      <c r="N1057" s="33">
        <v>0</v>
      </c>
      <c r="O1057" s="33">
        <v>54.799999237060547</v>
      </c>
      <c r="P1057" s="33">
        <v>21</v>
      </c>
      <c r="Q1057" s="33">
        <v>1.1000000238418579</v>
      </c>
      <c r="R1057" s="34" t="s">
        <v>1341</v>
      </c>
      <c r="S1057" s="33">
        <v>0</v>
      </c>
      <c r="T1057" s="35">
        <v>62</v>
      </c>
    </row>
    <row r="1058" spans="1:20">
      <c r="A1058" s="31">
        <v>1056</v>
      </c>
      <c r="B1058" s="33" t="s">
        <v>1387</v>
      </c>
      <c r="C1058" s="33">
        <v>65</v>
      </c>
      <c r="D1058" s="33">
        <v>102</v>
      </c>
      <c r="E1058" s="33">
        <v>78</v>
      </c>
      <c r="F1058" s="33">
        <v>17.299999237060547</v>
      </c>
      <c r="G1058" s="33">
        <v>3.7000000476837158</v>
      </c>
      <c r="H1058" s="33">
        <v>0</v>
      </c>
      <c r="I1058" s="33">
        <v>0</v>
      </c>
      <c r="J1058" s="33">
        <v>0</v>
      </c>
      <c r="K1058" s="33">
        <v>2.9999999329447746E-2</v>
      </c>
      <c r="L1058" s="33">
        <v>0.10000000149011612</v>
      </c>
      <c r="M1058" s="33">
        <v>2.5</v>
      </c>
      <c r="N1058" s="33">
        <v>0.54000002145767212</v>
      </c>
      <c r="O1058" s="33">
        <v>49.599998474121094</v>
      </c>
      <c r="P1058" s="33">
        <v>42</v>
      </c>
      <c r="Q1058" s="33">
        <v>2.0999999046325684</v>
      </c>
      <c r="R1058" s="34" t="s">
        <v>1341</v>
      </c>
      <c r="S1058" s="33">
        <v>0</v>
      </c>
      <c r="T1058" s="35">
        <v>163</v>
      </c>
    </row>
    <row r="1059" spans="1:20">
      <c r="A1059" s="31">
        <v>1057</v>
      </c>
      <c r="B1059" s="33" t="s">
        <v>1388</v>
      </c>
      <c r="C1059" s="33">
        <v>60</v>
      </c>
      <c r="D1059" s="33">
        <v>96</v>
      </c>
      <c r="E1059" s="33">
        <v>76.599998474121094</v>
      </c>
      <c r="F1059" s="33">
        <v>17.899999618530273</v>
      </c>
      <c r="G1059" s="33">
        <v>2</v>
      </c>
      <c r="H1059" s="33">
        <v>0</v>
      </c>
      <c r="I1059" s="33">
        <v>1.7000000476837158</v>
      </c>
      <c r="J1059" s="33">
        <v>14</v>
      </c>
      <c r="K1059" s="33">
        <v>0.10000000149011612</v>
      </c>
      <c r="L1059" s="33">
        <v>0.33000001311302185</v>
      </c>
      <c r="M1059" s="33">
        <v>6.1999998092651367</v>
      </c>
      <c r="N1059" s="33">
        <v>0.79000002145767212</v>
      </c>
      <c r="O1059" s="33">
        <v>74.800003051757813</v>
      </c>
      <c r="P1059" s="33">
        <v>299</v>
      </c>
      <c r="Q1059" s="33">
        <v>2.9000000953674316</v>
      </c>
      <c r="R1059" s="34" t="s">
        <v>1341</v>
      </c>
      <c r="S1059" s="33">
        <v>0</v>
      </c>
      <c r="T1059" s="35">
        <v>136</v>
      </c>
    </row>
    <row r="1060" spans="1:20">
      <c r="A1060" s="31">
        <v>1058</v>
      </c>
      <c r="B1060" s="33" t="s">
        <v>1389</v>
      </c>
      <c r="C1060" s="33">
        <v>68</v>
      </c>
      <c r="D1060" s="33">
        <v>105</v>
      </c>
      <c r="E1060" s="33">
        <v>75.900001525878906</v>
      </c>
      <c r="F1060" s="33">
        <v>20.799999237060547</v>
      </c>
      <c r="G1060" s="33">
        <v>3.2000000476837158</v>
      </c>
      <c r="H1060" s="33">
        <v>0</v>
      </c>
      <c r="I1060" s="33">
        <v>0</v>
      </c>
      <c r="J1060" s="33">
        <v>0</v>
      </c>
      <c r="K1060" s="33">
        <v>0.10999999940395355</v>
      </c>
      <c r="L1060" s="33">
        <v>0</v>
      </c>
      <c r="M1060" s="33">
        <v>4.5</v>
      </c>
      <c r="N1060" s="33">
        <v>0.5</v>
      </c>
      <c r="O1060" s="33">
        <v>66.699996948242188</v>
      </c>
      <c r="P1060" s="33">
        <v>55</v>
      </c>
      <c r="Q1060" s="33">
        <v>1</v>
      </c>
      <c r="R1060" s="34" t="s">
        <v>1341</v>
      </c>
      <c r="S1060" s="33">
        <v>0</v>
      </c>
      <c r="T1060" s="35">
        <v>0</v>
      </c>
    </row>
    <row r="1061" spans="1:20">
      <c r="A1061" s="31">
        <v>1059</v>
      </c>
      <c r="B1061" s="33" t="s">
        <v>1390</v>
      </c>
      <c r="C1061" s="33">
        <v>63</v>
      </c>
      <c r="D1061" s="33">
        <v>116</v>
      </c>
      <c r="E1061" s="33">
        <v>73.900001525878906</v>
      </c>
      <c r="F1061" s="33">
        <v>20.100000381469727</v>
      </c>
      <c r="G1061" s="33">
        <v>4.1999998092651367</v>
      </c>
      <c r="H1061" s="33">
        <v>0</v>
      </c>
      <c r="I1061" s="33">
        <v>0.20000000298023224</v>
      </c>
      <c r="J1061" s="33">
        <v>42</v>
      </c>
      <c r="K1061" s="33">
        <v>2.9999999329447746E-2</v>
      </c>
      <c r="L1061" s="33">
        <v>7.0000000298023224E-2</v>
      </c>
      <c r="M1061" s="33">
        <v>2.9000000953674316</v>
      </c>
      <c r="N1061" s="33">
        <v>0.81000000238418579</v>
      </c>
      <c r="O1061" s="33">
        <v>47.400001525878906</v>
      </c>
      <c r="P1061" s="33">
        <v>31</v>
      </c>
      <c r="Q1061" s="33">
        <v>0.89999997615814209</v>
      </c>
      <c r="R1061" s="34" t="s">
        <v>1341</v>
      </c>
      <c r="S1061" s="33">
        <v>0</v>
      </c>
      <c r="T1061" s="35">
        <v>108</v>
      </c>
    </row>
    <row r="1062" spans="1:20">
      <c r="A1062" s="31">
        <v>1060</v>
      </c>
      <c r="B1062" s="33" t="s">
        <v>1391</v>
      </c>
      <c r="C1062" s="33">
        <v>56</v>
      </c>
      <c r="D1062" s="33">
        <v>110</v>
      </c>
      <c r="E1062" s="33">
        <v>75.099998474121094</v>
      </c>
      <c r="F1062" s="33">
        <v>22.200000762939453</v>
      </c>
      <c r="G1062" s="33">
        <v>3.2000000476837158</v>
      </c>
      <c r="H1062" s="33">
        <v>0</v>
      </c>
      <c r="I1062" s="33">
        <v>0</v>
      </c>
      <c r="J1062" s="33">
        <v>21</v>
      </c>
      <c r="K1062" s="33">
        <v>9.9999997764825821E-3</v>
      </c>
      <c r="L1062" s="33">
        <v>5.000000074505806E-2</v>
      </c>
      <c r="M1062" s="33">
        <v>3.0999999046325684</v>
      </c>
      <c r="N1062" s="33">
        <v>0.57999998331069946</v>
      </c>
      <c r="O1062" s="33">
        <v>102.19999694824219</v>
      </c>
      <c r="P1062" s="33">
        <v>41</v>
      </c>
      <c r="Q1062" s="33">
        <v>0.89999997615814209</v>
      </c>
      <c r="R1062" s="34" t="s">
        <v>1341</v>
      </c>
      <c r="S1062" s="33">
        <v>0</v>
      </c>
      <c r="T1062" s="35">
        <v>70</v>
      </c>
    </row>
    <row r="1063" spans="1:20">
      <c r="A1063" s="31">
        <v>1061</v>
      </c>
      <c r="B1063" s="33" t="s">
        <v>1392</v>
      </c>
      <c r="C1063" s="33">
        <v>68</v>
      </c>
      <c r="D1063" s="33">
        <v>83</v>
      </c>
      <c r="E1063" s="33">
        <v>79.800003051757813</v>
      </c>
      <c r="F1063" s="33">
        <v>17.700000762939453</v>
      </c>
      <c r="G1063" s="33">
        <v>1.3999999761581421</v>
      </c>
      <c r="H1063" s="33">
        <v>0</v>
      </c>
      <c r="I1063" s="33">
        <v>0.10000000149011612</v>
      </c>
      <c r="J1063" s="33">
        <v>6</v>
      </c>
      <c r="K1063" s="33">
        <v>2.9999999329447746E-2</v>
      </c>
      <c r="L1063" s="33">
        <v>5.000000074505806E-2</v>
      </c>
      <c r="M1063" s="33">
        <v>2.0999999046325684</v>
      </c>
      <c r="N1063" s="33">
        <v>0.63999998569488525</v>
      </c>
      <c r="O1063" s="33">
        <v>138.80000305175781</v>
      </c>
      <c r="P1063" s="33">
        <v>57</v>
      </c>
      <c r="Q1063" s="33">
        <v>1.5</v>
      </c>
      <c r="R1063" s="34" t="s">
        <v>1341</v>
      </c>
      <c r="S1063" s="33">
        <v>0</v>
      </c>
      <c r="T1063" s="35">
        <v>82</v>
      </c>
    </row>
    <row r="1064" spans="1:20">
      <c r="A1064" s="31">
        <v>1062</v>
      </c>
      <c r="B1064" s="33" t="s">
        <v>1393</v>
      </c>
      <c r="C1064" s="33">
        <v>67</v>
      </c>
      <c r="D1064" s="33">
        <v>88</v>
      </c>
      <c r="E1064" s="33">
        <v>78</v>
      </c>
      <c r="F1064" s="33">
        <v>19.799999237060547</v>
      </c>
      <c r="G1064" s="33">
        <v>1.1000000238418579</v>
      </c>
      <c r="H1064" s="33">
        <v>0</v>
      </c>
      <c r="I1064" s="33">
        <v>0</v>
      </c>
      <c r="J1064" s="33">
        <v>0</v>
      </c>
      <c r="K1064" s="33">
        <v>9.9999997764825821E-3</v>
      </c>
      <c r="L1064" s="33">
        <v>2.9999999329447746E-2</v>
      </c>
      <c r="M1064" s="33">
        <v>2</v>
      </c>
      <c r="N1064" s="33">
        <v>0.25999999046325684</v>
      </c>
      <c r="O1064" s="33">
        <v>91.5</v>
      </c>
      <c r="P1064" s="33">
        <v>184</v>
      </c>
      <c r="Q1064" s="33">
        <v>1.3999999761581421</v>
      </c>
      <c r="R1064" s="34" t="s">
        <v>1341</v>
      </c>
      <c r="S1064" s="33">
        <v>0</v>
      </c>
      <c r="T1064" s="35">
        <v>86</v>
      </c>
    </row>
    <row r="1065" spans="1:20">
      <c r="A1065" s="31">
        <v>1063</v>
      </c>
      <c r="B1065" s="33" t="s">
        <v>1394</v>
      </c>
      <c r="C1065" s="33">
        <v>72</v>
      </c>
      <c r="D1065" s="33">
        <v>122</v>
      </c>
      <c r="E1065" s="33">
        <v>73.5</v>
      </c>
      <c r="F1065" s="33">
        <v>20.799999237060547</v>
      </c>
      <c r="G1065" s="33">
        <v>4.1999998092651367</v>
      </c>
      <c r="H1065" s="33">
        <v>0</v>
      </c>
      <c r="I1065" s="33">
        <v>0.40000000596046448</v>
      </c>
      <c r="J1065" s="33">
        <v>0</v>
      </c>
      <c r="K1065" s="33">
        <v>3.9999999105930328E-2</v>
      </c>
      <c r="L1065" s="33">
        <v>5.000000074505806E-2</v>
      </c>
      <c r="M1065" s="33">
        <v>2</v>
      </c>
      <c r="N1065" s="33">
        <v>0.9100000262260437</v>
      </c>
      <c r="O1065" s="33">
        <v>118.40000152587891</v>
      </c>
      <c r="P1065" s="33">
        <v>117</v>
      </c>
      <c r="Q1065" s="33">
        <v>0.30000001192092896</v>
      </c>
      <c r="R1065" s="34" t="s">
        <v>1341</v>
      </c>
      <c r="S1065" s="33">
        <v>0</v>
      </c>
      <c r="T1065" s="35">
        <v>86</v>
      </c>
    </row>
    <row r="1066" spans="1:20">
      <c r="A1066" s="31">
        <v>1064</v>
      </c>
      <c r="B1066" s="33" t="s">
        <v>1395</v>
      </c>
      <c r="C1066" s="33">
        <v>66</v>
      </c>
      <c r="D1066" s="33">
        <v>155</v>
      </c>
      <c r="E1066" s="33">
        <v>69.099998474121094</v>
      </c>
      <c r="F1066" s="33">
        <v>19.899999618530273</v>
      </c>
      <c r="G1066" s="33">
        <v>7.4000000953674316</v>
      </c>
      <c r="H1066" s="33">
        <v>0</v>
      </c>
      <c r="I1066" s="33">
        <v>2.2000000476837158</v>
      </c>
      <c r="J1066" s="33">
        <v>38</v>
      </c>
      <c r="K1066" s="33">
        <v>7.9999998211860657E-2</v>
      </c>
      <c r="L1066" s="33">
        <v>0.11999999731779099</v>
      </c>
      <c r="M1066" s="33">
        <v>8.8000001907348633</v>
      </c>
      <c r="N1066" s="33">
        <v>0.55000001192092896</v>
      </c>
      <c r="O1066" s="33">
        <v>87.699996948242188</v>
      </c>
      <c r="P1066" s="33">
        <v>50</v>
      </c>
      <c r="Q1066" s="33">
        <v>1.5</v>
      </c>
      <c r="R1066" s="34" t="s">
        <v>1341</v>
      </c>
      <c r="S1066" s="33">
        <v>0</v>
      </c>
      <c r="T1066" s="35">
        <v>77</v>
      </c>
    </row>
    <row r="1067" spans="1:20">
      <c r="A1067" s="31">
        <v>1065</v>
      </c>
      <c r="B1067" s="33" t="s">
        <v>1396</v>
      </c>
      <c r="C1067" s="33">
        <v>52</v>
      </c>
      <c r="D1067" s="33">
        <v>83</v>
      </c>
      <c r="E1067" s="33">
        <v>78.900001525878906</v>
      </c>
      <c r="F1067" s="33">
        <v>18.100000381469727</v>
      </c>
      <c r="G1067" s="33">
        <v>0.60000002384185791</v>
      </c>
      <c r="H1067" s="33">
        <v>0</v>
      </c>
      <c r="I1067" s="33">
        <v>1.2000000476837158</v>
      </c>
      <c r="J1067" s="33">
        <v>15</v>
      </c>
      <c r="K1067" s="33">
        <v>1.9999999552965164E-2</v>
      </c>
      <c r="L1067" s="33">
        <v>5.000000074505806E-2</v>
      </c>
      <c r="M1067" s="33">
        <v>3</v>
      </c>
      <c r="N1067" s="33">
        <v>1.0299999713897705</v>
      </c>
      <c r="O1067" s="33">
        <v>80.5</v>
      </c>
      <c r="P1067" s="33">
        <v>5.4000000953674316</v>
      </c>
      <c r="Q1067" s="33">
        <v>0.89999997615814209</v>
      </c>
      <c r="R1067" s="34" t="s">
        <v>1341</v>
      </c>
      <c r="S1067" s="33">
        <v>0</v>
      </c>
      <c r="T1067" s="35">
        <v>45</v>
      </c>
    </row>
    <row r="1068" spans="1:20">
      <c r="A1068" s="31">
        <v>1066</v>
      </c>
      <c r="B1068" s="33" t="s">
        <v>1397</v>
      </c>
      <c r="C1068" s="33">
        <v>57</v>
      </c>
      <c r="D1068" s="33">
        <v>85</v>
      </c>
      <c r="E1068" s="33">
        <v>78.699996948242188</v>
      </c>
      <c r="F1068" s="33">
        <v>19.5</v>
      </c>
      <c r="G1068" s="33">
        <v>1.2000000476837158</v>
      </c>
      <c r="H1068" s="33">
        <v>0</v>
      </c>
      <c r="I1068" s="33">
        <v>0</v>
      </c>
      <c r="J1068" s="33">
        <v>26</v>
      </c>
      <c r="K1068" s="33">
        <v>1.9999999552965164E-2</v>
      </c>
      <c r="L1068" s="33">
        <v>0.14000000059604645</v>
      </c>
      <c r="M1068" s="33">
        <v>2.5</v>
      </c>
      <c r="N1068" s="33">
        <v>0.97000002861022949</v>
      </c>
      <c r="O1068" s="33">
        <v>48.799999237060547</v>
      </c>
      <c r="P1068" s="33">
        <v>152</v>
      </c>
      <c r="Q1068" s="33">
        <v>0.69999998807907104</v>
      </c>
      <c r="R1068" s="34" t="s">
        <v>1341</v>
      </c>
      <c r="S1068" s="33">
        <v>0</v>
      </c>
      <c r="T1068" s="35">
        <v>91</v>
      </c>
    </row>
    <row r="1069" spans="1:20">
      <c r="A1069" s="31">
        <v>1067</v>
      </c>
      <c r="B1069" s="33" t="s">
        <v>1398</v>
      </c>
      <c r="C1069" s="33">
        <v>63</v>
      </c>
      <c r="D1069" s="33">
        <v>99</v>
      </c>
      <c r="E1069" s="33">
        <v>77.900001525878906</v>
      </c>
      <c r="F1069" s="33">
        <v>17.899999618530273</v>
      </c>
      <c r="G1069" s="33">
        <v>3</v>
      </c>
      <c r="H1069" s="33">
        <v>0</v>
      </c>
      <c r="I1069" s="33">
        <v>0.10000000149011612</v>
      </c>
      <c r="J1069" s="33">
        <v>0</v>
      </c>
      <c r="K1069" s="33">
        <v>3.9999999105930328E-2</v>
      </c>
      <c r="L1069" s="33">
        <v>3.9999999105930328E-2</v>
      </c>
      <c r="M1069" s="33">
        <v>2.2999999523162842</v>
      </c>
      <c r="N1069" s="33">
        <v>1.190000057220459</v>
      </c>
      <c r="O1069" s="33">
        <v>103</v>
      </c>
      <c r="P1069" s="33">
        <v>78</v>
      </c>
      <c r="Q1069" s="33">
        <v>0.89999997615814209</v>
      </c>
      <c r="R1069" s="34" t="s">
        <v>1341</v>
      </c>
      <c r="S1069" s="33">
        <v>0</v>
      </c>
      <c r="T1069" s="35">
        <v>74</v>
      </c>
    </row>
    <row r="1070" spans="1:20">
      <c r="A1070" s="31">
        <v>1068</v>
      </c>
      <c r="B1070" s="33" t="s">
        <v>1399</v>
      </c>
      <c r="C1070" s="33">
        <v>45</v>
      </c>
      <c r="D1070" s="33">
        <v>88</v>
      </c>
      <c r="E1070" s="33">
        <v>77.400001525878906</v>
      </c>
      <c r="F1070" s="33">
        <v>20.399999618530273</v>
      </c>
      <c r="G1070" s="33">
        <v>0.5</v>
      </c>
      <c r="H1070" s="33">
        <v>0</v>
      </c>
      <c r="I1070" s="33">
        <v>0.5</v>
      </c>
      <c r="J1070" s="33">
        <v>14</v>
      </c>
      <c r="K1070" s="33">
        <v>3.9999999105930328E-2</v>
      </c>
      <c r="L1070" s="33">
        <v>0.12999999523162842</v>
      </c>
      <c r="M1070" s="33">
        <v>2.7000000476837158</v>
      </c>
      <c r="N1070" s="33">
        <v>0</v>
      </c>
      <c r="O1070" s="33">
        <v>130.30000305175781</v>
      </c>
      <c r="P1070" s="33">
        <v>42</v>
      </c>
      <c r="Q1070" s="33">
        <v>0.5</v>
      </c>
      <c r="R1070" s="34" t="s">
        <v>1341</v>
      </c>
      <c r="S1070" s="33">
        <v>0</v>
      </c>
      <c r="T1070" s="35">
        <v>114</v>
      </c>
    </row>
    <row r="1071" spans="1:20">
      <c r="A1071" s="31">
        <v>1069</v>
      </c>
      <c r="B1071" s="33" t="s">
        <v>1400</v>
      </c>
      <c r="C1071" s="33">
        <v>59</v>
      </c>
      <c r="D1071" s="33">
        <v>90</v>
      </c>
      <c r="E1071" s="33">
        <v>81.099998474121094</v>
      </c>
      <c r="F1071" s="33">
        <v>20.799999237060547</v>
      </c>
      <c r="G1071" s="33">
        <v>0.69999998807907104</v>
      </c>
      <c r="H1071" s="33">
        <v>0</v>
      </c>
      <c r="I1071" s="33">
        <v>0</v>
      </c>
      <c r="J1071" s="33">
        <v>27</v>
      </c>
      <c r="K1071" s="33">
        <v>9.9999997764825821E-3</v>
      </c>
      <c r="L1071" s="33">
        <v>0.10999999940395355</v>
      </c>
      <c r="M1071" s="33">
        <v>3.5999999046325684</v>
      </c>
      <c r="N1071" s="33">
        <v>0.79000002145767212</v>
      </c>
      <c r="O1071" s="33">
        <v>130</v>
      </c>
      <c r="P1071" s="33">
        <v>22</v>
      </c>
      <c r="Q1071" s="33">
        <v>0.60000002384185791</v>
      </c>
      <c r="R1071" s="34" t="s">
        <v>1341</v>
      </c>
      <c r="S1071" s="33">
        <v>0</v>
      </c>
      <c r="T1071" s="35">
        <v>48</v>
      </c>
    </row>
    <row r="1072" spans="1:20">
      <c r="A1072" s="31">
        <v>1070</v>
      </c>
      <c r="B1072" s="33" t="s">
        <v>1401</v>
      </c>
      <c r="C1072" s="33">
        <v>100</v>
      </c>
      <c r="D1072" s="33">
        <v>119</v>
      </c>
      <c r="E1072" s="33">
        <v>76.199996948242188</v>
      </c>
      <c r="F1072" s="33">
        <v>17.200000762939453</v>
      </c>
      <c r="G1072" s="33">
        <v>5.5999999046325684</v>
      </c>
      <c r="H1072" s="33">
        <v>0</v>
      </c>
      <c r="I1072" s="33">
        <v>0</v>
      </c>
      <c r="J1072" s="33">
        <v>0</v>
      </c>
      <c r="K1072" s="33">
        <v>2.9999999329447746E-2</v>
      </c>
      <c r="L1072" s="33">
        <v>5.000000074505806E-2</v>
      </c>
      <c r="M1072" s="33">
        <v>0.20000000298023224</v>
      </c>
      <c r="N1072" s="33">
        <v>1.8600000143051147</v>
      </c>
      <c r="O1072" s="33">
        <v>8.6000003814697266</v>
      </c>
      <c r="P1072" s="33">
        <v>46</v>
      </c>
      <c r="Q1072" s="33">
        <v>0.89999997615814209</v>
      </c>
      <c r="R1072" s="34" t="s">
        <v>1341</v>
      </c>
      <c r="S1072" s="33">
        <v>0</v>
      </c>
      <c r="T1072" s="35">
        <v>361</v>
      </c>
    </row>
    <row r="1073" spans="1:20">
      <c r="A1073" s="31">
        <v>1071</v>
      </c>
      <c r="B1073" s="33" t="s">
        <v>1402</v>
      </c>
      <c r="C1073" s="33">
        <v>61</v>
      </c>
      <c r="D1073" s="33">
        <v>100</v>
      </c>
      <c r="E1073" s="33">
        <v>76.5</v>
      </c>
      <c r="F1073" s="33">
        <v>15.300000190734863</v>
      </c>
      <c r="G1073" s="33">
        <v>2.2000000476837158</v>
      </c>
      <c r="H1073" s="33">
        <v>0</v>
      </c>
      <c r="I1073" s="33">
        <v>4.6999998092651367</v>
      </c>
      <c r="J1073" s="33">
        <v>34</v>
      </c>
      <c r="K1073" s="33">
        <v>3.9999999105930328E-2</v>
      </c>
      <c r="L1073" s="33">
        <v>0.10999999940395355</v>
      </c>
      <c r="M1073" s="33">
        <v>2.7999999523162842</v>
      </c>
      <c r="N1073" s="33">
        <v>2.6500000953674316</v>
      </c>
      <c r="O1073" s="33">
        <v>60.599998474121094</v>
      </c>
      <c r="P1073" s="33">
        <v>82</v>
      </c>
      <c r="Q1073" s="33">
        <v>0.80000001192092896</v>
      </c>
      <c r="R1073" s="34" t="s">
        <v>1341</v>
      </c>
      <c r="S1073" s="33">
        <v>0</v>
      </c>
      <c r="T1073" s="35">
        <v>112</v>
      </c>
    </row>
    <row r="1074" spans="1:20">
      <c r="A1074" s="31">
        <v>1072</v>
      </c>
      <c r="B1074" s="33" t="s">
        <v>1403</v>
      </c>
      <c r="C1074" s="33">
        <v>100</v>
      </c>
      <c r="D1074" s="33">
        <v>303</v>
      </c>
      <c r="E1074" s="33">
        <v>20.200000762939453</v>
      </c>
      <c r="F1074" s="33">
        <v>46.099998474121094</v>
      </c>
      <c r="G1074" s="33">
        <v>3.4000000953674316</v>
      </c>
      <c r="H1074" s="33">
        <v>0</v>
      </c>
      <c r="I1074" s="33">
        <v>22</v>
      </c>
      <c r="J1074" s="33">
        <v>0</v>
      </c>
      <c r="K1074" s="33">
        <v>0.10999999940395355</v>
      </c>
      <c r="L1074" s="33">
        <v>0.38999998569488525</v>
      </c>
      <c r="M1074" s="33">
        <v>5</v>
      </c>
      <c r="N1074" s="33">
        <v>0.87999999523162842</v>
      </c>
      <c r="O1074" s="33">
        <v>2320.60009765625</v>
      </c>
      <c r="P1074" s="33">
        <v>106</v>
      </c>
      <c r="Q1074" s="33">
        <v>4.4000000953674316</v>
      </c>
      <c r="R1074" s="34" t="s">
        <v>1341</v>
      </c>
      <c r="S1074" s="33">
        <v>0</v>
      </c>
      <c r="T1074" s="35">
        <v>307</v>
      </c>
    </row>
    <row r="1075" spans="1:20">
      <c r="A1075" s="31">
        <v>1073</v>
      </c>
      <c r="B1075" s="33" t="s">
        <v>1404</v>
      </c>
      <c r="C1075" s="33">
        <v>100</v>
      </c>
      <c r="D1075" s="33">
        <v>252</v>
      </c>
      <c r="E1075" s="33">
        <v>49.400001525878906</v>
      </c>
      <c r="F1075" s="33">
        <v>10.899999618530273</v>
      </c>
      <c r="G1075" s="33">
        <v>16.799999237060547</v>
      </c>
      <c r="H1075" s="33">
        <v>0</v>
      </c>
      <c r="I1075" s="33">
        <v>14.399999618530273</v>
      </c>
      <c r="J1075" s="33">
        <v>111</v>
      </c>
      <c r="K1075" s="33">
        <v>0.33000001311302185</v>
      </c>
      <c r="L1075" s="33">
        <v>0.18999999761581421</v>
      </c>
      <c r="M1075" s="33">
        <v>0.5</v>
      </c>
      <c r="N1075" s="33">
        <v>12.25</v>
      </c>
      <c r="O1075" s="33">
        <v>0</v>
      </c>
      <c r="P1075" s="33">
        <v>23</v>
      </c>
      <c r="Q1075" s="33">
        <v>2.7999999523162842</v>
      </c>
      <c r="R1075" s="34" t="s">
        <v>1341</v>
      </c>
      <c r="S1075" s="33">
        <v>0</v>
      </c>
      <c r="T1075" s="35">
        <v>486</v>
      </c>
    </row>
    <row r="1076" spans="1:20">
      <c r="A1076" s="31">
        <v>1074</v>
      </c>
      <c r="B1076" s="33" t="s">
        <v>1405</v>
      </c>
      <c r="C1076" s="33">
        <v>57</v>
      </c>
      <c r="D1076" s="33">
        <v>118</v>
      </c>
      <c r="E1076" s="33">
        <v>75.300003051757813</v>
      </c>
      <c r="F1076" s="33">
        <v>18.899999618530273</v>
      </c>
      <c r="G1076" s="33">
        <v>4.8000001907348633</v>
      </c>
      <c r="H1076" s="33">
        <v>0</v>
      </c>
      <c r="I1076" s="33">
        <v>0</v>
      </c>
      <c r="J1076" s="33">
        <v>0</v>
      </c>
      <c r="K1076" s="33">
        <v>1.9999999552965164E-2</v>
      </c>
      <c r="L1076" s="33">
        <v>0.12999999523162842</v>
      </c>
      <c r="M1076" s="33">
        <v>2.2999999523162842</v>
      </c>
      <c r="N1076" s="33">
        <v>3.3399999141693115</v>
      </c>
      <c r="O1076" s="33">
        <v>71.400001525878906</v>
      </c>
      <c r="P1076" s="33">
        <v>19</v>
      </c>
      <c r="Q1076" s="33">
        <v>0.5</v>
      </c>
      <c r="R1076" s="34" t="s">
        <v>1341</v>
      </c>
      <c r="S1076" s="33">
        <v>0</v>
      </c>
      <c r="T1076" s="35">
        <v>99</v>
      </c>
    </row>
    <row r="1077" spans="1:20">
      <c r="A1077" s="31">
        <v>1075</v>
      </c>
      <c r="B1077" s="33" t="s">
        <v>1406</v>
      </c>
      <c r="C1077" s="33">
        <v>57</v>
      </c>
      <c r="D1077" s="33">
        <v>99</v>
      </c>
      <c r="E1077" s="33">
        <v>77</v>
      </c>
      <c r="F1077" s="33">
        <v>18.600000381469727</v>
      </c>
      <c r="G1077" s="33">
        <v>2.5999999046325684</v>
      </c>
      <c r="H1077" s="33">
        <v>0</v>
      </c>
      <c r="I1077" s="33">
        <v>0.20000000298023224</v>
      </c>
      <c r="J1077" s="33">
        <v>206</v>
      </c>
      <c r="K1077" s="33">
        <v>7.9999998211860657E-2</v>
      </c>
      <c r="L1077" s="33">
        <v>0</v>
      </c>
      <c r="M1077" s="33">
        <v>0</v>
      </c>
      <c r="N1077" s="33">
        <v>3.5499999523162842</v>
      </c>
      <c r="O1077" s="33">
        <v>110</v>
      </c>
      <c r="P1077" s="33">
        <v>34</v>
      </c>
      <c r="Q1077" s="33">
        <v>0</v>
      </c>
      <c r="R1077" s="34" t="s">
        <v>1341</v>
      </c>
      <c r="S1077" s="33">
        <v>0</v>
      </c>
      <c r="T1077" s="35">
        <v>102</v>
      </c>
    </row>
    <row r="1078" spans="1:20">
      <c r="A1078" s="31">
        <v>1076</v>
      </c>
      <c r="B1078" s="33" t="s">
        <v>1407</v>
      </c>
      <c r="C1078" s="33">
        <v>63</v>
      </c>
      <c r="D1078" s="33">
        <v>71</v>
      </c>
      <c r="E1078" s="33">
        <v>80.800003051757813</v>
      </c>
      <c r="F1078" s="33">
        <v>15</v>
      </c>
      <c r="G1078" s="33">
        <v>0.89999997615814209</v>
      </c>
      <c r="H1078" s="33">
        <v>0</v>
      </c>
      <c r="I1078" s="33">
        <v>0.80000001192092896</v>
      </c>
      <c r="J1078" s="33">
        <v>283</v>
      </c>
      <c r="K1078" s="33">
        <v>9.9999997764825821E-3</v>
      </c>
      <c r="L1078" s="33">
        <v>0.2199999988079071</v>
      </c>
      <c r="M1078" s="33">
        <v>0.40000000596046448</v>
      </c>
      <c r="N1078" s="33">
        <v>0</v>
      </c>
      <c r="O1078" s="33">
        <v>6.0999999046325684</v>
      </c>
      <c r="P1078" s="33">
        <v>190</v>
      </c>
      <c r="Q1078" s="33">
        <v>50</v>
      </c>
      <c r="R1078" s="34" t="s">
        <v>991</v>
      </c>
      <c r="S1078" s="33">
        <v>0</v>
      </c>
      <c r="T1078" s="35">
        <v>148</v>
      </c>
    </row>
    <row r="1079" spans="1:20">
      <c r="A1079" s="31">
        <v>1077</v>
      </c>
      <c r="B1079" s="33" t="s">
        <v>1408</v>
      </c>
      <c r="C1079" s="33">
        <v>86</v>
      </c>
      <c r="D1079" s="33">
        <v>84</v>
      </c>
      <c r="E1079" s="33">
        <v>78.099998474121094</v>
      </c>
      <c r="F1079" s="33">
        <v>16.399999618530273</v>
      </c>
      <c r="G1079" s="33">
        <v>2.4000000953674316</v>
      </c>
      <c r="H1079" s="33">
        <v>0</v>
      </c>
      <c r="I1079" s="33">
        <v>0</v>
      </c>
      <c r="J1079" s="33">
        <v>48</v>
      </c>
      <c r="K1079" s="33">
        <v>3.9999999105930328E-2</v>
      </c>
      <c r="L1079" s="33">
        <v>2.9999999329447746E-2</v>
      </c>
      <c r="M1079" s="33">
        <v>0</v>
      </c>
      <c r="N1079" s="33">
        <v>5.3299999237060547</v>
      </c>
      <c r="O1079" s="33">
        <v>138.80000305175781</v>
      </c>
      <c r="P1079" s="33">
        <v>325</v>
      </c>
      <c r="Q1079" s="33">
        <v>4</v>
      </c>
      <c r="R1079" s="34" t="s">
        <v>1033</v>
      </c>
      <c r="S1079" s="33">
        <v>0</v>
      </c>
      <c r="T1079" s="35">
        <v>240</v>
      </c>
    </row>
    <row r="1080" spans="1:20">
      <c r="A1080" s="31">
        <v>1078</v>
      </c>
      <c r="B1080" s="33" t="s">
        <v>1409</v>
      </c>
      <c r="C1080" s="33">
        <v>100</v>
      </c>
      <c r="D1080" s="33">
        <v>87</v>
      </c>
      <c r="E1080" s="33">
        <v>77</v>
      </c>
      <c r="F1080" s="33">
        <v>10.300000190734863</v>
      </c>
      <c r="G1080" s="33">
        <v>0.89999997615814209</v>
      </c>
      <c r="H1080" s="33">
        <v>0</v>
      </c>
      <c r="I1080" s="33">
        <v>9.3000001907348633</v>
      </c>
      <c r="J1080" s="33">
        <v>102</v>
      </c>
      <c r="K1080" s="33">
        <v>3.9999999105930328E-2</v>
      </c>
      <c r="L1080" s="33">
        <v>0.11999999731779099</v>
      </c>
      <c r="M1080" s="33">
        <v>2.2000000476837158</v>
      </c>
      <c r="N1080" s="33">
        <v>11.300000190734863</v>
      </c>
      <c r="O1080" s="33">
        <v>0</v>
      </c>
      <c r="P1080" s="33">
        <v>78</v>
      </c>
      <c r="Q1080" s="33">
        <v>8.8000001907348633</v>
      </c>
      <c r="R1080" s="34" t="s">
        <v>1033</v>
      </c>
      <c r="S1080" s="33">
        <v>0</v>
      </c>
      <c r="T1080" s="35">
        <v>116</v>
      </c>
    </row>
    <row r="1081" spans="1:20">
      <c r="A1081" s="31">
        <v>1079</v>
      </c>
      <c r="B1081" s="33" t="s">
        <v>1410</v>
      </c>
      <c r="C1081" s="33">
        <v>60</v>
      </c>
      <c r="D1081" s="33">
        <v>101</v>
      </c>
      <c r="E1081" s="33">
        <v>75.199996948242188</v>
      </c>
      <c r="F1081" s="33">
        <v>18.200000762939453</v>
      </c>
      <c r="G1081" s="33">
        <v>1.3999999761581421</v>
      </c>
      <c r="H1081" s="33">
        <v>0</v>
      </c>
      <c r="I1081" s="33">
        <v>3.9000000953674316</v>
      </c>
      <c r="J1081" s="33">
        <v>0</v>
      </c>
      <c r="K1081" s="33">
        <v>1.9999999552965164E-2</v>
      </c>
      <c r="L1081" s="33">
        <v>7.0000000298023224E-2</v>
      </c>
      <c r="M1081" s="33">
        <v>2.9000000953674316</v>
      </c>
      <c r="N1081" s="33">
        <v>1.690000057220459</v>
      </c>
      <c r="O1081" s="33">
        <v>172</v>
      </c>
      <c r="P1081" s="33">
        <v>83</v>
      </c>
      <c r="Q1081" s="33">
        <v>2</v>
      </c>
      <c r="R1081" s="34" t="s">
        <v>1033</v>
      </c>
      <c r="S1081" s="33">
        <v>0</v>
      </c>
      <c r="T1081" s="35">
        <v>181</v>
      </c>
    </row>
    <row r="1082" spans="1:20">
      <c r="A1082" s="31">
        <v>1080</v>
      </c>
      <c r="B1082" s="33" t="s">
        <v>1411</v>
      </c>
      <c r="C1082" s="33">
        <v>46</v>
      </c>
      <c r="D1082" s="33">
        <v>90</v>
      </c>
      <c r="E1082" s="33">
        <v>77.599998474121094</v>
      </c>
      <c r="F1082" s="33">
        <v>18.899999618530273</v>
      </c>
      <c r="G1082" s="33">
        <v>1.1000000238418579</v>
      </c>
      <c r="H1082" s="33">
        <v>0</v>
      </c>
      <c r="I1082" s="33">
        <v>1</v>
      </c>
      <c r="J1082" s="33">
        <v>0</v>
      </c>
      <c r="K1082" s="33">
        <v>0</v>
      </c>
      <c r="L1082" s="33">
        <v>2.9999999329447746E-2</v>
      </c>
      <c r="M1082" s="33">
        <v>4.3000001907348633</v>
      </c>
      <c r="N1082" s="33">
        <v>3.5799999237060547</v>
      </c>
      <c r="O1082" s="33">
        <v>190</v>
      </c>
      <c r="P1082" s="33">
        <v>21</v>
      </c>
      <c r="Q1082" s="33">
        <v>1.2999999523162842</v>
      </c>
      <c r="R1082" s="34" t="s">
        <v>1033</v>
      </c>
      <c r="S1082" s="33">
        <v>0</v>
      </c>
      <c r="T1082" s="35">
        <v>121</v>
      </c>
    </row>
    <row r="1083" spans="1:20">
      <c r="A1083" s="31">
        <v>1081</v>
      </c>
      <c r="B1083" s="33" t="s">
        <v>1412</v>
      </c>
      <c r="C1083" s="33">
        <v>57</v>
      </c>
      <c r="D1083" s="33">
        <v>85</v>
      </c>
      <c r="E1083" s="33">
        <v>79.800003051757813</v>
      </c>
      <c r="F1083" s="33">
        <v>13.399999618530273</v>
      </c>
      <c r="G1083" s="33">
        <v>1.7999999523162842</v>
      </c>
      <c r="H1083" s="33">
        <v>0</v>
      </c>
      <c r="I1083" s="33">
        <v>3.7999999523162842</v>
      </c>
      <c r="J1083" s="33">
        <v>0</v>
      </c>
      <c r="K1083" s="33">
        <v>9.9999997764825821E-3</v>
      </c>
      <c r="L1083" s="33">
        <v>3.9999999105930328E-2</v>
      </c>
      <c r="M1083" s="33">
        <v>4</v>
      </c>
      <c r="N1083" s="33">
        <v>1.5499999523162842</v>
      </c>
      <c r="O1083" s="33">
        <v>119</v>
      </c>
      <c r="P1083" s="33">
        <v>75</v>
      </c>
      <c r="Q1083" s="33">
        <v>0.60000002384185791</v>
      </c>
      <c r="R1083" s="34" t="s">
        <v>1033</v>
      </c>
      <c r="S1083" s="33">
        <v>0</v>
      </c>
      <c r="T1083" s="35">
        <v>273</v>
      </c>
    </row>
    <row r="1084" spans="1:20">
      <c r="A1084" s="31">
        <v>1082</v>
      </c>
      <c r="B1084" s="33" t="s">
        <v>1413</v>
      </c>
      <c r="C1084" s="33">
        <v>57</v>
      </c>
      <c r="D1084" s="33">
        <v>96</v>
      </c>
      <c r="E1084" s="33">
        <v>74</v>
      </c>
      <c r="F1084" s="33">
        <v>21.200000762939453</v>
      </c>
      <c r="G1084" s="33">
        <v>1.2000000476837158</v>
      </c>
      <c r="H1084" s="33">
        <v>0</v>
      </c>
      <c r="I1084" s="33">
        <v>0</v>
      </c>
      <c r="J1084" s="33">
        <v>44</v>
      </c>
      <c r="K1084" s="33">
        <v>5.000000074505806E-2</v>
      </c>
      <c r="L1084" s="33">
        <v>2.9999999329447746E-2</v>
      </c>
      <c r="M1084" s="33">
        <v>0</v>
      </c>
      <c r="N1084" s="33">
        <v>4.820000171661377</v>
      </c>
      <c r="O1084" s="33">
        <v>109</v>
      </c>
      <c r="P1084" s="33">
        <v>403</v>
      </c>
      <c r="Q1084" s="33">
        <v>3.4000000953674316</v>
      </c>
      <c r="R1084" s="34" t="s">
        <v>1033</v>
      </c>
      <c r="S1084" s="33">
        <v>0</v>
      </c>
      <c r="T1084" s="35">
        <v>264</v>
      </c>
    </row>
    <row r="1085" spans="1:20">
      <c r="A1085" s="31">
        <v>1083</v>
      </c>
      <c r="B1085" s="33" t="s">
        <v>1414</v>
      </c>
      <c r="C1085" s="33">
        <v>32</v>
      </c>
      <c r="D1085" s="33">
        <v>81</v>
      </c>
      <c r="E1085" s="33">
        <v>80.599998474121094</v>
      </c>
      <c r="F1085" s="33">
        <v>11.600000381469727</v>
      </c>
      <c r="G1085" s="33">
        <v>1.7000000476837158</v>
      </c>
      <c r="H1085" s="33">
        <v>0</v>
      </c>
      <c r="I1085" s="33">
        <v>4.8000001907348633</v>
      </c>
      <c r="J1085" s="33">
        <v>0</v>
      </c>
      <c r="K1085" s="33">
        <v>3.9999999105930328E-2</v>
      </c>
      <c r="L1085" s="33">
        <v>3.9999999105930328E-2</v>
      </c>
      <c r="M1085" s="33">
        <v>0.89999997615814209</v>
      </c>
      <c r="N1085" s="33">
        <v>3.1800000667572021</v>
      </c>
      <c r="O1085" s="33">
        <v>136.60000610351563</v>
      </c>
      <c r="P1085" s="33">
        <v>22</v>
      </c>
      <c r="Q1085" s="33">
        <v>1.7000000476837158</v>
      </c>
      <c r="R1085" s="34" t="s">
        <v>1033</v>
      </c>
      <c r="S1085" s="33">
        <v>0</v>
      </c>
      <c r="T1085" s="35">
        <v>177</v>
      </c>
    </row>
    <row r="1086" spans="1:20">
      <c r="A1086" s="31">
        <v>1084</v>
      </c>
      <c r="B1086" s="33" t="s">
        <v>1415</v>
      </c>
      <c r="C1086" s="33">
        <v>100</v>
      </c>
      <c r="D1086" s="33">
        <v>195</v>
      </c>
      <c r="E1086" s="33">
        <v>37.400001525878906</v>
      </c>
      <c r="F1086" s="33">
        <v>43.700000762939453</v>
      </c>
      <c r="G1086" s="33">
        <v>2.5999999046325684</v>
      </c>
      <c r="H1086" s="33">
        <v>0</v>
      </c>
      <c r="I1086" s="33">
        <v>0</v>
      </c>
      <c r="J1086" s="33">
        <v>21</v>
      </c>
      <c r="K1086" s="33">
        <v>9.9999997764825821E-3</v>
      </c>
      <c r="L1086" s="33">
        <v>0.11999999731779099</v>
      </c>
      <c r="M1086" s="33">
        <v>5</v>
      </c>
      <c r="N1086" s="33">
        <v>1.4600000381469727</v>
      </c>
      <c r="O1086" s="33">
        <v>4891.89990234375</v>
      </c>
      <c r="P1086" s="33">
        <v>555</v>
      </c>
      <c r="Q1086" s="33">
        <v>11</v>
      </c>
      <c r="R1086" s="34" t="s">
        <v>1033</v>
      </c>
      <c r="S1086" s="33">
        <v>0</v>
      </c>
      <c r="T1086" s="35">
        <v>525</v>
      </c>
    </row>
    <row r="1087" spans="1:20">
      <c r="A1087" s="31">
        <v>1085</v>
      </c>
      <c r="B1087" s="33" t="s">
        <v>1416</v>
      </c>
      <c r="C1087" s="33">
        <v>100</v>
      </c>
      <c r="D1087" s="33">
        <v>100</v>
      </c>
      <c r="E1087" s="33">
        <v>58.400001525878906</v>
      </c>
      <c r="F1087" s="33">
        <v>15.199999809265137</v>
      </c>
      <c r="G1087" s="33">
        <v>4.3000001907348633</v>
      </c>
      <c r="H1087" s="33">
        <v>0</v>
      </c>
      <c r="I1087" s="33">
        <v>0</v>
      </c>
      <c r="J1087" s="33">
        <v>0</v>
      </c>
      <c r="K1087" s="33">
        <v>0</v>
      </c>
      <c r="L1087" s="33">
        <v>0.28999999165534973</v>
      </c>
      <c r="M1087" s="33">
        <v>3.7999999523162842</v>
      </c>
      <c r="N1087" s="33">
        <v>1.7799999713897705</v>
      </c>
      <c r="O1087" s="33">
        <v>1790</v>
      </c>
      <c r="P1087" s="33">
        <v>667</v>
      </c>
      <c r="Q1087" s="33">
        <v>8.6999998092651367</v>
      </c>
      <c r="R1087" s="34" t="s">
        <v>1033</v>
      </c>
      <c r="S1087" s="33">
        <v>0</v>
      </c>
      <c r="T1087" s="35">
        <v>249</v>
      </c>
    </row>
    <row r="1088" spans="1:20">
      <c r="A1088" s="31">
        <v>1086</v>
      </c>
      <c r="B1088" s="33" t="s">
        <v>1417</v>
      </c>
      <c r="C1088" s="33">
        <v>100</v>
      </c>
      <c r="D1088" s="33">
        <v>153</v>
      </c>
      <c r="E1088" s="33">
        <v>42.400001525878906</v>
      </c>
      <c r="F1088" s="33">
        <v>30.700000762939453</v>
      </c>
      <c r="G1088" s="33">
        <v>2.2000000476837158</v>
      </c>
      <c r="H1088" s="33">
        <v>0</v>
      </c>
      <c r="I1088" s="33">
        <v>2.5</v>
      </c>
      <c r="J1088" s="33">
        <v>19</v>
      </c>
      <c r="K1088" s="33">
        <v>1.9999999552965164E-2</v>
      </c>
      <c r="L1088" s="33">
        <v>0.14000000059604645</v>
      </c>
      <c r="M1088" s="33">
        <v>3.0999999046325684</v>
      </c>
      <c r="N1088" s="33">
        <v>0.92000001668930054</v>
      </c>
      <c r="O1088" s="33">
        <v>5057.7001953125</v>
      </c>
      <c r="P1088" s="33">
        <v>991</v>
      </c>
      <c r="Q1088" s="33">
        <v>6.6999998092651367</v>
      </c>
      <c r="R1088" s="34" t="s">
        <v>1033</v>
      </c>
      <c r="S1088" s="33">
        <v>0</v>
      </c>
      <c r="T1088" s="35">
        <v>428</v>
      </c>
    </row>
    <row r="1089" spans="1:20">
      <c r="A1089" s="31">
        <v>1087</v>
      </c>
      <c r="B1089" s="33" t="s">
        <v>1418</v>
      </c>
      <c r="C1089" s="33">
        <v>55</v>
      </c>
      <c r="D1089" s="33">
        <v>95</v>
      </c>
      <c r="E1089" s="33">
        <v>77.099998474121094</v>
      </c>
      <c r="F1089" s="33">
        <v>13.800000190734863</v>
      </c>
      <c r="G1089" s="33">
        <v>2.2999999523162842</v>
      </c>
      <c r="H1089" s="33">
        <v>0</v>
      </c>
      <c r="I1089" s="33">
        <v>4.6999998092651367</v>
      </c>
      <c r="J1089" s="33">
        <v>30</v>
      </c>
      <c r="K1089" s="33">
        <v>9.9999997764825821E-3</v>
      </c>
      <c r="L1089" s="33">
        <v>0.10000000149011612</v>
      </c>
      <c r="M1089" s="33">
        <v>2.5</v>
      </c>
      <c r="N1089" s="33">
        <v>2.9900000095367432</v>
      </c>
      <c r="O1089" s="33">
        <v>260</v>
      </c>
      <c r="P1089" s="33">
        <v>208</v>
      </c>
      <c r="Q1089" s="33">
        <v>1.6000000238418579</v>
      </c>
      <c r="R1089" s="34" t="s">
        <v>1033</v>
      </c>
      <c r="S1089" s="33">
        <v>0</v>
      </c>
      <c r="T1089" s="35">
        <v>125</v>
      </c>
    </row>
    <row r="1090" spans="1:20">
      <c r="A1090" s="31">
        <v>1088</v>
      </c>
      <c r="B1090" s="33" t="s">
        <v>1419</v>
      </c>
      <c r="C1090" s="33">
        <v>42</v>
      </c>
      <c r="D1090" s="33">
        <v>103</v>
      </c>
      <c r="E1090" s="33">
        <v>75.800003051757813</v>
      </c>
      <c r="F1090" s="33">
        <v>17.5</v>
      </c>
      <c r="G1090" s="33">
        <v>2.5999999046325684</v>
      </c>
      <c r="H1090" s="33">
        <v>0</v>
      </c>
      <c r="I1090" s="33">
        <v>2.2999999523162842</v>
      </c>
      <c r="J1090" s="33">
        <v>389</v>
      </c>
      <c r="K1090" s="33">
        <v>5.9999998658895493E-2</v>
      </c>
      <c r="L1090" s="33">
        <v>0.2800000011920929</v>
      </c>
      <c r="M1090" s="33">
        <v>1.7000000476837158</v>
      </c>
      <c r="N1090" s="33">
        <v>6.0900001525878906</v>
      </c>
      <c r="O1090" s="33">
        <v>193.5</v>
      </c>
      <c r="P1090" s="33">
        <v>126</v>
      </c>
      <c r="Q1090" s="33">
        <v>2.9000000953674316</v>
      </c>
      <c r="R1090" s="34" t="s">
        <v>1033</v>
      </c>
      <c r="S1090" s="33">
        <v>0</v>
      </c>
      <c r="T1090" s="35">
        <v>267</v>
      </c>
    </row>
    <row r="1091" spans="1:20">
      <c r="A1091" s="31">
        <v>1089</v>
      </c>
      <c r="B1091" s="33" t="s">
        <v>1420</v>
      </c>
      <c r="C1091" s="33">
        <v>43</v>
      </c>
      <c r="D1091" s="33">
        <v>80</v>
      </c>
      <c r="E1091" s="33">
        <v>79.800003051757813</v>
      </c>
      <c r="F1091" s="33">
        <v>14.600000381469727</v>
      </c>
      <c r="G1091" s="33">
        <v>1.6000000238418579</v>
      </c>
      <c r="H1091" s="33">
        <v>0</v>
      </c>
      <c r="I1091" s="33">
        <v>1.7000000476837158</v>
      </c>
      <c r="J1091" s="33">
        <v>402</v>
      </c>
      <c r="K1091" s="33">
        <v>1.9999999552965164E-2</v>
      </c>
      <c r="L1091" s="33">
        <v>0.38999998569488525</v>
      </c>
      <c r="M1091" s="33">
        <v>2.2999999523162842</v>
      </c>
      <c r="N1091" s="33">
        <v>2.7899999618530273</v>
      </c>
      <c r="O1091" s="33">
        <v>192.89999389648438</v>
      </c>
      <c r="P1091" s="33">
        <v>228</v>
      </c>
      <c r="Q1091" s="33">
        <v>0.89999997615814209</v>
      </c>
      <c r="R1091" s="34" t="s">
        <v>1033</v>
      </c>
      <c r="S1091" s="33">
        <v>0</v>
      </c>
      <c r="T1091" s="35">
        <v>119</v>
      </c>
    </row>
    <row r="1092" spans="1:20">
      <c r="A1092" s="31">
        <v>1090</v>
      </c>
      <c r="B1092" s="33" t="s">
        <v>1421</v>
      </c>
      <c r="C1092" s="33">
        <v>49</v>
      </c>
      <c r="D1092" s="33">
        <v>95</v>
      </c>
      <c r="E1092" s="33">
        <v>77.5</v>
      </c>
      <c r="F1092" s="33">
        <v>15.899999618530273</v>
      </c>
      <c r="G1092" s="33">
        <v>3.0999999046325684</v>
      </c>
      <c r="H1092" s="33">
        <v>0</v>
      </c>
      <c r="I1092" s="33">
        <v>0.89999997615814209</v>
      </c>
      <c r="J1092" s="33">
        <v>121</v>
      </c>
      <c r="K1092" s="33">
        <v>2.9999999329447746E-2</v>
      </c>
      <c r="L1092" s="33">
        <v>0.30000001192092896</v>
      </c>
      <c r="M1092" s="33">
        <v>1.8999999761581421</v>
      </c>
      <c r="N1092" s="33">
        <v>4.559999942779541</v>
      </c>
      <c r="O1092" s="33">
        <v>481.39999389648438</v>
      </c>
      <c r="P1092" s="33">
        <v>280</v>
      </c>
      <c r="Q1092" s="33">
        <v>2.5</v>
      </c>
      <c r="R1092" s="34" t="s">
        <v>1033</v>
      </c>
      <c r="S1092" s="33">
        <v>0</v>
      </c>
      <c r="T1092" s="35">
        <v>142</v>
      </c>
    </row>
    <row r="1093" spans="1:20">
      <c r="A1093" s="31">
        <v>1091</v>
      </c>
      <c r="B1093" s="33" t="s">
        <v>1422</v>
      </c>
      <c r="C1093" s="33">
        <v>100</v>
      </c>
      <c r="D1093" s="33">
        <v>62</v>
      </c>
      <c r="E1093" s="33">
        <v>84.400001525878906</v>
      </c>
      <c r="F1093" s="33">
        <v>11.600000381469727</v>
      </c>
      <c r="G1093" s="33">
        <v>1.2000000476837158</v>
      </c>
      <c r="H1093" s="33">
        <v>0</v>
      </c>
      <c r="I1093" s="33">
        <v>1.1000000238418579</v>
      </c>
      <c r="J1093" s="33">
        <v>0</v>
      </c>
      <c r="K1093" s="33">
        <v>2.9999999329447746E-2</v>
      </c>
      <c r="L1093" s="33">
        <v>9.0000003576278687E-2</v>
      </c>
      <c r="M1093" s="33">
        <v>4.3000001907348633</v>
      </c>
      <c r="N1093" s="33">
        <v>2.9100000858306885</v>
      </c>
      <c r="O1093" s="33">
        <v>270</v>
      </c>
      <c r="P1093" s="33">
        <v>231</v>
      </c>
      <c r="Q1093" s="33">
        <v>1.7999999523162842</v>
      </c>
      <c r="R1093" s="34" t="s">
        <v>1033</v>
      </c>
      <c r="S1093" s="33">
        <v>0</v>
      </c>
      <c r="T1093" s="35">
        <v>65</v>
      </c>
    </row>
    <row r="1094" spans="1:20">
      <c r="A1094" s="31">
        <v>1092</v>
      </c>
      <c r="B1094" s="33" t="s">
        <v>1423</v>
      </c>
      <c r="C1094" s="33">
        <v>100</v>
      </c>
      <c r="D1094" s="33">
        <v>899</v>
      </c>
      <c r="E1094" s="33">
        <v>0.10000000149011612</v>
      </c>
      <c r="F1094" s="33">
        <v>0</v>
      </c>
      <c r="G1094" s="33">
        <v>99.900001525878906</v>
      </c>
      <c r="H1094" s="33">
        <v>0</v>
      </c>
      <c r="I1094" s="33">
        <v>0</v>
      </c>
      <c r="J1094" s="33">
        <v>0</v>
      </c>
      <c r="K1094" s="33">
        <v>0</v>
      </c>
      <c r="L1094" s="33">
        <v>0</v>
      </c>
      <c r="M1094" s="33">
        <v>0</v>
      </c>
      <c r="N1094" s="33">
        <v>60.889999389648438</v>
      </c>
      <c r="O1094" s="33">
        <v>7</v>
      </c>
      <c r="P1094" s="33">
        <v>9</v>
      </c>
      <c r="Q1094" s="33">
        <v>3.7000000476837158</v>
      </c>
      <c r="R1094" s="34" t="s">
        <v>1424</v>
      </c>
      <c r="S1094" s="33">
        <v>0</v>
      </c>
      <c r="T1094" s="35">
        <v>0</v>
      </c>
    </row>
    <row r="1095" spans="1:20">
      <c r="A1095" s="31">
        <v>1093</v>
      </c>
      <c r="B1095" s="33" t="s">
        <v>1425</v>
      </c>
      <c r="C1095" s="33">
        <v>100</v>
      </c>
      <c r="D1095" s="33">
        <v>899</v>
      </c>
      <c r="E1095" s="33">
        <v>0.10000000149011612</v>
      </c>
      <c r="F1095" s="33">
        <v>0</v>
      </c>
      <c r="G1095" s="33">
        <v>99.900001525878906</v>
      </c>
      <c r="H1095" s="33">
        <v>0</v>
      </c>
      <c r="I1095" s="33">
        <v>0</v>
      </c>
      <c r="J1095" s="33">
        <v>0</v>
      </c>
      <c r="K1095" s="33">
        <v>0</v>
      </c>
      <c r="L1095" s="33">
        <v>0</v>
      </c>
      <c r="M1095" s="33">
        <v>0</v>
      </c>
      <c r="N1095" s="33">
        <v>27.899999618530273</v>
      </c>
      <c r="O1095" s="33">
        <v>0.69999998807907104</v>
      </c>
      <c r="P1095" s="33">
        <v>5</v>
      </c>
      <c r="Q1095" s="33">
        <v>1.1000000238418579</v>
      </c>
      <c r="R1095" s="34" t="s">
        <v>1424</v>
      </c>
      <c r="S1095" s="33">
        <v>0</v>
      </c>
      <c r="T1095" s="35">
        <v>0</v>
      </c>
    </row>
    <row r="1096" spans="1:20">
      <c r="A1096" s="31">
        <v>1094</v>
      </c>
      <c r="B1096" s="33" t="s">
        <v>1426</v>
      </c>
      <c r="C1096" s="33">
        <v>100</v>
      </c>
      <c r="D1096" s="33">
        <v>897</v>
      </c>
      <c r="E1096" s="33">
        <v>0.30000001192092896</v>
      </c>
      <c r="F1096" s="33">
        <v>0</v>
      </c>
      <c r="G1096" s="33">
        <v>99.900001525878906</v>
      </c>
      <c r="H1096" s="33">
        <v>0</v>
      </c>
      <c r="I1096" s="33">
        <v>0</v>
      </c>
      <c r="J1096" s="33">
        <v>0</v>
      </c>
      <c r="K1096" s="33">
        <v>0</v>
      </c>
      <c r="L1096" s="33">
        <v>0</v>
      </c>
      <c r="M1096" s="33">
        <v>0</v>
      </c>
      <c r="N1096" s="33">
        <v>8.5500001907348633</v>
      </c>
      <c r="O1096" s="33">
        <v>1.5</v>
      </c>
      <c r="P1096" s="33">
        <v>15</v>
      </c>
      <c r="Q1096" s="33">
        <v>3.0999999046325684</v>
      </c>
      <c r="R1096" s="34" t="s">
        <v>1424</v>
      </c>
      <c r="S1096" s="33">
        <v>0</v>
      </c>
      <c r="T1096" s="35">
        <v>0</v>
      </c>
    </row>
    <row r="1097" spans="1:20">
      <c r="A1097" s="31">
        <v>1095</v>
      </c>
      <c r="B1097" s="33" t="s">
        <v>1427</v>
      </c>
      <c r="C1097" s="33">
        <v>100</v>
      </c>
      <c r="D1097" s="33">
        <v>899</v>
      </c>
      <c r="E1097" s="33">
        <v>0.10000000149011612</v>
      </c>
      <c r="F1097" s="33">
        <v>0</v>
      </c>
      <c r="G1097" s="33">
        <v>99.900001525878906</v>
      </c>
      <c r="H1097" s="33">
        <v>0</v>
      </c>
      <c r="I1097" s="33">
        <v>0</v>
      </c>
      <c r="J1097" s="33">
        <v>0</v>
      </c>
      <c r="K1097" s="33">
        <v>0</v>
      </c>
      <c r="L1097" s="33">
        <v>0</v>
      </c>
      <c r="M1097" s="33">
        <v>0</v>
      </c>
      <c r="N1097" s="33">
        <v>93.080001831054688</v>
      </c>
      <c r="O1097" s="33">
        <v>4.9000000953674316</v>
      </c>
      <c r="P1097" s="33">
        <v>13</v>
      </c>
      <c r="Q1097" s="33">
        <v>2</v>
      </c>
      <c r="R1097" s="34" t="s">
        <v>1424</v>
      </c>
      <c r="S1097" s="33">
        <v>0</v>
      </c>
      <c r="T1097" s="35">
        <v>0</v>
      </c>
    </row>
    <row r="1098" spans="1:20">
      <c r="A1098" s="31">
        <v>1096</v>
      </c>
      <c r="B1098" s="33" t="s">
        <v>1428</v>
      </c>
      <c r="C1098" s="33">
        <v>100</v>
      </c>
      <c r="D1098" s="33">
        <v>899</v>
      </c>
      <c r="E1098" s="33">
        <v>0.10000000149011612</v>
      </c>
      <c r="F1098" s="33">
        <v>0</v>
      </c>
      <c r="G1098" s="33">
        <v>99.900001525878906</v>
      </c>
      <c r="H1098" s="33">
        <v>0</v>
      </c>
      <c r="I1098" s="33">
        <v>0</v>
      </c>
      <c r="J1098" s="33">
        <v>0</v>
      </c>
      <c r="K1098" s="33">
        <v>0</v>
      </c>
      <c r="L1098" s="33">
        <v>0</v>
      </c>
      <c r="M1098" s="33">
        <v>0</v>
      </c>
      <c r="N1098" s="33">
        <v>42.060001373291016</v>
      </c>
      <c r="O1098" s="33">
        <v>3.5</v>
      </c>
      <c r="P1098" s="33">
        <v>12</v>
      </c>
      <c r="Q1098" s="33">
        <v>2.9000000953674316</v>
      </c>
      <c r="R1098" s="34" t="s">
        <v>1424</v>
      </c>
      <c r="S1098" s="33">
        <v>0</v>
      </c>
      <c r="T1098" s="35">
        <v>0</v>
      </c>
    </row>
    <row r="1099" spans="1:20">
      <c r="A1099" s="31">
        <v>1097</v>
      </c>
      <c r="B1099" s="33" t="s">
        <v>1429</v>
      </c>
      <c r="C1099" s="33">
        <v>100</v>
      </c>
      <c r="D1099" s="33">
        <v>900</v>
      </c>
      <c r="E1099" s="33">
        <v>0</v>
      </c>
      <c r="F1099" s="33">
        <v>0</v>
      </c>
      <c r="G1099" s="33">
        <v>100</v>
      </c>
      <c r="H1099" s="33">
        <v>0</v>
      </c>
      <c r="I1099" s="33">
        <v>0</v>
      </c>
      <c r="J1099" s="33">
        <v>0</v>
      </c>
      <c r="K1099" s="33">
        <v>0</v>
      </c>
      <c r="L1099" s="33">
        <v>0</v>
      </c>
      <c r="M1099" s="33">
        <v>0</v>
      </c>
      <c r="N1099" s="33">
        <v>389.89999389648438</v>
      </c>
      <c r="O1099" s="33">
        <v>0.60000002384185791</v>
      </c>
      <c r="P1099" s="33">
        <v>3</v>
      </c>
      <c r="Q1099" s="33">
        <v>0.20000000298023224</v>
      </c>
      <c r="R1099" s="34" t="s">
        <v>1424</v>
      </c>
      <c r="S1099" s="33">
        <v>0</v>
      </c>
      <c r="T1099" s="35">
        <v>0</v>
      </c>
    </row>
    <row r="1100" spans="1:20">
      <c r="A1100" s="31">
        <v>1098</v>
      </c>
      <c r="B1100" s="33" t="s">
        <v>1430</v>
      </c>
      <c r="C1100" s="33">
        <v>100</v>
      </c>
      <c r="D1100" s="33">
        <v>895</v>
      </c>
      <c r="E1100" s="33">
        <v>0</v>
      </c>
      <c r="F1100" s="33">
        <v>0</v>
      </c>
      <c r="G1100" s="33">
        <v>99.900001525878906</v>
      </c>
      <c r="H1100" s="33">
        <v>0</v>
      </c>
      <c r="I1100" s="33">
        <v>1</v>
      </c>
      <c r="J1100" s="33">
        <v>0</v>
      </c>
      <c r="K1100" s="33">
        <v>0</v>
      </c>
      <c r="L1100" s="33">
        <v>9.0000003576278687E-2</v>
      </c>
      <c r="M1100" s="33">
        <v>0.10000000149011612</v>
      </c>
      <c r="N1100" s="33">
        <v>12.050000190734863</v>
      </c>
      <c r="O1100" s="33">
        <v>10.5</v>
      </c>
      <c r="P1100" s="33">
        <v>75</v>
      </c>
      <c r="Q1100" s="33">
        <v>4.0999999046325684</v>
      </c>
      <c r="R1100" s="34" t="s">
        <v>1424</v>
      </c>
      <c r="S1100" s="33">
        <v>0</v>
      </c>
      <c r="T1100" s="35">
        <v>0</v>
      </c>
    </row>
    <row r="1101" spans="1:20">
      <c r="A1101" s="31">
        <v>1099</v>
      </c>
      <c r="B1101" s="33" t="s">
        <v>1431</v>
      </c>
      <c r="C1101" s="33">
        <v>100</v>
      </c>
      <c r="D1101" s="33">
        <v>899</v>
      </c>
      <c r="E1101" s="33">
        <v>0.10000000149011612</v>
      </c>
      <c r="F1101" s="33">
        <v>0</v>
      </c>
      <c r="G1101" s="33">
        <v>99.900001525878906</v>
      </c>
      <c r="H1101" s="33">
        <v>0</v>
      </c>
      <c r="I1101" s="33">
        <v>0</v>
      </c>
      <c r="J1101" s="33">
        <v>0</v>
      </c>
      <c r="K1101" s="33">
        <v>0</v>
      </c>
      <c r="L1101" s="33">
        <v>0</v>
      </c>
      <c r="M1101" s="33">
        <v>0</v>
      </c>
      <c r="N1101" s="33">
        <v>54.599998474121094</v>
      </c>
      <c r="O1101" s="33">
        <v>2.7999999523162842</v>
      </c>
      <c r="P1101" s="33">
        <v>2</v>
      </c>
      <c r="Q1101" s="33">
        <v>1</v>
      </c>
      <c r="R1101" s="34" t="s">
        <v>1424</v>
      </c>
      <c r="S1101" s="33">
        <v>0</v>
      </c>
      <c r="T1101" s="35">
        <v>0</v>
      </c>
    </row>
    <row r="1102" spans="1:20">
      <c r="A1102" s="31">
        <v>1100</v>
      </c>
      <c r="B1102" s="33" t="s">
        <v>1432</v>
      </c>
      <c r="C1102" s="33">
        <v>100</v>
      </c>
      <c r="D1102" s="33">
        <v>900</v>
      </c>
      <c r="E1102" s="33">
        <v>0</v>
      </c>
      <c r="F1102" s="33">
        <v>0</v>
      </c>
      <c r="G1102" s="33">
        <v>100</v>
      </c>
      <c r="H1102" s="33">
        <v>0</v>
      </c>
      <c r="I1102" s="33">
        <v>0</v>
      </c>
      <c r="J1102" s="33">
        <v>0</v>
      </c>
      <c r="K1102" s="33">
        <v>0</v>
      </c>
      <c r="L1102" s="33">
        <v>0</v>
      </c>
      <c r="M1102" s="33">
        <v>0</v>
      </c>
      <c r="N1102" s="33">
        <v>87.239997863769531</v>
      </c>
      <c r="O1102" s="33">
        <v>0</v>
      </c>
      <c r="P1102" s="33">
        <v>0</v>
      </c>
      <c r="Q1102" s="33">
        <v>0</v>
      </c>
      <c r="R1102" s="34" t="s">
        <v>1424</v>
      </c>
      <c r="S1102" s="33">
        <v>0</v>
      </c>
      <c r="T1102" s="35">
        <v>0</v>
      </c>
    </row>
    <row r="1103" spans="1:20">
      <c r="A1103" s="31">
        <v>1101</v>
      </c>
      <c r="B1103" s="33" t="s">
        <v>1433</v>
      </c>
      <c r="C1103" s="33">
        <v>100</v>
      </c>
      <c r="D1103" s="33">
        <v>899</v>
      </c>
      <c r="E1103" s="33">
        <v>0.10000000149011612</v>
      </c>
      <c r="F1103" s="33">
        <v>0</v>
      </c>
      <c r="G1103" s="33">
        <v>99.800003051757813</v>
      </c>
      <c r="H1103" s="33">
        <v>0</v>
      </c>
      <c r="I1103" s="33">
        <v>0.10000000149011612</v>
      </c>
      <c r="J1103" s="33">
        <v>0</v>
      </c>
      <c r="K1103" s="33">
        <v>0</v>
      </c>
      <c r="L1103" s="33">
        <v>0</v>
      </c>
      <c r="M1103" s="33">
        <v>0</v>
      </c>
      <c r="N1103" s="33">
        <v>86.449996948242188</v>
      </c>
      <c r="O1103" s="33">
        <v>4.5</v>
      </c>
      <c r="P1103" s="33">
        <v>17</v>
      </c>
      <c r="Q1103" s="33">
        <v>2</v>
      </c>
      <c r="R1103" s="34" t="s">
        <v>1424</v>
      </c>
      <c r="S1103" s="33">
        <v>0</v>
      </c>
      <c r="T1103" s="35">
        <v>0</v>
      </c>
    </row>
    <row r="1104" spans="1:20">
      <c r="A1104" s="31">
        <v>1102</v>
      </c>
      <c r="B1104" s="33" t="s">
        <v>1434</v>
      </c>
      <c r="C1104" s="33">
        <v>100</v>
      </c>
      <c r="D1104" s="33">
        <v>898</v>
      </c>
      <c r="E1104" s="33">
        <v>0.20000000298023224</v>
      </c>
      <c r="F1104" s="33">
        <v>0</v>
      </c>
      <c r="G1104" s="33">
        <v>99.699996948242188</v>
      </c>
      <c r="H1104" s="33">
        <v>0</v>
      </c>
      <c r="I1104" s="33">
        <v>0.10000000149011612</v>
      </c>
      <c r="J1104" s="33">
        <v>89</v>
      </c>
      <c r="K1104" s="33">
        <v>0</v>
      </c>
      <c r="L1104" s="33">
        <v>2.9999999329447746E-2</v>
      </c>
      <c r="M1104" s="33">
        <v>0.20000000298023224</v>
      </c>
      <c r="N1104" s="33">
        <v>4.5999999046325684</v>
      </c>
      <c r="O1104" s="33">
        <v>0</v>
      </c>
      <c r="P1104" s="33">
        <v>0</v>
      </c>
      <c r="Q1104" s="33">
        <v>0</v>
      </c>
      <c r="R1104" s="34" t="s">
        <v>1424</v>
      </c>
      <c r="S1104" s="33">
        <v>0</v>
      </c>
      <c r="T1104" s="35">
        <v>135</v>
      </c>
    </row>
    <row r="1105" spans="1:20">
      <c r="A1105" s="31">
        <v>1103</v>
      </c>
      <c r="B1105" s="33" t="s">
        <v>1435</v>
      </c>
      <c r="C1105" s="33">
        <v>100</v>
      </c>
      <c r="D1105" s="33">
        <v>835</v>
      </c>
      <c r="E1105" s="33">
        <v>6.1999998092651367</v>
      </c>
      <c r="F1105" s="33">
        <v>0</v>
      </c>
      <c r="G1105" s="33">
        <v>92</v>
      </c>
      <c r="H1105" s="33">
        <v>0</v>
      </c>
      <c r="I1105" s="33">
        <v>1.7999999523162842</v>
      </c>
      <c r="J1105" s="33">
        <v>54</v>
      </c>
      <c r="K1105" s="33">
        <v>0</v>
      </c>
      <c r="L1105" s="33">
        <v>0</v>
      </c>
      <c r="M1105" s="33">
        <v>0</v>
      </c>
      <c r="N1105" s="33">
        <v>0</v>
      </c>
      <c r="O1105" s="33">
        <v>9.3999996185302734</v>
      </c>
      <c r="P1105" s="33">
        <v>9</v>
      </c>
      <c r="Q1105" s="33">
        <v>3</v>
      </c>
      <c r="R1105" s="34" t="s">
        <v>1424</v>
      </c>
      <c r="S1105" s="33">
        <v>0</v>
      </c>
      <c r="T1105" s="35">
        <v>0</v>
      </c>
    </row>
    <row r="1106" spans="1:20">
      <c r="A1106" s="31">
        <v>1104</v>
      </c>
      <c r="B1106" s="33" t="s">
        <v>1436</v>
      </c>
      <c r="C1106" s="33">
        <v>100</v>
      </c>
      <c r="D1106" s="33">
        <v>898</v>
      </c>
      <c r="E1106" s="33">
        <v>0.20000000298023224</v>
      </c>
      <c r="F1106" s="33">
        <v>0</v>
      </c>
      <c r="G1106" s="33">
        <v>99.800003051757813</v>
      </c>
      <c r="H1106" s="33">
        <v>0</v>
      </c>
      <c r="I1106" s="33">
        <v>0</v>
      </c>
      <c r="J1106" s="33">
        <v>0</v>
      </c>
      <c r="K1106" s="33">
        <v>0</v>
      </c>
      <c r="L1106" s="33">
        <v>0</v>
      </c>
      <c r="M1106" s="33">
        <v>0</v>
      </c>
      <c r="N1106" s="33">
        <v>24.010000228881836</v>
      </c>
      <c r="O1106" s="33">
        <v>5.0999999046325684</v>
      </c>
      <c r="P1106" s="33">
        <v>18</v>
      </c>
      <c r="Q1106" s="33">
        <v>1.7000000476837158</v>
      </c>
      <c r="R1106" s="34" t="s">
        <v>1424</v>
      </c>
      <c r="S1106" s="33">
        <v>0</v>
      </c>
      <c r="T1106" s="35">
        <v>0</v>
      </c>
    </row>
    <row r="1107" spans="1:20">
      <c r="A1107" s="31">
        <v>1105</v>
      </c>
      <c r="B1107" s="33" t="s">
        <v>1437</v>
      </c>
      <c r="C1107" s="33">
        <v>100</v>
      </c>
      <c r="D1107" s="33">
        <v>897</v>
      </c>
      <c r="E1107" s="33">
        <v>0.30000001192092896</v>
      </c>
      <c r="F1107" s="33">
        <v>0</v>
      </c>
      <c r="G1107" s="33">
        <v>99.699996948242188</v>
      </c>
      <c r="H1107" s="33">
        <v>0</v>
      </c>
      <c r="I1107" s="33">
        <v>0</v>
      </c>
      <c r="J1107" s="33">
        <v>71</v>
      </c>
      <c r="K1107" s="33">
        <v>0</v>
      </c>
      <c r="L1107" s="33">
        <v>0</v>
      </c>
      <c r="M1107" s="33">
        <v>0</v>
      </c>
      <c r="N1107" s="33">
        <v>0</v>
      </c>
      <c r="O1107" s="33">
        <v>0</v>
      </c>
      <c r="P1107" s="33">
        <v>0</v>
      </c>
      <c r="Q1107" s="33">
        <v>0</v>
      </c>
      <c r="R1107" s="34" t="s">
        <v>1424</v>
      </c>
      <c r="S1107" s="33">
        <v>0</v>
      </c>
      <c r="T1107" s="35">
        <v>83</v>
      </c>
    </row>
    <row r="1108" spans="1:20">
      <c r="A1108" s="31">
        <v>1106</v>
      </c>
      <c r="B1108" s="33" t="s">
        <v>1438</v>
      </c>
      <c r="C1108" s="33">
        <v>100</v>
      </c>
      <c r="D1108" s="33">
        <v>824</v>
      </c>
      <c r="E1108" s="33">
        <v>4</v>
      </c>
      <c r="F1108" s="33">
        <v>0</v>
      </c>
      <c r="G1108" s="33">
        <v>88</v>
      </c>
      <c r="H1108" s="33">
        <v>0</v>
      </c>
      <c r="I1108" s="33">
        <v>8</v>
      </c>
      <c r="J1108" s="33">
        <v>33</v>
      </c>
      <c r="K1108" s="33">
        <v>0</v>
      </c>
      <c r="L1108" s="33">
        <v>0</v>
      </c>
      <c r="M1108" s="33">
        <v>0</v>
      </c>
      <c r="N1108" s="33">
        <v>1.0800000429153442</v>
      </c>
      <c r="O1108" s="33">
        <v>13.199999809265137</v>
      </c>
      <c r="P1108" s="33">
        <v>0</v>
      </c>
      <c r="Q1108" s="33">
        <v>1</v>
      </c>
      <c r="R1108" s="34" t="s">
        <v>1424</v>
      </c>
      <c r="S1108" s="33">
        <v>0</v>
      </c>
      <c r="T1108" s="35">
        <v>0</v>
      </c>
    </row>
    <row r="1109" spans="1:20">
      <c r="A1109" s="31">
        <v>1107</v>
      </c>
      <c r="B1109" s="33" t="s">
        <v>1439</v>
      </c>
      <c r="C1109" s="33">
        <v>100</v>
      </c>
      <c r="D1109" s="33">
        <v>895</v>
      </c>
      <c r="E1109" s="33">
        <v>0.10000000149011612</v>
      </c>
      <c r="F1109" s="33">
        <v>0</v>
      </c>
      <c r="G1109" s="33">
        <v>99</v>
      </c>
      <c r="H1109" s="33">
        <v>0</v>
      </c>
      <c r="I1109" s="33">
        <v>0.89999997615814209</v>
      </c>
      <c r="J1109" s="33">
        <v>0</v>
      </c>
      <c r="K1109" s="33">
        <v>0</v>
      </c>
      <c r="L1109" s="33">
        <v>0</v>
      </c>
      <c r="M1109" s="33">
        <v>0</v>
      </c>
      <c r="N1109" s="33">
        <v>0</v>
      </c>
      <c r="O1109" s="33">
        <v>0</v>
      </c>
      <c r="P1109" s="33">
        <v>0</v>
      </c>
      <c r="Q1109" s="33">
        <v>0</v>
      </c>
      <c r="R1109" s="34" t="s">
        <v>1424</v>
      </c>
      <c r="S1109" s="33">
        <v>0</v>
      </c>
      <c r="T1109" s="35">
        <v>107</v>
      </c>
    </row>
    <row r="1110" spans="1:20">
      <c r="A1110" s="31">
        <v>1108</v>
      </c>
      <c r="B1110" s="33" t="s">
        <v>1440</v>
      </c>
      <c r="C1110" s="33">
        <v>100</v>
      </c>
      <c r="D1110" s="33">
        <v>895</v>
      </c>
      <c r="E1110" s="33">
        <v>0.20000000298023224</v>
      </c>
      <c r="F1110" s="33">
        <v>0</v>
      </c>
      <c r="G1110" s="33">
        <v>99.199996948242188</v>
      </c>
      <c r="H1110" s="33">
        <v>0</v>
      </c>
      <c r="I1110" s="33">
        <v>0.5</v>
      </c>
      <c r="J1110" s="33">
        <v>0</v>
      </c>
      <c r="K1110" s="33">
        <v>0</v>
      </c>
      <c r="L1110" s="33">
        <v>0</v>
      </c>
      <c r="M1110" s="33">
        <v>0</v>
      </c>
      <c r="N1110" s="33">
        <v>51.939998626708984</v>
      </c>
      <c r="O1110" s="33">
        <v>1.3999999761581421</v>
      </c>
      <c r="P1110" s="33">
        <v>1</v>
      </c>
      <c r="Q1110" s="33">
        <v>1.3999999761581421</v>
      </c>
      <c r="R1110" s="34" t="s">
        <v>1424</v>
      </c>
      <c r="S1110" s="33">
        <v>0</v>
      </c>
      <c r="T1110" s="35">
        <v>0</v>
      </c>
    </row>
    <row r="1111" spans="1:20">
      <c r="A1111" s="31">
        <v>1109</v>
      </c>
      <c r="B1111" s="33" t="s">
        <v>1441</v>
      </c>
      <c r="C1111" s="33">
        <v>100</v>
      </c>
      <c r="D1111" s="33">
        <v>898</v>
      </c>
      <c r="E1111" s="33">
        <v>0.10000000149011612</v>
      </c>
      <c r="F1111" s="33">
        <v>0</v>
      </c>
      <c r="G1111" s="33">
        <v>99.699996948242188</v>
      </c>
      <c r="H1111" s="33">
        <v>0</v>
      </c>
      <c r="I1111" s="33">
        <v>0.20000000298023224</v>
      </c>
      <c r="J1111" s="33">
        <v>0</v>
      </c>
      <c r="K1111" s="33">
        <v>0</v>
      </c>
      <c r="L1111" s="33">
        <v>0</v>
      </c>
      <c r="M1111" s="33">
        <v>0</v>
      </c>
      <c r="N1111" s="33">
        <v>68.529998779296875</v>
      </c>
      <c r="O1111" s="33">
        <v>1.1000000238418579</v>
      </c>
      <c r="P1111" s="33">
        <v>9</v>
      </c>
      <c r="Q1111" s="33">
        <v>2.2000000476837158</v>
      </c>
      <c r="R1111" s="34" t="s">
        <v>1424</v>
      </c>
      <c r="S1111" s="33">
        <v>0</v>
      </c>
      <c r="T1111" s="35">
        <v>0</v>
      </c>
    </row>
    <row r="1112" spans="1:20">
      <c r="A1112" s="31">
        <v>1110</v>
      </c>
      <c r="B1112" s="33" t="s">
        <v>1442</v>
      </c>
      <c r="C1112" s="33">
        <v>100</v>
      </c>
      <c r="D1112" s="33">
        <v>827</v>
      </c>
      <c r="E1112" s="33">
        <v>4</v>
      </c>
      <c r="F1112" s="33">
        <v>0</v>
      </c>
      <c r="G1112" s="33">
        <v>88.699996948242188</v>
      </c>
      <c r="H1112" s="33">
        <v>0</v>
      </c>
      <c r="I1112" s="33">
        <v>7.1999998092651367</v>
      </c>
      <c r="J1112" s="33">
        <v>89</v>
      </c>
      <c r="K1112" s="33">
        <v>0</v>
      </c>
      <c r="L1112" s="33">
        <v>0</v>
      </c>
      <c r="M1112" s="33">
        <v>0</v>
      </c>
      <c r="N1112" s="33">
        <v>21.829999923706055</v>
      </c>
      <c r="O1112" s="33">
        <v>138.5</v>
      </c>
      <c r="P1112" s="33">
        <v>0</v>
      </c>
      <c r="Q1112" s="33">
        <v>2.0999999046325684</v>
      </c>
      <c r="R1112" s="34" t="s">
        <v>1424</v>
      </c>
      <c r="S1112" s="33">
        <v>0</v>
      </c>
      <c r="T1112" s="35">
        <v>0</v>
      </c>
    </row>
    <row r="1113" spans="1:20">
      <c r="A1113" s="31">
        <v>1111</v>
      </c>
      <c r="B1113" s="33" t="s">
        <v>1443</v>
      </c>
      <c r="C1113" s="33">
        <v>100</v>
      </c>
      <c r="D1113" s="33">
        <v>897</v>
      </c>
      <c r="E1113" s="33">
        <v>0.20000000298023224</v>
      </c>
      <c r="F1113" s="33">
        <v>0</v>
      </c>
      <c r="G1113" s="33">
        <v>99.599998474121094</v>
      </c>
      <c r="H1113" s="33">
        <v>0</v>
      </c>
      <c r="I1113" s="33">
        <v>0.20000000298023224</v>
      </c>
      <c r="J1113" s="33">
        <v>27</v>
      </c>
      <c r="K1113" s="33">
        <v>1.9999999552965164E-2</v>
      </c>
      <c r="L1113" s="33">
        <v>2.9999999329447746E-2</v>
      </c>
      <c r="M1113" s="33">
        <v>0</v>
      </c>
      <c r="N1113" s="33">
        <v>5.2100000381469727</v>
      </c>
      <c r="O1113" s="33">
        <v>0</v>
      </c>
      <c r="P1113" s="33">
        <v>0</v>
      </c>
      <c r="Q1113" s="33">
        <v>0</v>
      </c>
      <c r="R1113" s="34" t="s">
        <v>1424</v>
      </c>
      <c r="S1113" s="33">
        <v>0</v>
      </c>
      <c r="T1113" s="35">
        <v>93</v>
      </c>
    </row>
    <row r="1114" spans="1:20">
      <c r="A1114" s="31">
        <v>1112</v>
      </c>
      <c r="B1114" s="33" t="s">
        <v>1444</v>
      </c>
      <c r="C1114" s="33">
        <v>100</v>
      </c>
      <c r="D1114" s="33">
        <v>900</v>
      </c>
      <c r="E1114" s="33">
        <v>0</v>
      </c>
      <c r="F1114" s="33">
        <v>0</v>
      </c>
      <c r="G1114" s="33">
        <v>100</v>
      </c>
      <c r="H1114" s="33">
        <v>0</v>
      </c>
      <c r="I1114" s="33">
        <v>0</v>
      </c>
      <c r="J1114" s="33">
        <v>0</v>
      </c>
      <c r="K1114" s="33">
        <v>0</v>
      </c>
      <c r="L1114" s="33">
        <v>0</v>
      </c>
      <c r="M1114" s="33">
        <v>0</v>
      </c>
      <c r="N1114" s="33">
        <v>15.239999771118164</v>
      </c>
      <c r="O1114" s="33">
        <v>1.2999999523162842</v>
      </c>
      <c r="P1114" s="33">
        <v>0</v>
      </c>
      <c r="Q1114" s="33">
        <v>3.0999999046325684</v>
      </c>
      <c r="R1114" s="34" t="s">
        <v>1424</v>
      </c>
      <c r="S1114" s="33">
        <v>0</v>
      </c>
      <c r="T1114" s="35">
        <v>0</v>
      </c>
    </row>
    <row r="1115" spans="1:20">
      <c r="A1115" s="31">
        <v>1113</v>
      </c>
      <c r="B1115" s="33" t="s">
        <v>1445</v>
      </c>
      <c r="C1115" s="33">
        <v>100</v>
      </c>
      <c r="D1115" s="33">
        <v>190</v>
      </c>
      <c r="E1115" s="33">
        <v>52.099998474121094</v>
      </c>
      <c r="F1115" s="33">
        <v>4.3000001907348633</v>
      </c>
      <c r="G1115" s="33">
        <v>0</v>
      </c>
      <c r="H1115" s="33">
        <v>0.28999999165534973</v>
      </c>
      <c r="I1115" s="33">
        <v>43.099998474121094</v>
      </c>
      <c r="J1115" s="33">
        <v>0</v>
      </c>
      <c r="K1115" s="33">
        <v>1.9999999552965164E-2</v>
      </c>
      <c r="L1115" s="33">
        <v>3.9999999105930328E-2</v>
      </c>
      <c r="M1115" s="33">
        <v>0.60000002384185791</v>
      </c>
      <c r="N1115" s="33">
        <v>0.18999999761581421</v>
      </c>
      <c r="O1115" s="33">
        <v>1.7000000476837158</v>
      </c>
      <c r="P1115" s="33">
        <v>19</v>
      </c>
      <c r="Q1115" s="33">
        <v>0.5</v>
      </c>
      <c r="R1115" s="34" t="s">
        <v>1042</v>
      </c>
      <c r="S1115" s="33">
        <v>0</v>
      </c>
      <c r="T1115" s="35">
        <v>0</v>
      </c>
    </row>
    <row r="1116" spans="1:20">
      <c r="A1116" s="31">
        <v>1114</v>
      </c>
      <c r="B1116" s="33" t="s">
        <v>1446</v>
      </c>
      <c r="C1116" s="33">
        <v>100</v>
      </c>
      <c r="D1116" s="33">
        <v>193</v>
      </c>
      <c r="E1116" s="33">
        <v>61.900001525878906</v>
      </c>
      <c r="F1116" s="33">
        <v>22.399999618530273</v>
      </c>
      <c r="G1116" s="33">
        <v>11</v>
      </c>
      <c r="H1116" s="33">
        <v>0</v>
      </c>
      <c r="I1116" s="33">
        <v>1.2000000476837158</v>
      </c>
      <c r="J1116" s="33">
        <v>13</v>
      </c>
      <c r="K1116" s="33">
        <v>0</v>
      </c>
      <c r="L1116" s="33">
        <v>0.2800000011920929</v>
      </c>
      <c r="M1116" s="33">
        <v>1.3999999761581421</v>
      </c>
      <c r="N1116" s="33">
        <v>0.87000000476837158</v>
      </c>
      <c r="O1116" s="33">
        <v>899.4000244140625</v>
      </c>
      <c r="P1116" s="33">
        <v>41</v>
      </c>
      <c r="Q1116" s="33">
        <v>5.4000000953674316</v>
      </c>
      <c r="R1116" s="34" t="s">
        <v>1042</v>
      </c>
      <c r="S1116" s="33">
        <v>0</v>
      </c>
      <c r="T1116" s="35">
        <v>591</v>
      </c>
    </row>
    <row r="1117" spans="1:20">
      <c r="A1117" s="31">
        <v>1115</v>
      </c>
      <c r="B1117" s="33" t="s">
        <v>1447</v>
      </c>
      <c r="C1117" s="33">
        <v>100</v>
      </c>
      <c r="D1117" s="33">
        <v>362</v>
      </c>
      <c r="E1117" s="33">
        <v>27.399999618530273</v>
      </c>
      <c r="F1117" s="33">
        <v>7.5999999046325684</v>
      </c>
      <c r="G1117" s="33">
        <v>14.899999618530273</v>
      </c>
      <c r="H1117" s="33">
        <v>0</v>
      </c>
      <c r="I1117" s="33">
        <v>49.400001525878906</v>
      </c>
      <c r="J1117" s="33">
        <v>40</v>
      </c>
      <c r="K1117" s="33">
        <v>0.10999999940395355</v>
      </c>
      <c r="L1117" s="33">
        <v>0.15000000596046448</v>
      </c>
      <c r="M1117" s="33">
        <v>0.60000002384185791</v>
      </c>
      <c r="N1117" s="33">
        <v>2.2100000381469727</v>
      </c>
      <c r="O1117" s="33">
        <v>324</v>
      </c>
      <c r="P1117" s="33">
        <v>14</v>
      </c>
      <c r="Q1117" s="33">
        <v>2.2000000476837158</v>
      </c>
      <c r="R1117" s="34" t="s">
        <v>1042</v>
      </c>
      <c r="S1117" s="33">
        <v>0</v>
      </c>
      <c r="T1117" s="35">
        <v>49</v>
      </c>
    </row>
    <row r="1118" spans="1:20">
      <c r="A1118" s="31">
        <v>1116</v>
      </c>
      <c r="B1118" s="33" t="s">
        <v>1448</v>
      </c>
      <c r="C1118" s="33">
        <v>100</v>
      </c>
      <c r="D1118" s="33">
        <v>572</v>
      </c>
      <c r="E1118" s="33">
        <v>5.5</v>
      </c>
      <c r="F1118" s="33">
        <v>10.800000190734863</v>
      </c>
      <c r="G1118" s="33">
        <v>39.700000762939453</v>
      </c>
      <c r="H1118" s="33">
        <v>0.30000001192092896</v>
      </c>
      <c r="I1118" s="33">
        <v>42.900001525878906</v>
      </c>
      <c r="J1118" s="33">
        <v>0</v>
      </c>
      <c r="K1118" s="33">
        <v>7.9999998211860657E-2</v>
      </c>
      <c r="L1118" s="33">
        <v>3.9999999105930328E-2</v>
      </c>
      <c r="M1118" s="33">
        <v>1.6000000238418579</v>
      </c>
      <c r="N1118" s="33">
        <v>4.2699999809265137</v>
      </c>
      <c r="O1118" s="33">
        <v>113.5</v>
      </c>
      <c r="P1118" s="33">
        <v>0</v>
      </c>
      <c r="Q1118" s="33">
        <v>1.8999999761581421</v>
      </c>
      <c r="R1118" s="34" t="s">
        <v>1042</v>
      </c>
      <c r="S1118" s="33">
        <v>0</v>
      </c>
      <c r="T1118" s="35">
        <v>81</v>
      </c>
    </row>
    <row r="1119" spans="1:20">
      <c r="A1119" s="31">
        <v>1117</v>
      </c>
      <c r="B1119" s="33" t="s">
        <v>1449</v>
      </c>
      <c r="C1119" s="33">
        <v>100</v>
      </c>
      <c r="D1119" s="33">
        <v>429</v>
      </c>
      <c r="E1119" s="33">
        <v>6.5</v>
      </c>
      <c r="F1119" s="33">
        <v>8.5</v>
      </c>
      <c r="G1119" s="33">
        <v>13.100000381469727</v>
      </c>
      <c r="H1119" s="33">
        <v>1</v>
      </c>
      <c r="I1119" s="33">
        <v>69.199996948242188</v>
      </c>
      <c r="J1119" s="33">
        <v>95</v>
      </c>
      <c r="K1119" s="33">
        <v>9.0000003576278687E-2</v>
      </c>
      <c r="L1119" s="33">
        <v>1.9999999552965164E-2</v>
      </c>
      <c r="M1119" s="33">
        <v>3.5999999046325684</v>
      </c>
      <c r="N1119" s="33">
        <v>7.2300000190734863</v>
      </c>
      <c r="O1119" s="33">
        <v>196.39999389648438</v>
      </c>
      <c r="P1119" s="33">
        <v>49</v>
      </c>
      <c r="Q1119" s="33">
        <v>2.0999999046325684</v>
      </c>
      <c r="R1119" s="34" t="s">
        <v>1042</v>
      </c>
      <c r="S1119" s="33">
        <v>0</v>
      </c>
      <c r="T1119" s="35">
        <v>81</v>
      </c>
    </row>
    <row r="1120" spans="1:20">
      <c r="A1120" s="31">
        <v>1118</v>
      </c>
      <c r="B1120" s="33" t="s">
        <v>1450</v>
      </c>
      <c r="C1120" s="33">
        <v>100</v>
      </c>
      <c r="D1120" s="33">
        <v>433</v>
      </c>
      <c r="E1120" s="33">
        <v>5.6999998092651367</v>
      </c>
      <c r="F1120" s="33">
        <v>9</v>
      </c>
      <c r="G1120" s="33">
        <v>12.699999809265137</v>
      </c>
      <c r="H1120" s="33">
        <v>1.1000000238418579</v>
      </c>
      <c r="I1120" s="33">
        <v>70.599998474121094</v>
      </c>
      <c r="J1120" s="33">
        <v>37</v>
      </c>
      <c r="K1120" s="33">
        <v>7.9999998211860657E-2</v>
      </c>
      <c r="L1120" s="33">
        <v>3.9999999105930328E-2</v>
      </c>
      <c r="M1120" s="33">
        <v>4.6999998092651367</v>
      </c>
      <c r="N1120" s="33">
        <v>4.570000171661377</v>
      </c>
      <c r="O1120" s="33">
        <v>204.10000610351563</v>
      </c>
      <c r="P1120" s="33">
        <v>73</v>
      </c>
      <c r="Q1120" s="33">
        <v>1.8999999761581421</v>
      </c>
      <c r="R1120" s="34" t="s">
        <v>1042</v>
      </c>
      <c r="S1120" s="33">
        <v>0</v>
      </c>
      <c r="T1120" s="35">
        <v>81</v>
      </c>
    </row>
    <row r="1121" spans="1:20">
      <c r="A1121" s="31">
        <v>1119</v>
      </c>
      <c r="B1121" s="33" t="s">
        <v>1451</v>
      </c>
      <c r="C1121" s="33">
        <v>100</v>
      </c>
      <c r="D1121" s="33">
        <v>452</v>
      </c>
      <c r="E1121" s="33">
        <v>4.0999999046325684</v>
      </c>
      <c r="F1121" s="33">
        <v>11.800000190734863</v>
      </c>
      <c r="G1121" s="33">
        <v>14.699999809265137</v>
      </c>
      <c r="H1121" s="33">
        <v>0.40000000596046448</v>
      </c>
      <c r="I1121" s="33">
        <v>68</v>
      </c>
      <c r="J1121" s="33">
        <v>0</v>
      </c>
      <c r="K1121" s="33">
        <v>0</v>
      </c>
      <c r="L1121" s="33">
        <v>0</v>
      </c>
      <c r="M1121" s="33">
        <v>0</v>
      </c>
      <c r="N1121" s="33">
        <v>0</v>
      </c>
      <c r="O1121" s="33">
        <v>177.39999389648438</v>
      </c>
      <c r="P1121" s="33">
        <v>76</v>
      </c>
      <c r="Q1121" s="33">
        <v>9.6000003814697266</v>
      </c>
      <c r="R1121" s="34" t="s">
        <v>1042</v>
      </c>
      <c r="S1121" s="33">
        <v>0</v>
      </c>
      <c r="T1121" s="35">
        <v>81</v>
      </c>
    </row>
    <row r="1122" spans="1:20">
      <c r="A1122" s="31">
        <v>1120</v>
      </c>
      <c r="B1122" s="33" t="s">
        <v>1452</v>
      </c>
      <c r="C1122" s="33">
        <v>100</v>
      </c>
      <c r="D1122" s="33">
        <v>448</v>
      </c>
      <c r="E1122" s="33">
        <v>5.5999999046325684</v>
      </c>
      <c r="F1122" s="33">
        <v>11</v>
      </c>
      <c r="G1122" s="33">
        <v>16.200000762939453</v>
      </c>
      <c r="H1122" s="33">
        <v>1.5</v>
      </c>
      <c r="I1122" s="33">
        <v>64.5</v>
      </c>
      <c r="J1122" s="33">
        <v>77</v>
      </c>
      <c r="K1122" s="33">
        <v>0.12999999523162842</v>
      </c>
      <c r="L1122" s="33">
        <v>5.000000074505806E-2</v>
      </c>
      <c r="M1122" s="33">
        <v>5.5</v>
      </c>
      <c r="N1122" s="33">
        <v>6.75</v>
      </c>
      <c r="O1122" s="33">
        <v>104.69999694824219</v>
      </c>
      <c r="P1122" s="33">
        <v>111</v>
      </c>
      <c r="Q1122" s="33">
        <v>3.7000000476837158</v>
      </c>
      <c r="R1122" s="34" t="s">
        <v>1042</v>
      </c>
      <c r="S1122" s="33">
        <v>0</v>
      </c>
      <c r="T1122" s="35">
        <v>81</v>
      </c>
    </row>
    <row r="1123" spans="1:20">
      <c r="A1123" s="31">
        <v>1121</v>
      </c>
      <c r="B1123" s="33" t="s">
        <v>1453</v>
      </c>
      <c r="C1123" s="33">
        <v>100</v>
      </c>
      <c r="D1123" s="33">
        <v>444</v>
      </c>
      <c r="E1123" s="33">
        <v>3.2999999523162842</v>
      </c>
      <c r="F1123" s="33">
        <v>11</v>
      </c>
      <c r="G1123" s="33">
        <v>13.300000190734863</v>
      </c>
      <c r="H1123" s="33">
        <v>1.1000000238418579</v>
      </c>
      <c r="I1123" s="33">
        <v>70.099998474121094</v>
      </c>
      <c r="J1123" s="33">
        <v>13</v>
      </c>
      <c r="K1123" s="33">
        <v>7.9999998211860657E-2</v>
      </c>
      <c r="L1123" s="33">
        <v>3.9999999105930328E-2</v>
      </c>
      <c r="M1123" s="33">
        <v>1.7000000476837158</v>
      </c>
      <c r="N1123" s="33">
        <v>8.4799995422363281</v>
      </c>
      <c r="O1123" s="33">
        <v>231.10000610351563</v>
      </c>
      <c r="P1123" s="33">
        <v>144</v>
      </c>
      <c r="Q1123" s="33">
        <v>2.2000000476837158</v>
      </c>
      <c r="R1123" s="34" t="s">
        <v>1042</v>
      </c>
      <c r="S1123" s="33">
        <v>0</v>
      </c>
      <c r="T1123" s="35">
        <v>81</v>
      </c>
    </row>
    <row r="1124" spans="1:20">
      <c r="A1124" s="31">
        <v>1122</v>
      </c>
      <c r="B1124" s="33" t="s">
        <v>1454</v>
      </c>
      <c r="C1124" s="33">
        <v>100</v>
      </c>
      <c r="D1124" s="33">
        <v>546</v>
      </c>
      <c r="E1124" s="33">
        <v>1.8999999761581421</v>
      </c>
      <c r="F1124" s="33">
        <v>6.5</v>
      </c>
      <c r="G1124" s="33">
        <v>31.600000381469727</v>
      </c>
      <c r="H1124" s="33">
        <v>0.20000000298023224</v>
      </c>
      <c r="I1124" s="33">
        <v>58.900001525878906</v>
      </c>
      <c r="J1124" s="33">
        <v>0</v>
      </c>
      <c r="K1124" s="33">
        <v>5.9999998658895493E-2</v>
      </c>
      <c r="L1124" s="33">
        <v>5.9999998658895493E-2</v>
      </c>
      <c r="M1124" s="33">
        <v>1.2999999523162842</v>
      </c>
      <c r="N1124" s="33">
        <v>6.0399999618530273</v>
      </c>
      <c r="O1124" s="33">
        <v>174.60000610351563</v>
      </c>
      <c r="P1124" s="33">
        <v>45</v>
      </c>
      <c r="Q1124" s="33">
        <v>1.8999999761581421</v>
      </c>
      <c r="R1124" s="34" t="s">
        <v>1042</v>
      </c>
      <c r="S1124" s="33">
        <v>0</v>
      </c>
      <c r="T1124" s="35">
        <v>81</v>
      </c>
    </row>
    <row r="1125" spans="1:20">
      <c r="A1125" s="31">
        <v>1123</v>
      </c>
      <c r="B1125" s="33" t="s">
        <v>1455</v>
      </c>
      <c r="C1125" s="33">
        <v>100</v>
      </c>
      <c r="D1125" s="33">
        <v>457</v>
      </c>
      <c r="E1125" s="33">
        <v>5.4000000953674316</v>
      </c>
      <c r="F1125" s="33">
        <v>7.9000000953674316</v>
      </c>
      <c r="G1125" s="33">
        <v>17.799999237060547</v>
      </c>
      <c r="H1125" s="33">
        <v>1.2000000476837158</v>
      </c>
      <c r="I1125" s="33">
        <v>66.400001525878906</v>
      </c>
      <c r="J1125" s="33">
        <v>0</v>
      </c>
      <c r="K1125" s="33">
        <v>0.10999999940395355</v>
      </c>
      <c r="L1125" s="33">
        <v>2.9999999329447746E-2</v>
      </c>
      <c r="M1125" s="33">
        <v>5.0999999046325684</v>
      </c>
      <c r="N1125" s="33">
        <v>0.62999999523162842</v>
      </c>
      <c r="O1125" s="33">
        <v>320.10000610351563</v>
      </c>
      <c r="P1125" s="33">
        <v>149</v>
      </c>
      <c r="Q1125" s="33">
        <v>3.9000000953674316</v>
      </c>
      <c r="R1125" s="34" t="s">
        <v>1042</v>
      </c>
      <c r="S1125" s="33">
        <v>0</v>
      </c>
      <c r="T1125" s="35">
        <v>81</v>
      </c>
    </row>
    <row r="1126" spans="1:20">
      <c r="A1126" s="31">
        <v>1124</v>
      </c>
      <c r="B1126" s="33" t="s">
        <v>1456</v>
      </c>
      <c r="C1126" s="33">
        <v>100</v>
      </c>
      <c r="D1126" s="33">
        <v>446</v>
      </c>
      <c r="E1126" s="33">
        <v>3.9000000953674316</v>
      </c>
      <c r="F1126" s="33">
        <v>10.800000190734863</v>
      </c>
      <c r="G1126" s="33">
        <v>12.899999618530273</v>
      </c>
      <c r="H1126" s="33">
        <v>0.30000001192092896</v>
      </c>
      <c r="I1126" s="33">
        <v>71.800003051757813</v>
      </c>
      <c r="J1126" s="33">
        <v>0</v>
      </c>
      <c r="K1126" s="33">
        <v>0</v>
      </c>
      <c r="L1126" s="33">
        <v>0</v>
      </c>
      <c r="M1126" s="33">
        <v>0</v>
      </c>
      <c r="N1126" s="33">
        <v>0</v>
      </c>
      <c r="O1126" s="33">
        <v>107.40000152587891</v>
      </c>
      <c r="P1126" s="33">
        <v>136</v>
      </c>
      <c r="Q1126" s="33">
        <v>5.4000000953674316</v>
      </c>
      <c r="R1126" s="34" t="s">
        <v>1042</v>
      </c>
      <c r="S1126" s="33">
        <v>0</v>
      </c>
      <c r="T1126" s="35">
        <v>81</v>
      </c>
    </row>
    <row r="1127" spans="1:20">
      <c r="A1127" s="31">
        <v>1125</v>
      </c>
      <c r="B1127" s="33" t="s">
        <v>1457</v>
      </c>
      <c r="C1127" s="33">
        <v>100</v>
      </c>
      <c r="D1127" s="33">
        <v>444</v>
      </c>
      <c r="E1127" s="33">
        <v>3.2999999523162842</v>
      </c>
      <c r="F1127" s="33">
        <v>8.3999996185302734</v>
      </c>
      <c r="G1127" s="33">
        <v>13.199999809265137</v>
      </c>
      <c r="H1127" s="33">
        <v>0.89999997615814209</v>
      </c>
      <c r="I1127" s="33">
        <v>73</v>
      </c>
      <c r="J1127" s="33">
        <v>0</v>
      </c>
      <c r="K1127" s="33">
        <v>5.9999998658895493E-2</v>
      </c>
      <c r="L1127" s="33">
        <v>2.9999999329447746E-2</v>
      </c>
      <c r="M1127" s="33">
        <v>1.1000000238418579</v>
      </c>
      <c r="N1127" s="33">
        <v>1.6699999570846558</v>
      </c>
      <c r="O1127" s="33">
        <v>112.19999694824219</v>
      </c>
      <c r="P1127" s="33">
        <v>115</v>
      </c>
      <c r="Q1127" s="33">
        <v>3.5</v>
      </c>
      <c r="R1127" s="34" t="s">
        <v>1042</v>
      </c>
      <c r="S1127" s="33">
        <v>0</v>
      </c>
      <c r="T1127" s="35">
        <v>81</v>
      </c>
    </row>
    <row r="1128" spans="1:20">
      <c r="A1128" s="31">
        <v>1126</v>
      </c>
      <c r="B1128" s="33" t="s">
        <v>1458</v>
      </c>
      <c r="C1128" s="33">
        <v>100</v>
      </c>
      <c r="D1128" s="33">
        <v>408</v>
      </c>
      <c r="E1128" s="33">
        <v>5.6999998092651367</v>
      </c>
      <c r="F1128" s="33">
        <v>8.3999996185302734</v>
      </c>
      <c r="G1128" s="33">
        <v>7.6999998092651367</v>
      </c>
      <c r="H1128" s="33">
        <v>0</v>
      </c>
      <c r="I1128" s="33">
        <v>76.199996948242188</v>
      </c>
      <c r="J1128" s="33">
        <v>0</v>
      </c>
      <c r="K1128" s="33">
        <v>2.9999999329447746E-2</v>
      </c>
      <c r="L1128" s="33">
        <v>9.9999997764825821E-3</v>
      </c>
      <c r="M1128" s="33">
        <v>0.40000000596046448</v>
      </c>
      <c r="N1128" s="33">
        <v>1.0099999904632568</v>
      </c>
      <c r="O1128" s="33">
        <v>12.199999809265137</v>
      </c>
      <c r="P1128" s="33">
        <v>0</v>
      </c>
      <c r="Q1128" s="33">
        <v>1.6000000238418579</v>
      </c>
      <c r="R1128" s="34" t="s">
        <v>1042</v>
      </c>
      <c r="S1128" s="33">
        <v>0</v>
      </c>
      <c r="T1128" s="35">
        <v>81</v>
      </c>
    </row>
    <row r="1129" spans="1:20">
      <c r="A1129" s="31">
        <v>1127</v>
      </c>
      <c r="B1129" s="33" t="s">
        <v>1459</v>
      </c>
      <c r="C1129" s="33">
        <v>100</v>
      </c>
      <c r="D1129" s="33">
        <v>528</v>
      </c>
      <c r="E1129" s="33">
        <v>10.300000190734863</v>
      </c>
      <c r="F1129" s="33">
        <v>5.4000000953674316</v>
      </c>
      <c r="G1129" s="33">
        <v>35.200000762939453</v>
      </c>
      <c r="H1129" s="33">
        <v>0.5</v>
      </c>
      <c r="I1129" s="33">
        <v>47.5</v>
      </c>
      <c r="J1129" s="33">
        <v>0</v>
      </c>
      <c r="K1129" s="33">
        <v>0.15000000596046448</v>
      </c>
      <c r="L1129" s="33">
        <v>0.2199999988079071</v>
      </c>
      <c r="M1129" s="33">
        <v>1.3999999761581421</v>
      </c>
      <c r="N1129" s="33">
        <v>0.70999997854232788</v>
      </c>
      <c r="O1129" s="33">
        <v>281.79998779296875</v>
      </c>
      <c r="P1129" s="33">
        <v>58</v>
      </c>
      <c r="Q1129" s="33">
        <v>2.4000000953674316</v>
      </c>
      <c r="R1129" s="34" t="s">
        <v>1042</v>
      </c>
      <c r="S1129" s="33">
        <v>0</v>
      </c>
      <c r="T1129" s="35">
        <v>81</v>
      </c>
    </row>
    <row r="1130" spans="1:20">
      <c r="A1130" s="31">
        <v>1128</v>
      </c>
      <c r="B1130" s="33" t="s">
        <v>1460</v>
      </c>
      <c r="C1130" s="33">
        <v>100</v>
      </c>
      <c r="D1130" s="33">
        <v>391</v>
      </c>
      <c r="E1130" s="33">
        <v>2.2000000476837158</v>
      </c>
      <c r="F1130" s="33">
        <v>0.20000000298023224</v>
      </c>
      <c r="G1130" s="33">
        <v>0</v>
      </c>
      <c r="H1130" s="33">
        <v>0</v>
      </c>
      <c r="I1130" s="33">
        <v>97.5</v>
      </c>
      <c r="J1130" s="33">
        <v>0</v>
      </c>
      <c r="K1130" s="33">
        <v>7.0000000298023224E-2</v>
      </c>
      <c r="L1130" s="33">
        <v>5.000000074505806E-2</v>
      </c>
      <c r="M1130" s="33">
        <v>0.80000001192092896</v>
      </c>
      <c r="N1130" s="33">
        <v>0</v>
      </c>
      <c r="O1130" s="33">
        <v>10.699999809265137</v>
      </c>
      <c r="P1130" s="33">
        <v>54</v>
      </c>
      <c r="Q1130" s="33">
        <v>0.20000000298023224</v>
      </c>
      <c r="R1130" s="34" t="s">
        <v>1131</v>
      </c>
      <c r="S1130" s="33">
        <v>63</v>
      </c>
      <c r="T1130" s="35">
        <v>0</v>
      </c>
    </row>
    <row r="1131" spans="1:20">
      <c r="A1131" s="31">
        <v>1129</v>
      </c>
      <c r="B1131" s="33" t="s">
        <v>1461</v>
      </c>
      <c r="C1131" s="33">
        <v>100</v>
      </c>
      <c r="D1131" s="33">
        <v>119</v>
      </c>
      <c r="E1131" s="33">
        <v>70.099998474121094</v>
      </c>
      <c r="F1131" s="33">
        <v>0</v>
      </c>
      <c r="G1131" s="33">
        <v>0.10000000149011612</v>
      </c>
      <c r="H1131" s="33">
        <v>0</v>
      </c>
      <c r="I1131" s="33">
        <v>29.600000381469727</v>
      </c>
      <c r="J1131" s="33">
        <v>2</v>
      </c>
      <c r="K1131" s="33">
        <v>0</v>
      </c>
      <c r="L1131" s="33">
        <v>0</v>
      </c>
      <c r="M1131" s="33">
        <v>0</v>
      </c>
      <c r="N1131" s="33">
        <v>0</v>
      </c>
      <c r="O1131" s="33">
        <v>18.600000381469727</v>
      </c>
      <c r="P1131" s="33">
        <v>4</v>
      </c>
      <c r="Q1131" s="33">
        <v>0.10000000149011612</v>
      </c>
      <c r="R1131" s="34" t="s">
        <v>1131</v>
      </c>
      <c r="S1131" s="33">
        <v>2</v>
      </c>
      <c r="T1131" s="35">
        <v>0</v>
      </c>
    </row>
    <row r="1132" spans="1:20">
      <c r="A1132" s="31">
        <v>1130</v>
      </c>
      <c r="B1132" s="33" t="s">
        <v>1462</v>
      </c>
      <c r="C1132" s="33">
        <v>100</v>
      </c>
      <c r="D1132" s="33">
        <v>320</v>
      </c>
      <c r="E1132" s="33">
        <v>7.5</v>
      </c>
      <c r="F1132" s="33">
        <v>24.600000381469727</v>
      </c>
      <c r="G1132" s="33">
        <v>8.3999996185302734</v>
      </c>
      <c r="H1132" s="33">
        <v>14.300000190734863</v>
      </c>
      <c r="I1132" s="33">
        <v>36.5</v>
      </c>
      <c r="J1132" s="33">
        <v>22</v>
      </c>
      <c r="K1132" s="33">
        <v>5.000000074505806E-2</v>
      </c>
      <c r="L1132" s="33">
        <v>0.15999999642372131</v>
      </c>
      <c r="M1132" s="33">
        <v>1.3999999761581421</v>
      </c>
      <c r="N1132" s="33">
        <v>6.3299999237060547</v>
      </c>
      <c r="O1132" s="33">
        <v>23</v>
      </c>
      <c r="P1132" s="33">
        <v>74</v>
      </c>
      <c r="Q1132" s="33">
        <v>1</v>
      </c>
      <c r="R1132" s="34" t="s">
        <v>1131</v>
      </c>
      <c r="S1132" s="33">
        <v>0</v>
      </c>
      <c r="T1132" s="35">
        <v>0</v>
      </c>
    </row>
    <row r="1133" spans="1:20">
      <c r="A1133" s="31">
        <v>1131</v>
      </c>
      <c r="B1133" s="33" t="s">
        <v>1463</v>
      </c>
      <c r="C1133" s="33">
        <v>100</v>
      </c>
      <c r="D1133" s="33">
        <v>429</v>
      </c>
      <c r="E1133" s="33">
        <v>2</v>
      </c>
      <c r="F1133" s="33">
        <v>8.5</v>
      </c>
      <c r="G1133" s="33">
        <v>9.6999998092651367</v>
      </c>
      <c r="H1133" s="33">
        <v>0</v>
      </c>
      <c r="I1133" s="33">
        <v>77</v>
      </c>
      <c r="J1133" s="33">
        <v>113</v>
      </c>
      <c r="K1133" s="33">
        <v>5.000000074505806E-2</v>
      </c>
      <c r="L1133" s="33">
        <v>0.30000001192092896</v>
      </c>
      <c r="M1133" s="33">
        <v>0.69999998807907104</v>
      </c>
      <c r="N1133" s="33">
        <v>0.43999999761581421</v>
      </c>
      <c r="O1133" s="33">
        <v>177.80000305175781</v>
      </c>
      <c r="P1133" s="33">
        <v>145</v>
      </c>
      <c r="Q1133" s="33">
        <v>4.0999999046325684</v>
      </c>
      <c r="R1133" s="34" t="s">
        <v>1131</v>
      </c>
      <c r="S1133" s="33">
        <v>0</v>
      </c>
      <c r="T1133" s="35">
        <v>0</v>
      </c>
    </row>
    <row r="1134" spans="1:20">
      <c r="A1134" s="31">
        <v>1132</v>
      </c>
      <c r="B1134" s="33" t="s">
        <v>1464</v>
      </c>
      <c r="C1134" s="33">
        <v>100</v>
      </c>
      <c r="D1134" s="33">
        <v>390</v>
      </c>
      <c r="E1134" s="33">
        <v>2.2000000476837158</v>
      </c>
      <c r="F1134" s="33">
        <v>0.40000000596046448</v>
      </c>
      <c r="G1134" s="33">
        <v>0</v>
      </c>
      <c r="H1134" s="33">
        <v>0</v>
      </c>
      <c r="I1134" s="33">
        <v>97.099998474121094</v>
      </c>
      <c r="J1134" s="33">
        <v>0</v>
      </c>
      <c r="K1134" s="33">
        <v>9.0000003576278687E-2</v>
      </c>
      <c r="L1134" s="33">
        <v>0.10999999940395355</v>
      </c>
      <c r="M1134" s="33">
        <v>0.5</v>
      </c>
      <c r="N1134" s="33">
        <v>0</v>
      </c>
      <c r="O1134" s="33">
        <v>2.2000000476837158</v>
      </c>
      <c r="P1134" s="33">
        <v>28</v>
      </c>
      <c r="Q1134" s="33">
        <v>1.6000000238418579</v>
      </c>
      <c r="R1134" s="34" t="s">
        <v>1131</v>
      </c>
      <c r="S1134" s="33">
        <v>0</v>
      </c>
      <c r="T1134" s="35">
        <v>0</v>
      </c>
    </row>
    <row r="1135" spans="1:20">
      <c r="A1135" s="31">
        <v>1133</v>
      </c>
      <c r="B1135" s="33" t="s">
        <v>1465</v>
      </c>
      <c r="C1135" s="33">
        <v>100</v>
      </c>
      <c r="D1135" s="33">
        <v>39</v>
      </c>
      <c r="E1135" s="33">
        <v>90.400001525878906</v>
      </c>
      <c r="F1135" s="33">
        <v>2.9000000953674316</v>
      </c>
      <c r="G1135" s="33">
        <v>0.5</v>
      </c>
      <c r="H1135" s="33">
        <v>0</v>
      </c>
      <c r="I1135" s="33">
        <v>5.9000000953674316</v>
      </c>
      <c r="J1135" s="33">
        <v>0</v>
      </c>
      <c r="K1135" s="33">
        <v>9.9999997764825821E-3</v>
      </c>
      <c r="L1135" s="33">
        <v>2.9999999329447746E-2</v>
      </c>
      <c r="M1135" s="33">
        <v>0.20000000298023224</v>
      </c>
      <c r="N1135" s="33">
        <v>6</v>
      </c>
      <c r="O1135" s="33">
        <v>25.399999618530273</v>
      </c>
      <c r="P1135" s="33">
        <v>17</v>
      </c>
      <c r="Q1135" s="33">
        <v>0.40000000596046448</v>
      </c>
      <c r="R1135" s="34" t="s">
        <v>1131</v>
      </c>
      <c r="S1135" s="33">
        <v>0</v>
      </c>
      <c r="T1135" s="35">
        <v>0</v>
      </c>
    </row>
    <row r="1136" spans="1:20">
      <c r="A1136" s="31">
        <v>1134</v>
      </c>
      <c r="B1136" s="33" t="s">
        <v>1466</v>
      </c>
      <c r="C1136" s="33">
        <v>100</v>
      </c>
      <c r="D1136" s="33">
        <v>20</v>
      </c>
      <c r="E1136" s="33">
        <v>94.900001525878906</v>
      </c>
      <c r="F1136" s="33">
        <v>0</v>
      </c>
      <c r="G1136" s="33">
        <v>0</v>
      </c>
      <c r="H1136" s="33">
        <v>0</v>
      </c>
      <c r="I1136" s="33">
        <v>0</v>
      </c>
      <c r="J1136" s="33">
        <v>10</v>
      </c>
      <c r="K1136" s="33">
        <v>0</v>
      </c>
      <c r="L1136" s="33">
        <v>1.9999999552965164E-2</v>
      </c>
      <c r="M1136" s="33">
        <v>0</v>
      </c>
      <c r="N1136" s="33">
        <v>0</v>
      </c>
      <c r="O1136" s="33">
        <v>8.1000003814697266</v>
      </c>
      <c r="P1136" s="33">
        <v>10</v>
      </c>
      <c r="Q1136" s="33">
        <v>0.10000000149011612</v>
      </c>
      <c r="R1136" s="34" t="s">
        <v>1131</v>
      </c>
      <c r="S1136" s="33">
        <v>0</v>
      </c>
      <c r="T1136" s="35">
        <v>0</v>
      </c>
    </row>
    <row r="1137" spans="1:20">
      <c r="A1137" s="31">
        <v>1135</v>
      </c>
      <c r="B1137" s="33" t="s">
        <v>1467</v>
      </c>
      <c r="C1137" s="33">
        <v>100</v>
      </c>
      <c r="D1137" s="33">
        <v>38</v>
      </c>
      <c r="E1137" s="33">
        <v>90.5</v>
      </c>
      <c r="F1137" s="33">
        <v>0</v>
      </c>
      <c r="G1137" s="33">
        <v>0</v>
      </c>
      <c r="H1137" s="33">
        <v>0</v>
      </c>
      <c r="I1137" s="33">
        <v>9.5</v>
      </c>
      <c r="J1137" s="33">
        <v>0</v>
      </c>
      <c r="K1137" s="33">
        <v>0</v>
      </c>
      <c r="L1137" s="33">
        <v>0</v>
      </c>
      <c r="M1137" s="33">
        <v>0</v>
      </c>
      <c r="N1137" s="33">
        <v>0</v>
      </c>
      <c r="O1137" s="33">
        <v>3.2999999523162842</v>
      </c>
      <c r="P1137" s="33">
        <v>9</v>
      </c>
      <c r="Q1137" s="33">
        <v>0</v>
      </c>
      <c r="R1137" s="34" t="s">
        <v>1131</v>
      </c>
      <c r="S1137" s="33">
        <v>0</v>
      </c>
      <c r="T1137" s="35">
        <v>0</v>
      </c>
    </row>
    <row r="1138" spans="1:20">
      <c r="A1138" s="31">
        <v>1136</v>
      </c>
      <c r="B1138" s="33" t="s">
        <v>1468</v>
      </c>
      <c r="C1138" s="33">
        <v>100</v>
      </c>
      <c r="D1138" s="33">
        <v>42</v>
      </c>
      <c r="E1138" s="33">
        <v>89.5</v>
      </c>
      <c r="F1138" s="33">
        <v>0</v>
      </c>
      <c r="G1138" s="33">
        <v>0</v>
      </c>
      <c r="H1138" s="33">
        <v>0</v>
      </c>
      <c r="I1138" s="33">
        <v>10.5</v>
      </c>
      <c r="J1138" s="33">
        <v>7</v>
      </c>
      <c r="K1138" s="33">
        <v>0</v>
      </c>
      <c r="L1138" s="33">
        <v>2.9999999329447746E-2</v>
      </c>
      <c r="M1138" s="33">
        <v>0.69999998807907104</v>
      </c>
      <c r="N1138" s="33">
        <v>0</v>
      </c>
      <c r="O1138" s="33">
        <v>5.8000001907348633</v>
      </c>
      <c r="P1138" s="33">
        <v>8</v>
      </c>
      <c r="Q1138" s="33">
        <v>0.10000000149011612</v>
      </c>
      <c r="R1138" s="34" t="s">
        <v>1131</v>
      </c>
      <c r="S1138" s="33">
        <v>0</v>
      </c>
      <c r="T1138" s="35">
        <v>0</v>
      </c>
    </row>
    <row r="1139" spans="1:20">
      <c r="A1139" s="31">
        <v>1137</v>
      </c>
      <c r="B1139" s="33" t="s">
        <v>1469</v>
      </c>
      <c r="C1139" s="33">
        <v>100</v>
      </c>
      <c r="D1139" s="33">
        <v>50</v>
      </c>
      <c r="E1139" s="33">
        <v>87.5</v>
      </c>
      <c r="F1139" s="33">
        <v>0</v>
      </c>
      <c r="G1139" s="33">
        <v>0</v>
      </c>
      <c r="H1139" s="33">
        <v>0</v>
      </c>
      <c r="I1139" s="33">
        <v>12.5</v>
      </c>
      <c r="J1139" s="33">
        <v>0</v>
      </c>
      <c r="K1139" s="33">
        <v>0.20999999344348907</v>
      </c>
      <c r="L1139" s="33">
        <v>0</v>
      </c>
      <c r="M1139" s="33">
        <v>0</v>
      </c>
      <c r="N1139" s="33">
        <v>0</v>
      </c>
      <c r="O1139" s="33">
        <v>4.4000000953674316</v>
      </c>
      <c r="P1139" s="33">
        <v>8</v>
      </c>
      <c r="Q1139" s="33">
        <v>0.10000000149011612</v>
      </c>
      <c r="R1139" s="34" t="s">
        <v>1131</v>
      </c>
      <c r="S1139" s="33">
        <v>0</v>
      </c>
      <c r="T1139" s="35">
        <v>0</v>
      </c>
    </row>
    <row r="1140" spans="1:20">
      <c r="A1140" s="31">
        <v>1138</v>
      </c>
      <c r="B1140" s="33" t="s">
        <v>1470</v>
      </c>
      <c r="C1140" s="33">
        <v>100</v>
      </c>
      <c r="D1140" s="33">
        <v>44</v>
      </c>
      <c r="E1140" s="33">
        <v>87.5</v>
      </c>
      <c r="F1140" s="33">
        <v>0.89999997615814209</v>
      </c>
      <c r="G1140" s="33">
        <v>0.5</v>
      </c>
      <c r="H1140" s="33">
        <v>1.7000000476837158</v>
      </c>
      <c r="I1140" s="33">
        <v>8.8999996185302734</v>
      </c>
      <c r="J1140" s="33">
        <v>0</v>
      </c>
      <c r="K1140" s="33">
        <v>0</v>
      </c>
      <c r="L1140" s="33">
        <v>0</v>
      </c>
      <c r="M1140" s="33">
        <v>0</v>
      </c>
      <c r="N1140" s="33">
        <v>0</v>
      </c>
      <c r="O1140" s="33">
        <v>5.4000000953674316</v>
      </c>
      <c r="P1140" s="33">
        <v>10</v>
      </c>
      <c r="Q1140" s="33">
        <v>15.199999809265137</v>
      </c>
      <c r="R1140" s="34" t="s">
        <v>1131</v>
      </c>
      <c r="S1140" s="33">
        <v>8</v>
      </c>
      <c r="T1140" s="35">
        <v>0</v>
      </c>
    </row>
    <row r="1141" spans="1:20">
      <c r="A1141" s="31">
        <v>1139</v>
      </c>
      <c r="B1141" s="33" t="s">
        <v>1471</v>
      </c>
      <c r="C1141" s="33">
        <v>100</v>
      </c>
      <c r="D1141" s="33">
        <v>386</v>
      </c>
      <c r="E1141" s="33">
        <v>3.5999999046325684</v>
      </c>
      <c r="F1141" s="33">
        <v>0.10000000149011612</v>
      </c>
      <c r="G1141" s="33">
        <v>0.20000000298023224</v>
      </c>
      <c r="H1141" s="33">
        <v>0</v>
      </c>
      <c r="I1141" s="33">
        <v>95.900001525878906</v>
      </c>
      <c r="J1141" s="33">
        <v>0</v>
      </c>
      <c r="K1141" s="33">
        <v>0.31999999284744263</v>
      </c>
      <c r="L1141" s="33">
        <v>1.3400000333786011</v>
      </c>
      <c r="M1141" s="33">
        <v>0.60000002384185791</v>
      </c>
      <c r="N1141" s="33">
        <v>0</v>
      </c>
      <c r="O1141" s="33">
        <v>57.700000762939453</v>
      </c>
      <c r="P1141" s="33">
        <v>37</v>
      </c>
      <c r="Q1141" s="33">
        <v>1.7000000476837158</v>
      </c>
      <c r="R1141" s="34" t="s">
        <v>1131</v>
      </c>
      <c r="S1141" s="33">
        <v>0</v>
      </c>
      <c r="T1141" s="35">
        <v>0</v>
      </c>
    </row>
    <row r="1142" spans="1:20">
      <c r="A1142" s="31">
        <v>1140</v>
      </c>
      <c r="B1142" s="33" t="s">
        <v>1472</v>
      </c>
      <c r="C1142" s="33">
        <v>100</v>
      </c>
      <c r="D1142" s="33">
        <v>68</v>
      </c>
      <c r="E1142" s="33">
        <v>83.400001525878906</v>
      </c>
      <c r="F1142" s="33">
        <v>0.80000001192092896</v>
      </c>
      <c r="G1142" s="33">
        <v>0.60000002384185791</v>
      </c>
      <c r="H1142" s="33">
        <v>0</v>
      </c>
      <c r="I1142" s="33">
        <v>14.899999618530273</v>
      </c>
      <c r="J1142" s="33">
        <v>50</v>
      </c>
      <c r="K1142" s="33">
        <v>9.9999997764825821E-3</v>
      </c>
      <c r="L1142" s="33">
        <v>0</v>
      </c>
      <c r="M1142" s="33">
        <v>0.30000001192092896</v>
      </c>
      <c r="N1142" s="33">
        <v>0</v>
      </c>
      <c r="O1142" s="33">
        <v>10.699999809265137</v>
      </c>
      <c r="P1142" s="33">
        <v>42</v>
      </c>
      <c r="Q1142" s="33">
        <v>0</v>
      </c>
      <c r="R1142" s="34" t="s">
        <v>1131</v>
      </c>
      <c r="S1142" s="33">
        <v>0</v>
      </c>
      <c r="T1142" s="35">
        <v>0</v>
      </c>
    </row>
    <row r="1143" spans="1:20">
      <c r="A1143" s="31">
        <v>1141</v>
      </c>
      <c r="B1143" s="33" t="s">
        <v>1473</v>
      </c>
      <c r="C1143" s="33">
        <v>100</v>
      </c>
      <c r="D1143" s="33">
        <v>394</v>
      </c>
      <c r="E1143" s="33">
        <v>1.2000000476837158</v>
      </c>
      <c r="F1143" s="33">
        <v>0.20000000298023224</v>
      </c>
      <c r="G1143" s="33">
        <v>0</v>
      </c>
      <c r="H1143" s="33">
        <v>0</v>
      </c>
      <c r="I1143" s="33">
        <v>98.400001525878906</v>
      </c>
      <c r="J1143" s="33">
        <v>0</v>
      </c>
      <c r="K1143" s="33">
        <v>0.20999999344348907</v>
      </c>
      <c r="L1143" s="33">
        <v>0.68999999761581421</v>
      </c>
      <c r="M1143" s="33">
        <v>0.20000000298023224</v>
      </c>
      <c r="N1143" s="33">
        <v>0</v>
      </c>
      <c r="O1143" s="33">
        <v>11.5</v>
      </c>
      <c r="P1143" s="33">
        <v>29</v>
      </c>
      <c r="Q1143" s="33">
        <v>6.8000001907348633</v>
      </c>
      <c r="R1143" s="34" t="s">
        <v>1131</v>
      </c>
      <c r="S1143" s="33">
        <v>5</v>
      </c>
      <c r="T1143" s="35">
        <v>0</v>
      </c>
    </row>
    <row r="1144" spans="1:20">
      <c r="A1144" s="31">
        <v>1142</v>
      </c>
      <c r="B1144" s="33" t="s">
        <v>1474</v>
      </c>
      <c r="C1144" s="33">
        <v>100</v>
      </c>
      <c r="D1144" s="33">
        <v>45</v>
      </c>
      <c r="E1144" s="33">
        <v>88.900001525878906</v>
      </c>
      <c r="F1144" s="33">
        <v>0</v>
      </c>
      <c r="G1144" s="33">
        <v>0.10000000149011612</v>
      </c>
      <c r="H1144" s="33">
        <v>0</v>
      </c>
      <c r="I1144" s="33">
        <v>11</v>
      </c>
      <c r="J1144" s="33">
        <v>0</v>
      </c>
      <c r="K1144" s="33">
        <v>5.000000074505806E-2</v>
      </c>
      <c r="L1144" s="33">
        <v>1.9999999552965164E-2</v>
      </c>
      <c r="M1144" s="33">
        <v>0</v>
      </c>
      <c r="N1144" s="33">
        <v>0</v>
      </c>
      <c r="O1144" s="33">
        <v>5</v>
      </c>
      <c r="P1144" s="33">
        <v>6</v>
      </c>
      <c r="Q1144" s="33">
        <v>0</v>
      </c>
      <c r="R1144" s="34" t="s">
        <v>1131</v>
      </c>
      <c r="S1144" s="33">
        <v>0</v>
      </c>
      <c r="T1144" s="35">
        <v>0</v>
      </c>
    </row>
    <row r="1145" spans="1:20">
      <c r="A1145" s="31">
        <v>1143</v>
      </c>
      <c r="B1145" s="33" t="s">
        <v>1475</v>
      </c>
      <c r="C1145" s="33">
        <v>100</v>
      </c>
      <c r="D1145" s="33">
        <v>385</v>
      </c>
      <c r="E1145" s="33">
        <v>3.7000000476837158</v>
      </c>
      <c r="F1145" s="33">
        <v>0.30000001192092896</v>
      </c>
      <c r="G1145" s="33">
        <v>0</v>
      </c>
      <c r="H1145" s="33">
        <v>0</v>
      </c>
      <c r="I1145" s="33">
        <v>95.900001525878906</v>
      </c>
      <c r="J1145" s="33">
        <v>0</v>
      </c>
      <c r="K1145" s="33">
        <v>0.10999999940395355</v>
      </c>
      <c r="L1145" s="33">
        <v>9.0000003576278687E-2</v>
      </c>
      <c r="M1145" s="33">
        <v>0.30000001192092896</v>
      </c>
      <c r="N1145" s="33">
        <v>0</v>
      </c>
      <c r="O1145" s="33">
        <v>6.1999998092651367</v>
      </c>
      <c r="P1145" s="33">
        <v>24</v>
      </c>
      <c r="Q1145" s="33">
        <v>0.5</v>
      </c>
      <c r="R1145" s="34" t="s">
        <v>1131</v>
      </c>
      <c r="S1145" s="33">
        <v>18</v>
      </c>
      <c r="T1145" s="35">
        <v>0</v>
      </c>
    </row>
    <row r="1146" spans="1:20">
      <c r="A1146" s="31">
        <v>1144</v>
      </c>
      <c r="B1146" s="33" t="s">
        <v>1476</v>
      </c>
      <c r="C1146" s="33">
        <v>100</v>
      </c>
      <c r="D1146" s="33">
        <v>30</v>
      </c>
      <c r="E1146" s="33">
        <v>92.5</v>
      </c>
      <c r="F1146" s="33">
        <v>0.10000000149011612</v>
      </c>
      <c r="G1146" s="33">
        <v>0</v>
      </c>
      <c r="H1146" s="33">
        <v>0</v>
      </c>
      <c r="I1146" s="33">
        <v>7.4000000953674316</v>
      </c>
      <c r="J1146" s="33">
        <v>3</v>
      </c>
      <c r="K1146" s="33">
        <v>3.9999999105930328E-2</v>
      </c>
      <c r="L1146" s="33">
        <v>0</v>
      </c>
      <c r="M1146" s="33">
        <v>0</v>
      </c>
      <c r="N1146" s="33">
        <v>0</v>
      </c>
      <c r="O1146" s="33">
        <v>4.1999998092651367</v>
      </c>
      <c r="P1146" s="33">
        <v>7</v>
      </c>
      <c r="Q1146" s="33">
        <v>0.10000000149011612</v>
      </c>
      <c r="R1146" s="34" t="s">
        <v>1131</v>
      </c>
      <c r="S1146" s="33">
        <v>0</v>
      </c>
      <c r="T1146" s="35">
        <v>0</v>
      </c>
    </row>
    <row r="1147" spans="1:20">
      <c r="A1147" s="31">
        <v>1145</v>
      </c>
      <c r="B1147" s="33" t="s">
        <v>1477</v>
      </c>
      <c r="C1147" s="33">
        <v>100</v>
      </c>
      <c r="D1147" s="33">
        <v>60</v>
      </c>
      <c r="E1147" s="33">
        <v>85.800003051757813</v>
      </c>
      <c r="F1147" s="33">
        <v>2.9000000953674316</v>
      </c>
      <c r="G1147" s="33">
        <v>0.80000001192092896</v>
      </c>
      <c r="H1147" s="33">
        <v>0</v>
      </c>
      <c r="I1147" s="33">
        <v>10.199999809265137</v>
      </c>
      <c r="J1147" s="33">
        <v>31</v>
      </c>
      <c r="K1147" s="33">
        <v>9.9999997764825821E-3</v>
      </c>
      <c r="L1147" s="33">
        <v>0</v>
      </c>
      <c r="M1147" s="33">
        <v>0.30000001192092896</v>
      </c>
      <c r="N1147" s="33">
        <v>0</v>
      </c>
      <c r="O1147" s="33">
        <v>24.799999237060547</v>
      </c>
      <c r="P1147" s="33">
        <v>36</v>
      </c>
      <c r="Q1147" s="33">
        <v>0</v>
      </c>
      <c r="R1147" s="34" t="s">
        <v>1131</v>
      </c>
      <c r="S1147" s="33">
        <v>0</v>
      </c>
      <c r="T1147" s="35">
        <v>0</v>
      </c>
    </row>
    <row r="1148" spans="1:20">
      <c r="A1148" s="31">
        <v>1146</v>
      </c>
      <c r="B1148" s="33" t="s">
        <v>1478</v>
      </c>
      <c r="C1148" s="33">
        <v>100</v>
      </c>
      <c r="D1148" s="33">
        <v>53</v>
      </c>
      <c r="E1148" s="33">
        <v>86.800003051757813</v>
      </c>
      <c r="F1148" s="33">
        <v>0.89999997615814209</v>
      </c>
      <c r="G1148" s="33">
        <v>0.20000000298023224</v>
      </c>
      <c r="H1148" s="33">
        <v>0</v>
      </c>
      <c r="I1148" s="33">
        <v>11.800000190734863</v>
      </c>
      <c r="J1148" s="33">
        <v>2</v>
      </c>
      <c r="K1148" s="33">
        <v>9.9999997764825821E-3</v>
      </c>
      <c r="L1148" s="33">
        <v>1.9999999552965164E-2</v>
      </c>
      <c r="M1148" s="33">
        <v>0</v>
      </c>
      <c r="N1148" s="33">
        <v>2.809999942779541</v>
      </c>
      <c r="O1148" s="33">
        <v>53.799999237060547</v>
      </c>
      <c r="P1148" s="33">
        <v>14</v>
      </c>
      <c r="Q1148" s="33">
        <v>0.10000000149011612</v>
      </c>
      <c r="R1148" s="34" t="s">
        <v>1131</v>
      </c>
      <c r="S1148" s="33">
        <v>0</v>
      </c>
      <c r="T1148" s="35">
        <v>0</v>
      </c>
    </row>
    <row r="1149" spans="1:20">
      <c r="A1149" s="31">
        <v>1147</v>
      </c>
      <c r="B1149" s="33" t="s">
        <v>1479</v>
      </c>
      <c r="C1149" s="33">
        <v>100</v>
      </c>
      <c r="D1149" s="33">
        <v>46</v>
      </c>
      <c r="E1149" s="33">
        <v>89.699996948242188</v>
      </c>
      <c r="F1149" s="33">
        <v>0.89999997615814209</v>
      </c>
      <c r="G1149" s="33">
        <v>1.1000000238418579</v>
      </c>
      <c r="H1149" s="33">
        <v>0</v>
      </c>
      <c r="I1149" s="33">
        <v>8.1000003814697266</v>
      </c>
      <c r="J1149" s="33">
        <v>0</v>
      </c>
      <c r="K1149" s="33">
        <v>0</v>
      </c>
      <c r="L1149" s="33">
        <v>1.9999999552965164E-2</v>
      </c>
      <c r="M1149" s="33">
        <v>0</v>
      </c>
      <c r="N1149" s="33">
        <v>0</v>
      </c>
      <c r="O1149" s="33">
        <v>9.1999998092651367</v>
      </c>
      <c r="P1149" s="33">
        <v>4</v>
      </c>
      <c r="Q1149" s="33">
        <v>0</v>
      </c>
      <c r="R1149" s="34" t="s">
        <v>1131</v>
      </c>
      <c r="S1149" s="33">
        <v>1</v>
      </c>
      <c r="T1149" s="35">
        <v>0</v>
      </c>
    </row>
    <row r="1150" spans="1:20">
      <c r="A1150" s="31">
        <v>1148</v>
      </c>
      <c r="B1150" s="33" t="s">
        <v>1480</v>
      </c>
      <c r="C1150" s="33">
        <v>100</v>
      </c>
      <c r="D1150" s="33">
        <v>137</v>
      </c>
      <c r="E1150" s="33">
        <v>69.699996948242188</v>
      </c>
      <c r="F1150" s="33">
        <v>2.2999999523162842</v>
      </c>
      <c r="G1150" s="33">
        <v>3.5999999046325684</v>
      </c>
      <c r="H1150" s="33">
        <v>0</v>
      </c>
      <c r="I1150" s="33">
        <v>23.899999618530273</v>
      </c>
      <c r="J1150" s="33">
        <v>45</v>
      </c>
      <c r="K1150" s="33">
        <v>9.9999997764825821E-3</v>
      </c>
      <c r="L1150" s="33">
        <v>1.9999999552965164E-2</v>
      </c>
      <c r="M1150" s="33">
        <v>0.10000000149011612</v>
      </c>
      <c r="N1150" s="33">
        <v>0.77999997138977051</v>
      </c>
      <c r="O1150" s="33">
        <v>51.099998474121094</v>
      </c>
      <c r="P1150" s="33">
        <v>100</v>
      </c>
      <c r="Q1150" s="33">
        <v>0.80000001192092896</v>
      </c>
      <c r="R1150" s="34" t="s">
        <v>1131</v>
      </c>
      <c r="S1150" s="33">
        <v>0</v>
      </c>
      <c r="T1150" s="35">
        <v>38</v>
      </c>
    </row>
    <row r="1151" spans="1:20">
      <c r="A1151" s="31">
        <v>1149</v>
      </c>
      <c r="B1151" s="33" t="s">
        <v>1481</v>
      </c>
      <c r="C1151" s="33">
        <v>100</v>
      </c>
      <c r="D1151" s="33">
        <v>228</v>
      </c>
      <c r="E1151" s="33">
        <v>59.400001525878906</v>
      </c>
      <c r="F1151" s="33">
        <v>2.5999999046325684</v>
      </c>
      <c r="G1151" s="33">
        <v>13.699999809265137</v>
      </c>
      <c r="H1151" s="33">
        <v>0</v>
      </c>
      <c r="I1151" s="33">
        <v>23.600000381469727</v>
      </c>
      <c r="J1151" s="33">
        <v>26</v>
      </c>
      <c r="K1151" s="33">
        <v>9.9999997764825821E-3</v>
      </c>
      <c r="L1151" s="33">
        <v>2.9999999329447746E-2</v>
      </c>
      <c r="M1151" s="33">
        <v>0.20000000298023224</v>
      </c>
      <c r="N1151" s="33">
        <v>4.4699997901916504</v>
      </c>
      <c r="O1151" s="33">
        <v>65.900001525878906</v>
      </c>
      <c r="P1151" s="33">
        <v>168</v>
      </c>
      <c r="Q1151" s="33">
        <v>0.80000001192092896</v>
      </c>
      <c r="R1151" s="34" t="s">
        <v>1131</v>
      </c>
      <c r="S1151" s="33">
        <v>0</v>
      </c>
      <c r="T1151" s="35">
        <v>52</v>
      </c>
    </row>
    <row r="1152" spans="1:20">
      <c r="A1152" s="31">
        <v>1150</v>
      </c>
      <c r="B1152" s="33" t="s">
        <v>1482</v>
      </c>
      <c r="C1152" s="33">
        <v>100</v>
      </c>
      <c r="D1152" s="33">
        <v>400</v>
      </c>
      <c r="E1152" s="33">
        <v>0</v>
      </c>
      <c r="F1152" s="33">
        <v>0</v>
      </c>
      <c r="G1152" s="33">
        <v>0</v>
      </c>
      <c r="H1152" s="33">
        <v>0</v>
      </c>
      <c r="I1152" s="33">
        <v>99.900001525878906</v>
      </c>
      <c r="J1152" s="33">
        <v>0</v>
      </c>
      <c r="K1152" s="33">
        <v>0</v>
      </c>
      <c r="L1152" s="33">
        <v>0</v>
      </c>
      <c r="M1152" s="33">
        <v>0</v>
      </c>
      <c r="N1152" s="33">
        <v>0</v>
      </c>
      <c r="O1152" s="33">
        <v>0.40000000596046448</v>
      </c>
      <c r="P1152" s="33">
        <v>20</v>
      </c>
      <c r="Q1152" s="33">
        <v>0.60000002384185791</v>
      </c>
      <c r="R1152" s="34" t="s">
        <v>1483</v>
      </c>
      <c r="S1152" s="33">
        <v>0</v>
      </c>
      <c r="T1152" s="35">
        <v>0</v>
      </c>
    </row>
    <row r="1153" spans="1:20">
      <c r="A1153" s="31">
        <v>1151</v>
      </c>
      <c r="B1153" s="33" t="s">
        <v>1484</v>
      </c>
      <c r="C1153" s="33">
        <v>100</v>
      </c>
      <c r="D1153" s="33">
        <v>396</v>
      </c>
      <c r="E1153" s="33">
        <v>0.89999997615814209</v>
      </c>
      <c r="F1153" s="33">
        <v>0.10000000149011612</v>
      </c>
      <c r="G1153" s="33">
        <v>0</v>
      </c>
      <c r="H1153" s="33">
        <v>0</v>
      </c>
      <c r="I1153" s="33">
        <v>98.900001525878906</v>
      </c>
      <c r="J1153" s="33">
        <v>0</v>
      </c>
      <c r="K1153" s="33">
        <v>0</v>
      </c>
      <c r="L1153" s="33">
        <v>0</v>
      </c>
      <c r="M1153" s="33">
        <v>0.20000000298023224</v>
      </c>
      <c r="N1153" s="33">
        <v>0</v>
      </c>
      <c r="O1153" s="33">
        <v>2</v>
      </c>
      <c r="P1153" s="33">
        <v>6</v>
      </c>
      <c r="Q1153" s="33">
        <v>0.20000000298023224</v>
      </c>
      <c r="R1153" s="34" t="s">
        <v>1483</v>
      </c>
      <c r="S1153" s="33">
        <v>0</v>
      </c>
      <c r="T1153" s="35">
        <v>0</v>
      </c>
    </row>
    <row r="1154" spans="1:20">
      <c r="A1154" s="31">
        <v>1152</v>
      </c>
      <c r="B1154" s="33" t="s">
        <v>1485</v>
      </c>
      <c r="C1154" s="33">
        <v>100</v>
      </c>
      <c r="D1154" s="33">
        <v>397</v>
      </c>
      <c r="E1154" s="33">
        <v>0.60000002384185791</v>
      </c>
      <c r="F1154" s="33">
        <v>0</v>
      </c>
      <c r="G1154" s="33">
        <v>0</v>
      </c>
      <c r="H1154" s="33">
        <v>0</v>
      </c>
      <c r="I1154" s="33">
        <v>99.300003051757813</v>
      </c>
      <c r="J1154" s="33">
        <v>0</v>
      </c>
      <c r="K1154" s="33">
        <v>0</v>
      </c>
      <c r="L1154" s="33">
        <v>2.9999999329447746E-2</v>
      </c>
      <c r="M1154" s="33">
        <v>0</v>
      </c>
      <c r="N1154" s="33">
        <v>0</v>
      </c>
      <c r="O1154" s="33">
        <v>2.7000000476837158</v>
      </c>
      <c r="P1154" s="33">
        <v>23</v>
      </c>
      <c r="Q1154" s="33">
        <v>1.3999999761581421</v>
      </c>
      <c r="R1154" s="34" t="s">
        <v>1483</v>
      </c>
      <c r="S1154" s="33">
        <v>0</v>
      </c>
      <c r="T1154" s="35">
        <v>0</v>
      </c>
    </row>
    <row r="1155" spans="1:20">
      <c r="A1155" s="31">
        <v>1153</v>
      </c>
      <c r="B1155" s="33" t="s">
        <v>1486</v>
      </c>
      <c r="C1155" s="33">
        <v>100</v>
      </c>
      <c r="D1155" s="33">
        <v>396</v>
      </c>
      <c r="E1155" s="33">
        <v>1</v>
      </c>
      <c r="F1155" s="33">
        <v>0</v>
      </c>
      <c r="G1155" s="33">
        <v>0</v>
      </c>
      <c r="H1155" s="33">
        <v>0</v>
      </c>
      <c r="I1155" s="33">
        <v>99</v>
      </c>
      <c r="J1155" s="33">
        <v>0</v>
      </c>
      <c r="K1155" s="33">
        <v>0</v>
      </c>
      <c r="L1155" s="33">
        <v>0</v>
      </c>
      <c r="M1155" s="33">
        <v>0</v>
      </c>
      <c r="N1155" s="33">
        <v>0</v>
      </c>
      <c r="O1155" s="33">
        <v>9.6999998092651367</v>
      </c>
      <c r="P1155" s="33">
        <v>12</v>
      </c>
      <c r="Q1155" s="33">
        <v>0.80000001192092896</v>
      </c>
      <c r="R1155" s="34" t="s">
        <v>1483</v>
      </c>
      <c r="S1155" s="33">
        <v>0</v>
      </c>
      <c r="T1155" s="35">
        <v>0</v>
      </c>
    </row>
    <row r="1156" spans="1:20">
      <c r="A1156" s="31">
        <v>1154</v>
      </c>
      <c r="B1156" s="33" t="s">
        <v>1487</v>
      </c>
      <c r="C1156" s="33">
        <v>100</v>
      </c>
      <c r="D1156" s="33">
        <v>321</v>
      </c>
      <c r="E1156" s="33">
        <v>22</v>
      </c>
      <c r="F1156" s="33">
        <v>0.40000000596046448</v>
      </c>
      <c r="G1156" s="33">
        <v>1.8999999761581421</v>
      </c>
      <c r="H1156" s="33">
        <v>0</v>
      </c>
      <c r="I1156" s="33">
        <v>75.599998474121094</v>
      </c>
      <c r="J1156" s="33">
        <v>0</v>
      </c>
      <c r="K1156" s="33">
        <v>0</v>
      </c>
      <c r="L1156" s="33">
        <v>5.000000074505806E-2</v>
      </c>
      <c r="M1156" s="33">
        <v>0.10000000149011612</v>
      </c>
      <c r="N1156" s="33">
        <v>0</v>
      </c>
      <c r="O1156" s="33">
        <v>0.30000001192092896</v>
      </c>
      <c r="P1156" s="33">
        <v>4</v>
      </c>
      <c r="Q1156" s="33">
        <v>1</v>
      </c>
      <c r="R1156" s="34" t="s">
        <v>1483</v>
      </c>
      <c r="S1156" s="33">
        <v>3</v>
      </c>
      <c r="T1156" s="35">
        <v>0</v>
      </c>
    </row>
    <row r="1157" spans="1:20">
      <c r="A1157" s="31">
        <v>1155</v>
      </c>
      <c r="B1157" s="33" t="s">
        <v>1488</v>
      </c>
      <c r="C1157" s="33">
        <v>100</v>
      </c>
      <c r="D1157" s="33">
        <v>389</v>
      </c>
      <c r="E1157" s="33">
        <v>1.8999999761581421</v>
      </c>
      <c r="F1157" s="33">
        <v>0.69999998807907104</v>
      </c>
      <c r="G1157" s="33">
        <v>0</v>
      </c>
      <c r="H1157" s="33">
        <v>0</v>
      </c>
      <c r="I1157" s="33">
        <v>96.599998474121094</v>
      </c>
      <c r="J1157" s="33">
        <v>0</v>
      </c>
      <c r="K1157" s="33">
        <v>9.9999997764825821E-3</v>
      </c>
      <c r="L1157" s="33">
        <v>0</v>
      </c>
      <c r="M1157" s="33">
        <v>0.30000001192092896</v>
      </c>
      <c r="N1157" s="33">
        <v>0</v>
      </c>
      <c r="O1157" s="33">
        <v>18.299999237060547</v>
      </c>
      <c r="P1157" s="33">
        <v>157</v>
      </c>
      <c r="Q1157" s="33">
        <v>2.2000000476837158</v>
      </c>
      <c r="R1157" s="34" t="s">
        <v>1483</v>
      </c>
      <c r="S1157" s="33">
        <v>0</v>
      </c>
      <c r="T1157" s="35">
        <v>0</v>
      </c>
    </row>
    <row r="1158" spans="1:20">
      <c r="A1158" s="31">
        <v>1156</v>
      </c>
      <c r="B1158" s="33" t="s">
        <v>1489</v>
      </c>
      <c r="C1158" s="33">
        <v>69</v>
      </c>
      <c r="D1158" s="33">
        <v>368</v>
      </c>
      <c r="E1158" s="33">
        <v>7.6999998092651367</v>
      </c>
      <c r="F1158" s="33">
        <v>0.10000000149011612</v>
      </c>
      <c r="G1158" s="33">
        <v>0</v>
      </c>
      <c r="H1158" s="33">
        <v>0</v>
      </c>
      <c r="I1158" s="33">
        <v>91.900001525878906</v>
      </c>
      <c r="J1158" s="33">
        <v>0</v>
      </c>
      <c r="K1158" s="33">
        <v>3.9999999105930328E-2</v>
      </c>
      <c r="L1158" s="33">
        <v>7.0000000298023224E-2</v>
      </c>
      <c r="M1158" s="33">
        <v>0.5</v>
      </c>
      <c r="N1158" s="33">
        <v>0</v>
      </c>
      <c r="O1158" s="33">
        <v>0</v>
      </c>
      <c r="P1158" s="33">
        <v>22</v>
      </c>
      <c r="Q1158" s="33">
        <v>0</v>
      </c>
      <c r="R1158" s="34" t="s">
        <v>1483</v>
      </c>
      <c r="S1158" s="33">
        <v>0</v>
      </c>
      <c r="T1158" s="35">
        <v>0</v>
      </c>
    </row>
    <row r="1159" spans="1:20">
      <c r="A1159" s="31">
        <v>1157</v>
      </c>
      <c r="B1159" s="33" t="s">
        <v>1490</v>
      </c>
      <c r="C1159" s="33">
        <v>100</v>
      </c>
      <c r="D1159" s="33">
        <v>392</v>
      </c>
      <c r="E1159" s="33">
        <v>7</v>
      </c>
      <c r="F1159" s="33">
        <v>7.1999998092651367</v>
      </c>
      <c r="G1159" s="33">
        <v>14</v>
      </c>
      <c r="H1159" s="33">
        <v>11.5</v>
      </c>
      <c r="I1159" s="33">
        <v>59.299999237060547</v>
      </c>
      <c r="J1159" s="33">
        <v>0</v>
      </c>
      <c r="K1159" s="33">
        <v>0.10999999940395355</v>
      </c>
      <c r="L1159" s="33">
        <v>5.9999998658895493E-2</v>
      </c>
      <c r="M1159" s="33">
        <v>1.8999999761581421</v>
      </c>
      <c r="N1159" s="33">
        <v>4.3400001525878906</v>
      </c>
      <c r="O1159" s="33">
        <v>36.5</v>
      </c>
      <c r="P1159" s="33">
        <v>243</v>
      </c>
      <c r="Q1159" s="33">
        <v>0</v>
      </c>
      <c r="R1159" s="34" t="s">
        <v>1483</v>
      </c>
      <c r="S1159" s="33">
        <v>0</v>
      </c>
      <c r="T1159" s="35">
        <v>0</v>
      </c>
    </row>
    <row r="1160" spans="1:20">
      <c r="A1160" s="31">
        <v>1158</v>
      </c>
      <c r="B1160" s="33" t="s">
        <v>1491</v>
      </c>
      <c r="C1160" s="33">
        <v>100</v>
      </c>
      <c r="D1160" s="33">
        <v>359</v>
      </c>
      <c r="E1160" s="33">
        <v>10.100000381469727</v>
      </c>
      <c r="F1160" s="33">
        <v>0.10000000149011612</v>
      </c>
      <c r="G1160" s="33">
        <v>0</v>
      </c>
      <c r="H1160" s="33">
        <v>0</v>
      </c>
      <c r="I1160" s="33">
        <v>89.599998474121094</v>
      </c>
      <c r="J1160" s="33">
        <v>0</v>
      </c>
      <c r="K1160" s="33">
        <v>3.9999999105930328E-2</v>
      </c>
      <c r="L1160" s="33">
        <v>1.9999999552965164E-2</v>
      </c>
      <c r="M1160" s="33">
        <v>0.20000000298023224</v>
      </c>
      <c r="N1160" s="33">
        <v>0</v>
      </c>
      <c r="O1160" s="33">
        <v>0</v>
      </c>
      <c r="P1160" s="33">
        <v>26</v>
      </c>
      <c r="Q1160" s="33">
        <v>1.1000000238418579</v>
      </c>
      <c r="R1160" s="34" t="s">
        <v>1483</v>
      </c>
      <c r="S1160" s="33">
        <v>0</v>
      </c>
      <c r="T1160" s="35">
        <v>0</v>
      </c>
    </row>
    <row r="1161" spans="1:20">
      <c r="A1161" s="31">
        <v>1159</v>
      </c>
      <c r="B1161" s="33" t="s">
        <v>1492</v>
      </c>
      <c r="C1161" s="33">
        <v>100</v>
      </c>
      <c r="D1161" s="33">
        <v>321</v>
      </c>
      <c r="E1161" s="33">
        <v>19.5</v>
      </c>
      <c r="F1161" s="33">
        <v>4.9000000953674316</v>
      </c>
      <c r="G1161" s="33">
        <v>0</v>
      </c>
      <c r="H1161" s="33">
        <v>0</v>
      </c>
      <c r="I1161" s="33">
        <v>75.300003051757813</v>
      </c>
      <c r="J1161" s="33">
        <v>0</v>
      </c>
      <c r="K1161" s="33">
        <v>3.9999999105930328E-2</v>
      </c>
      <c r="L1161" s="33">
        <v>9.9999997764825821E-3</v>
      </c>
      <c r="M1161" s="33">
        <v>0.30000001192092896</v>
      </c>
      <c r="N1161" s="33">
        <v>0</v>
      </c>
      <c r="O1161" s="33">
        <v>94.599998474121094</v>
      </c>
      <c r="P1161" s="33">
        <v>19</v>
      </c>
      <c r="Q1161" s="33">
        <v>0</v>
      </c>
      <c r="R1161" s="34" t="s">
        <v>1483</v>
      </c>
      <c r="S1161" s="33">
        <v>0</v>
      </c>
      <c r="T1161" s="35">
        <v>0</v>
      </c>
    </row>
    <row r="1162" spans="1:20">
      <c r="A1162" s="31">
        <v>1160</v>
      </c>
      <c r="B1162" s="33" t="s">
        <v>1493</v>
      </c>
      <c r="C1162" s="33">
        <v>100</v>
      </c>
      <c r="D1162" s="33">
        <v>384</v>
      </c>
      <c r="E1162" s="33">
        <v>7.3000001907348633</v>
      </c>
      <c r="F1162" s="33">
        <v>3.0999999046325684</v>
      </c>
      <c r="G1162" s="33">
        <v>3.2999999523162842</v>
      </c>
      <c r="H1162" s="33">
        <v>0.30000001192092896</v>
      </c>
      <c r="I1162" s="33">
        <v>85.5</v>
      </c>
      <c r="J1162" s="33">
        <v>0</v>
      </c>
      <c r="K1162" s="33">
        <v>5.000000074505806E-2</v>
      </c>
      <c r="L1162" s="33">
        <v>9.0000003576278687E-2</v>
      </c>
      <c r="M1162" s="33">
        <v>2.5</v>
      </c>
      <c r="N1162" s="33">
        <v>2.1600000858306885</v>
      </c>
      <c r="O1162" s="33">
        <v>43.400001525878906</v>
      </c>
      <c r="P1162" s="33">
        <v>144</v>
      </c>
      <c r="Q1162" s="33">
        <v>5.4000000953674316</v>
      </c>
      <c r="R1162" s="34" t="s">
        <v>1483</v>
      </c>
      <c r="S1162" s="33">
        <v>0</v>
      </c>
      <c r="T1162" s="35">
        <v>0</v>
      </c>
    </row>
    <row r="1163" spans="1:20">
      <c r="A1163" s="31">
        <v>1161</v>
      </c>
      <c r="B1163" s="33" t="s">
        <v>1494</v>
      </c>
      <c r="C1163" s="33">
        <v>100</v>
      </c>
      <c r="D1163" s="33">
        <v>407</v>
      </c>
      <c r="E1163" s="33">
        <v>5.5999999046325684</v>
      </c>
      <c r="F1163" s="33">
        <v>2.5</v>
      </c>
      <c r="G1163" s="33">
        <v>6.5999999046325684</v>
      </c>
      <c r="H1163" s="33">
        <v>0</v>
      </c>
      <c r="I1163" s="33">
        <v>84.5</v>
      </c>
      <c r="J1163" s="33">
        <v>0</v>
      </c>
      <c r="K1163" s="33">
        <v>7.9999998211860657E-2</v>
      </c>
      <c r="L1163" s="33">
        <v>0.17000000178813934</v>
      </c>
      <c r="M1163" s="33">
        <v>0.60000002384185791</v>
      </c>
      <c r="N1163" s="33">
        <v>0</v>
      </c>
      <c r="O1163" s="33">
        <v>222.5</v>
      </c>
      <c r="P1163" s="33">
        <v>50</v>
      </c>
      <c r="Q1163" s="33">
        <v>3.4000000953674316</v>
      </c>
      <c r="R1163" s="34" t="s">
        <v>1483</v>
      </c>
      <c r="S1163" s="33">
        <v>0</v>
      </c>
      <c r="T1163" s="35">
        <v>0</v>
      </c>
    </row>
    <row r="1164" spans="1:20">
      <c r="A1164" s="31">
        <v>1162</v>
      </c>
      <c r="B1164" s="33" t="s">
        <v>1495</v>
      </c>
      <c r="C1164" s="33">
        <v>68</v>
      </c>
      <c r="D1164" s="33">
        <v>360</v>
      </c>
      <c r="E1164" s="33">
        <v>9.6999998092651367</v>
      </c>
      <c r="F1164" s="33">
        <v>0.20000000298023224</v>
      </c>
      <c r="G1164" s="33">
        <v>0</v>
      </c>
      <c r="H1164" s="33">
        <v>0</v>
      </c>
      <c r="I1164" s="33">
        <v>89.800003051757813</v>
      </c>
      <c r="J1164" s="33">
        <v>0</v>
      </c>
      <c r="K1164" s="33">
        <v>3.9999999105930328E-2</v>
      </c>
      <c r="L1164" s="33">
        <v>9.0000003576278687E-2</v>
      </c>
      <c r="M1164" s="33">
        <v>0.5</v>
      </c>
      <c r="N1164" s="33">
        <v>0</v>
      </c>
      <c r="O1164" s="33">
        <v>20.600000381469727</v>
      </c>
      <c r="P1164" s="33">
        <v>6</v>
      </c>
      <c r="Q1164" s="33">
        <v>0</v>
      </c>
      <c r="R1164" s="34" t="s">
        <v>1483</v>
      </c>
      <c r="S1164" s="33">
        <v>0</v>
      </c>
      <c r="T1164" s="35">
        <v>0</v>
      </c>
    </row>
    <row r="1165" spans="1:20">
      <c r="A1165" s="31">
        <v>1163</v>
      </c>
      <c r="B1165" s="33" t="s">
        <v>1496</v>
      </c>
      <c r="C1165" s="33">
        <v>100</v>
      </c>
      <c r="D1165" s="33">
        <v>586</v>
      </c>
      <c r="E1165" s="33">
        <v>1</v>
      </c>
      <c r="F1165" s="33">
        <v>4.3000001907348633</v>
      </c>
      <c r="G1165" s="33">
        <v>40.099998474121094</v>
      </c>
      <c r="H1165" s="33">
        <v>1.5</v>
      </c>
      <c r="I1165" s="33">
        <v>51.900001525878906</v>
      </c>
      <c r="J1165" s="33">
        <v>0</v>
      </c>
      <c r="K1165" s="33">
        <v>5.9999998658895493E-2</v>
      </c>
      <c r="L1165" s="33">
        <v>7.9999998211860657E-2</v>
      </c>
      <c r="M1165" s="33">
        <v>1.3999999761581421</v>
      </c>
      <c r="N1165" s="33">
        <v>1.6200000047683716</v>
      </c>
      <c r="O1165" s="33">
        <v>111.80000305175781</v>
      </c>
      <c r="P1165" s="33">
        <v>111</v>
      </c>
      <c r="Q1165" s="33">
        <v>1.7000000476837158</v>
      </c>
      <c r="R1165" s="34" t="s">
        <v>1483</v>
      </c>
      <c r="S1165" s="33">
        <v>0</v>
      </c>
      <c r="T1165" s="35">
        <v>0</v>
      </c>
    </row>
    <row r="1166" spans="1:20">
      <c r="A1166" s="31">
        <v>1164</v>
      </c>
      <c r="B1166" s="33" t="s">
        <v>1497</v>
      </c>
      <c r="C1166" s="33">
        <v>100</v>
      </c>
      <c r="D1166" s="33">
        <v>400</v>
      </c>
      <c r="E1166" s="33">
        <v>13.800000190734863</v>
      </c>
      <c r="F1166" s="33">
        <v>1.2999999523162842</v>
      </c>
      <c r="G1166" s="33">
        <v>12</v>
      </c>
      <c r="H1166" s="33">
        <v>0.40000000596046448</v>
      </c>
      <c r="I1166" s="33">
        <v>71.800003051757813</v>
      </c>
      <c r="J1166" s="33">
        <v>0</v>
      </c>
      <c r="K1166" s="33">
        <v>5.9999998658895493E-2</v>
      </c>
      <c r="L1166" s="33">
        <v>0.34000000357627869</v>
      </c>
      <c r="M1166" s="33">
        <v>0.20000000298023224</v>
      </c>
      <c r="N1166" s="33">
        <v>2.6400001049041748</v>
      </c>
      <c r="O1166" s="33">
        <v>35.599998474121094</v>
      </c>
      <c r="P1166" s="33">
        <v>128</v>
      </c>
      <c r="Q1166" s="33">
        <v>2.2999999523162842</v>
      </c>
      <c r="R1166" s="34" t="s">
        <v>1483</v>
      </c>
      <c r="S1166" s="33">
        <v>0</v>
      </c>
      <c r="T1166" s="35">
        <v>0</v>
      </c>
    </row>
    <row r="1167" spans="1:20">
      <c r="A1167" s="31">
        <v>1165</v>
      </c>
      <c r="B1167" s="33" t="s">
        <v>1498</v>
      </c>
      <c r="C1167" s="33">
        <v>100</v>
      </c>
      <c r="D1167" s="33">
        <v>572</v>
      </c>
      <c r="E1167" s="33">
        <v>2.0999999046325684</v>
      </c>
      <c r="F1167" s="33">
        <v>8.1999998092651367</v>
      </c>
      <c r="G1167" s="33">
        <v>38.400001525878906</v>
      </c>
      <c r="H1167" s="33">
        <v>1.2000000476837158</v>
      </c>
      <c r="I1167" s="33">
        <v>48.5</v>
      </c>
      <c r="J1167" s="33">
        <v>0</v>
      </c>
      <c r="K1167" s="33">
        <v>7.9999998211860657E-2</v>
      </c>
      <c r="L1167" s="33">
        <v>7.0000000298023224E-2</v>
      </c>
      <c r="M1167" s="33">
        <v>0.40000000596046448</v>
      </c>
      <c r="N1167" s="33">
        <v>11.659999847412109</v>
      </c>
      <c r="O1167" s="33">
        <v>111.19999694824219</v>
      </c>
      <c r="P1167" s="33">
        <v>61</v>
      </c>
      <c r="Q1167" s="33">
        <v>5.5</v>
      </c>
      <c r="R1167" s="34" t="s">
        <v>1483</v>
      </c>
      <c r="S1167" s="33">
        <v>0</v>
      </c>
      <c r="T1167" s="35">
        <v>0</v>
      </c>
    </row>
    <row r="1168" spans="1:20">
      <c r="A1168" s="31">
        <v>1166</v>
      </c>
      <c r="B1168" s="33" t="s">
        <v>1499</v>
      </c>
      <c r="C1168" s="33">
        <v>100</v>
      </c>
      <c r="D1168" s="33">
        <v>369</v>
      </c>
      <c r="E1168" s="33">
        <v>6.5999999046325684</v>
      </c>
      <c r="F1168" s="33">
        <v>0.5</v>
      </c>
      <c r="G1168" s="33">
        <v>0</v>
      </c>
      <c r="H1168" s="33">
        <v>0.89999997615814209</v>
      </c>
      <c r="I1168" s="33">
        <v>91.699996948242188</v>
      </c>
      <c r="J1168" s="33">
        <v>0</v>
      </c>
      <c r="K1168" s="33">
        <v>3.9999999105930328E-2</v>
      </c>
      <c r="L1168" s="33">
        <v>0</v>
      </c>
      <c r="M1168" s="33">
        <v>0.69999998807907104</v>
      </c>
      <c r="N1168" s="33">
        <v>0</v>
      </c>
      <c r="O1168" s="33">
        <v>160.39999389648438</v>
      </c>
      <c r="P1168" s="33">
        <v>58</v>
      </c>
      <c r="Q1168" s="33">
        <v>2.2999999523162842</v>
      </c>
      <c r="R1168" s="34" t="s">
        <v>1483</v>
      </c>
      <c r="S1168" s="33">
        <v>0</v>
      </c>
      <c r="T1168" s="35">
        <v>0</v>
      </c>
    </row>
    <row r="1169" spans="1:20">
      <c r="A1169" s="31">
        <v>1167</v>
      </c>
      <c r="B1169" s="33" t="s">
        <v>1500</v>
      </c>
      <c r="C1169" s="33">
        <v>100</v>
      </c>
      <c r="D1169" s="33">
        <v>395</v>
      </c>
      <c r="E1169" s="33">
        <v>1</v>
      </c>
      <c r="F1169" s="33">
        <v>0.20000000298023224</v>
      </c>
      <c r="G1169" s="33">
        <v>0.20000000298023224</v>
      </c>
      <c r="H1169" s="33">
        <v>0.10000000149011612</v>
      </c>
      <c r="I1169" s="33">
        <v>98.099998474121094</v>
      </c>
      <c r="J1169" s="33">
        <v>0</v>
      </c>
      <c r="K1169" s="33">
        <v>3.9999999105930328E-2</v>
      </c>
      <c r="L1169" s="33">
        <v>5.000000074505806E-2</v>
      </c>
      <c r="M1169" s="33">
        <v>0</v>
      </c>
      <c r="N1169" s="33">
        <v>0</v>
      </c>
      <c r="O1169" s="33">
        <v>107.80000305175781</v>
      </c>
      <c r="P1169" s="33">
        <v>0</v>
      </c>
      <c r="Q1169" s="33">
        <v>3</v>
      </c>
      <c r="R1169" s="34" t="s">
        <v>1483</v>
      </c>
      <c r="S1169" s="33">
        <v>0</v>
      </c>
      <c r="T1169" s="35">
        <v>0</v>
      </c>
    </row>
    <row r="1170" spans="1:20">
      <c r="A1170" s="31">
        <v>1168</v>
      </c>
      <c r="B1170" s="33" t="s">
        <v>1501</v>
      </c>
      <c r="C1170" s="33">
        <v>100</v>
      </c>
      <c r="D1170" s="33">
        <v>397</v>
      </c>
      <c r="E1170" s="33">
        <v>0.69999998807907104</v>
      </c>
      <c r="F1170" s="33">
        <v>0</v>
      </c>
      <c r="G1170" s="33">
        <v>0.40000000596046448</v>
      </c>
      <c r="H1170" s="33">
        <v>0</v>
      </c>
      <c r="I1170" s="33">
        <v>98.400001525878906</v>
      </c>
      <c r="J1170" s="33">
        <v>0</v>
      </c>
      <c r="K1170" s="33">
        <v>0</v>
      </c>
      <c r="L1170" s="33">
        <v>0</v>
      </c>
      <c r="M1170" s="33">
        <v>0.10000000149011612</v>
      </c>
      <c r="N1170" s="33">
        <v>0</v>
      </c>
      <c r="O1170" s="33">
        <v>154.69999694824219</v>
      </c>
      <c r="P1170" s="33">
        <v>10</v>
      </c>
      <c r="Q1170" s="33">
        <v>2.2999999523162842</v>
      </c>
      <c r="R1170" s="34" t="s">
        <v>1483</v>
      </c>
      <c r="S1170" s="33">
        <v>0</v>
      </c>
      <c r="T1170" s="35">
        <v>0</v>
      </c>
    </row>
    <row r="1171" spans="1:20">
      <c r="A1171" s="31">
        <v>1169</v>
      </c>
      <c r="B1171" s="33" t="s">
        <v>1502</v>
      </c>
      <c r="C1171" s="33">
        <v>100</v>
      </c>
      <c r="D1171" s="33">
        <v>436</v>
      </c>
      <c r="E1171" s="33">
        <v>3.2999999523162842</v>
      </c>
      <c r="F1171" s="33">
        <v>6</v>
      </c>
      <c r="G1171" s="33">
        <v>13.899999618530273</v>
      </c>
      <c r="H1171" s="33">
        <v>4</v>
      </c>
      <c r="I1171" s="33">
        <v>71.599998474121094</v>
      </c>
      <c r="J1171" s="33">
        <v>0</v>
      </c>
      <c r="K1171" s="33">
        <v>0.10000000149011612</v>
      </c>
      <c r="L1171" s="33">
        <v>3.9999999105930328E-2</v>
      </c>
      <c r="M1171" s="33">
        <v>3.5</v>
      </c>
      <c r="N1171" s="33">
        <v>4.8499999046325684</v>
      </c>
      <c r="O1171" s="33">
        <v>45</v>
      </c>
      <c r="P1171" s="33">
        <v>186</v>
      </c>
      <c r="Q1171" s="33">
        <v>6</v>
      </c>
      <c r="R1171" s="34" t="s">
        <v>1483</v>
      </c>
      <c r="S1171" s="33">
        <v>0</v>
      </c>
      <c r="T1171" s="35">
        <v>0</v>
      </c>
    </row>
    <row r="1172" spans="1:20">
      <c r="A1172" s="31">
        <v>1170</v>
      </c>
      <c r="B1172" s="33" t="s">
        <v>1503</v>
      </c>
      <c r="C1172" s="33">
        <v>100</v>
      </c>
      <c r="D1172" s="33">
        <v>397</v>
      </c>
      <c r="E1172" s="33">
        <v>0.40000000596046448</v>
      </c>
      <c r="F1172" s="33">
        <v>0</v>
      </c>
      <c r="G1172" s="33">
        <v>0.20000000298023224</v>
      </c>
      <c r="H1172" s="33">
        <v>0</v>
      </c>
      <c r="I1172" s="33">
        <v>98.800003051757813</v>
      </c>
      <c r="J1172" s="33">
        <v>32</v>
      </c>
      <c r="K1172" s="33">
        <v>0</v>
      </c>
      <c r="L1172" s="33">
        <v>5.000000074505806E-2</v>
      </c>
      <c r="M1172" s="33">
        <v>2.2999999523162842</v>
      </c>
      <c r="N1172" s="33">
        <v>0</v>
      </c>
      <c r="O1172" s="33">
        <v>172.10000610351563</v>
      </c>
      <c r="P1172" s="33">
        <v>14</v>
      </c>
      <c r="Q1172" s="33">
        <v>1.8999999761581421</v>
      </c>
      <c r="R1172" s="34" t="s">
        <v>1483</v>
      </c>
      <c r="S1172" s="33">
        <v>0</v>
      </c>
      <c r="T1172" s="35">
        <v>0</v>
      </c>
    </row>
    <row r="1173" spans="1:20">
      <c r="A1173" s="31">
        <v>1171</v>
      </c>
      <c r="B1173" s="33" t="s">
        <v>1504</v>
      </c>
      <c r="C1173" s="33">
        <v>100</v>
      </c>
      <c r="D1173" s="33">
        <v>538</v>
      </c>
      <c r="E1173" s="33">
        <v>4.1999998092651367</v>
      </c>
      <c r="F1173" s="33">
        <v>4.8000001907348633</v>
      </c>
      <c r="G1173" s="33">
        <v>35.599998474121094</v>
      </c>
      <c r="H1173" s="33">
        <v>4.6999998092651367</v>
      </c>
      <c r="I1173" s="33">
        <v>49.700000762939453</v>
      </c>
      <c r="J1173" s="33">
        <v>0</v>
      </c>
      <c r="K1173" s="33">
        <v>0.12999999523162842</v>
      </c>
      <c r="L1173" s="33">
        <v>0.10000000149011612</v>
      </c>
      <c r="M1173" s="33">
        <v>2.0999999046325684</v>
      </c>
      <c r="N1173" s="33">
        <v>4.3600001335144043</v>
      </c>
      <c r="O1173" s="33">
        <v>33.5</v>
      </c>
      <c r="P1173" s="33">
        <v>0</v>
      </c>
      <c r="Q1173" s="33">
        <v>10.300000190734863</v>
      </c>
      <c r="R1173" s="34" t="s">
        <v>1483</v>
      </c>
      <c r="S1173" s="33">
        <v>0</v>
      </c>
      <c r="T1173" s="35">
        <v>0</v>
      </c>
    </row>
    <row r="1174" spans="1:20">
      <c r="A1174" s="31">
        <v>1172</v>
      </c>
      <c r="B1174" s="33" t="s">
        <v>1505</v>
      </c>
      <c r="C1174" s="33">
        <v>100</v>
      </c>
      <c r="D1174" s="33">
        <v>341</v>
      </c>
      <c r="E1174" s="33">
        <v>14.100000381469727</v>
      </c>
      <c r="F1174" s="33">
        <v>0.5</v>
      </c>
      <c r="G1174" s="33">
        <v>0</v>
      </c>
      <c r="H1174" s="33">
        <v>0.5</v>
      </c>
      <c r="I1174" s="33">
        <v>84.800003051757813</v>
      </c>
      <c r="J1174" s="33">
        <v>0</v>
      </c>
      <c r="K1174" s="33">
        <v>3.9999999105930328E-2</v>
      </c>
      <c r="L1174" s="33">
        <v>0</v>
      </c>
      <c r="M1174" s="33">
        <v>0</v>
      </c>
      <c r="N1174" s="33">
        <v>0</v>
      </c>
      <c r="O1174" s="33">
        <v>18.200000762939453</v>
      </c>
      <c r="P1174" s="33">
        <v>36</v>
      </c>
      <c r="Q1174" s="33">
        <v>2.2999999523162842</v>
      </c>
      <c r="R1174" s="34" t="s">
        <v>315</v>
      </c>
      <c r="S1174" s="33">
        <v>0</v>
      </c>
      <c r="T1174" s="35">
        <v>0</v>
      </c>
    </row>
    <row r="1175" spans="1:20">
      <c r="A1175" s="31">
        <v>1173</v>
      </c>
      <c r="B1175" s="33" t="s">
        <v>1153</v>
      </c>
      <c r="C1175" s="33">
        <v>100</v>
      </c>
      <c r="D1175" s="33">
        <v>337</v>
      </c>
      <c r="E1175" s="33">
        <v>12</v>
      </c>
      <c r="F1175" s="33">
        <v>1.2000000476837158</v>
      </c>
      <c r="G1175" s="33">
        <v>0.5</v>
      </c>
      <c r="H1175" s="33">
        <v>1.3999999761581421</v>
      </c>
      <c r="I1175" s="33">
        <v>82</v>
      </c>
      <c r="J1175" s="33">
        <v>0</v>
      </c>
      <c r="K1175" s="33">
        <v>7.9999998211860657E-2</v>
      </c>
      <c r="L1175" s="33">
        <v>5.9999998658895493E-2</v>
      </c>
      <c r="M1175" s="33">
        <v>1.1000000238418579</v>
      </c>
      <c r="N1175" s="33">
        <v>0</v>
      </c>
      <c r="O1175" s="33">
        <v>4.6999998092651367</v>
      </c>
      <c r="P1175" s="33">
        <v>0</v>
      </c>
      <c r="Q1175" s="33">
        <v>10.699999809265137</v>
      </c>
      <c r="R1175" s="34" t="s">
        <v>315</v>
      </c>
      <c r="S1175" s="33">
        <v>0</v>
      </c>
      <c r="T1175" s="35">
        <v>0</v>
      </c>
    </row>
    <row r="1176" spans="1:20">
      <c r="A1176" s="31">
        <v>1174</v>
      </c>
      <c r="B1176" s="33" t="s">
        <v>1506</v>
      </c>
      <c r="C1176" s="33">
        <v>100</v>
      </c>
      <c r="D1176" s="33">
        <v>346</v>
      </c>
      <c r="E1176" s="33">
        <v>12.600000381469727</v>
      </c>
      <c r="F1176" s="33">
        <v>1.5</v>
      </c>
      <c r="G1176" s="33">
        <v>0</v>
      </c>
      <c r="H1176" s="33">
        <v>0.80000001192092896</v>
      </c>
      <c r="I1176" s="33">
        <v>85</v>
      </c>
      <c r="J1176" s="33">
        <v>0</v>
      </c>
      <c r="K1176" s="33">
        <v>9.0100002288818359</v>
      </c>
      <c r="L1176" s="33">
        <v>0</v>
      </c>
      <c r="M1176" s="33">
        <v>0.20000000298023224</v>
      </c>
      <c r="N1176" s="33">
        <v>0</v>
      </c>
      <c r="O1176" s="33">
        <v>13.300000190734863</v>
      </c>
      <c r="P1176" s="33">
        <v>34</v>
      </c>
      <c r="Q1176" s="33">
        <v>3.5999999046325684</v>
      </c>
      <c r="R1176" s="34" t="s">
        <v>315</v>
      </c>
      <c r="S1176" s="33">
        <v>0</v>
      </c>
      <c r="T1176" s="35">
        <v>0</v>
      </c>
    </row>
    <row r="1177" spans="1:20">
      <c r="A1177" s="31">
        <v>1175</v>
      </c>
      <c r="B1177" s="33" t="s">
        <v>1507</v>
      </c>
      <c r="C1177" s="33">
        <v>100</v>
      </c>
      <c r="D1177" s="33">
        <v>345</v>
      </c>
      <c r="E1177" s="33">
        <v>13.5</v>
      </c>
      <c r="F1177" s="33">
        <v>1.2000000476837158</v>
      </c>
      <c r="G1177" s="33">
        <v>0.10000000149011612</v>
      </c>
      <c r="H1177" s="33">
        <v>0.10000000149011612</v>
      </c>
      <c r="I1177" s="33">
        <v>84.900001525878906</v>
      </c>
      <c r="J1177" s="33">
        <v>0</v>
      </c>
      <c r="K1177" s="33">
        <v>2.9999999329447746E-2</v>
      </c>
      <c r="L1177" s="33">
        <v>3.9999999105930328E-2</v>
      </c>
      <c r="M1177" s="33">
        <v>1.1000000238418579</v>
      </c>
      <c r="N1177" s="33">
        <v>0</v>
      </c>
      <c r="O1177" s="33">
        <v>6.3000001907348633</v>
      </c>
      <c r="P1177" s="33">
        <v>18</v>
      </c>
      <c r="Q1177" s="33">
        <v>4</v>
      </c>
      <c r="R1177" s="34" t="s">
        <v>315</v>
      </c>
      <c r="S1177" s="33">
        <v>0</v>
      </c>
      <c r="T1177" s="35">
        <v>0</v>
      </c>
    </row>
    <row r="1178" spans="1:20">
      <c r="A1178" s="31">
        <v>1176</v>
      </c>
      <c r="B1178" s="33" t="s">
        <v>1508</v>
      </c>
      <c r="C1178" s="33">
        <v>100</v>
      </c>
      <c r="D1178" s="33">
        <v>64</v>
      </c>
      <c r="E1178" s="33">
        <v>84.300003051757813</v>
      </c>
      <c r="F1178" s="33">
        <v>0.20000000298023224</v>
      </c>
      <c r="G1178" s="33">
        <v>0.30000001192092896</v>
      </c>
      <c r="H1178" s="33">
        <v>0</v>
      </c>
      <c r="I1178" s="33">
        <v>15</v>
      </c>
      <c r="J1178" s="33">
        <v>0</v>
      </c>
      <c r="K1178" s="33">
        <v>2.9999999329447746E-2</v>
      </c>
      <c r="L1178" s="33">
        <v>9.9999997764825821E-3</v>
      </c>
      <c r="M1178" s="33">
        <v>0</v>
      </c>
      <c r="N1178" s="33">
        <v>0</v>
      </c>
      <c r="O1178" s="33">
        <v>3.9000000953674316</v>
      </c>
      <c r="P1178" s="33">
        <v>5</v>
      </c>
      <c r="Q1178" s="33">
        <v>0.5</v>
      </c>
      <c r="R1178" s="34" t="s">
        <v>315</v>
      </c>
      <c r="S1178" s="33">
        <v>0</v>
      </c>
      <c r="T1178" s="35">
        <v>0</v>
      </c>
    </row>
    <row r="1179" spans="1:20">
      <c r="A1179" s="31">
        <v>1177</v>
      </c>
      <c r="B1179" s="33" t="s">
        <v>1509</v>
      </c>
      <c r="C1179" s="33">
        <v>100</v>
      </c>
      <c r="D1179" s="33">
        <v>335</v>
      </c>
      <c r="E1179" s="33">
        <v>15</v>
      </c>
      <c r="F1179" s="33">
        <v>0.80000001192092896</v>
      </c>
      <c r="G1179" s="33">
        <v>0.20000000298023224</v>
      </c>
      <c r="H1179" s="33">
        <v>1.1000000238418579</v>
      </c>
      <c r="I1179" s="33">
        <v>82.599998474121094</v>
      </c>
      <c r="J1179" s="33">
        <v>0</v>
      </c>
      <c r="K1179" s="33">
        <v>2.9999999329447746E-2</v>
      </c>
      <c r="L1179" s="33">
        <v>1.9999999552965164E-2</v>
      </c>
      <c r="M1179" s="33">
        <v>0.40000000596046448</v>
      </c>
      <c r="N1179" s="33">
        <v>0</v>
      </c>
      <c r="O1179" s="33">
        <v>9.3000001907348633</v>
      </c>
      <c r="P1179" s="33">
        <v>31</v>
      </c>
      <c r="Q1179" s="33">
        <v>6.4000000953674316</v>
      </c>
      <c r="R1179" s="34" t="s">
        <v>315</v>
      </c>
      <c r="S1179" s="33">
        <v>0</v>
      </c>
      <c r="T1179" s="35">
        <v>0</v>
      </c>
    </row>
    <row r="1180" spans="1:20">
      <c r="A1180" s="31">
        <v>1178</v>
      </c>
      <c r="B1180" s="33" t="s">
        <v>1510</v>
      </c>
      <c r="C1180" s="33">
        <v>100</v>
      </c>
      <c r="D1180" s="33">
        <v>337</v>
      </c>
      <c r="E1180" s="33">
        <v>14.300000190734863</v>
      </c>
      <c r="F1180" s="33">
        <v>0.5</v>
      </c>
      <c r="G1180" s="33">
        <v>0.10000000149011612</v>
      </c>
      <c r="H1180" s="33">
        <v>0.60000002384185791</v>
      </c>
      <c r="I1180" s="33">
        <v>83.599998474121094</v>
      </c>
      <c r="J1180" s="33">
        <v>0</v>
      </c>
      <c r="K1180" s="33">
        <v>9.9999997764825821E-3</v>
      </c>
      <c r="L1180" s="33">
        <v>0</v>
      </c>
      <c r="M1180" s="33">
        <v>0.10000000149011612</v>
      </c>
      <c r="N1180" s="33">
        <v>0</v>
      </c>
      <c r="O1180" s="33">
        <v>9.6000003814697266</v>
      </c>
      <c r="P1180" s="33">
        <v>35</v>
      </c>
      <c r="Q1180" s="33">
        <v>5.1999998092651367</v>
      </c>
      <c r="R1180" s="34" t="s">
        <v>315</v>
      </c>
      <c r="S1180" s="33">
        <v>0</v>
      </c>
      <c r="T1180" s="35">
        <v>0</v>
      </c>
    </row>
    <row r="1181" spans="1:20">
      <c r="A1181" s="31">
        <v>1179</v>
      </c>
      <c r="B1181" s="33" t="s">
        <v>1511</v>
      </c>
      <c r="C1181" s="33">
        <v>100</v>
      </c>
      <c r="D1181" s="33">
        <v>37</v>
      </c>
      <c r="E1181" s="33">
        <v>90.5</v>
      </c>
      <c r="F1181" s="33">
        <v>0.20000000298023224</v>
      </c>
      <c r="G1181" s="33">
        <v>0.30000001192092896</v>
      </c>
      <c r="H1181" s="33">
        <v>0.60000002384185791</v>
      </c>
      <c r="I1181" s="33">
        <v>8.3000001907348633</v>
      </c>
      <c r="J1181" s="33">
        <v>0</v>
      </c>
      <c r="K1181" s="33">
        <v>1.9999999552965164E-2</v>
      </c>
      <c r="L1181" s="33">
        <v>9.9999997764825821E-3</v>
      </c>
      <c r="M1181" s="33">
        <v>0.20000000298023224</v>
      </c>
      <c r="N1181" s="33">
        <v>0</v>
      </c>
      <c r="O1181" s="33">
        <v>2.7999999523162842</v>
      </c>
      <c r="P1181" s="33">
        <v>9</v>
      </c>
      <c r="Q1181" s="33">
        <v>1.2999999523162842</v>
      </c>
      <c r="R1181" s="34" t="s">
        <v>1042</v>
      </c>
      <c r="S1181" s="33">
        <v>0</v>
      </c>
      <c r="T1181" s="35">
        <v>0</v>
      </c>
    </row>
    <row r="1182" spans="1:20">
      <c r="A1182" s="31">
        <v>1180</v>
      </c>
      <c r="B1182" s="33" t="s">
        <v>1512</v>
      </c>
      <c r="C1182" s="33">
        <v>100</v>
      </c>
      <c r="D1182" s="33">
        <v>31</v>
      </c>
      <c r="E1182" s="33">
        <v>90.599998474121094</v>
      </c>
      <c r="F1182" s="33">
        <v>2.0999999046325684</v>
      </c>
      <c r="G1182" s="33">
        <v>0.30000001192092896</v>
      </c>
      <c r="H1182" s="33">
        <v>0</v>
      </c>
      <c r="I1182" s="33">
        <v>4.9000000953674316</v>
      </c>
      <c r="J1182" s="33">
        <v>0</v>
      </c>
      <c r="K1182" s="33">
        <v>2.9999999329447746E-2</v>
      </c>
      <c r="L1182" s="33">
        <v>5.000000074505806E-2</v>
      </c>
      <c r="M1182" s="33">
        <v>1.3999999761581421</v>
      </c>
      <c r="N1182" s="33">
        <v>0</v>
      </c>
      <c r="O1182" s="33">
        <v>262.10000610351563</v>
      </c>
      <c r="P1182" s="33">
        <v>17</v>
      </c>
      <c r="Q1182" s="33">
        <v>6</v>
      </c>
      <c r="R1182" s="34" t="s">
        <v>1513</v>
      </c>
      <c r="S1182" s="33">
        <v>0</v>
      </c>
      <c r="T1182" s="35">
        <v>0</v>
      </c>
    </row>
    <row r="1183" spans="1:20">
      <c r="A1183" s="31">
        <v>1181</v>
      </c>
      <c r="B1183" s="33" t="s">
        <v>1514</v>
      </c>
      <c r="C1183" s="33">
        <v>100</v>
      </c>
      <c r="D1183" s="33">
        <v>184</v>
      </c>
      <c r="E1183" s="33">
        <v>47.900001525878906</v>
      </c>
      <c r="F1183" s="33">
        <v>7.9000000953674316</v>
      </c>
      <c r="G1183" s="33">
        <v>5.9000000953674316</v>
      </c>
      <c r="H1183" s="33">
        <v>2.2000000476837158</v>
      </c>
      <c r="I1183" s="33">
        <v>24.799999237060547</v>
      </c>
      <c r="J1183" s="33">
        <v>0</v>
      </c>
      <c r="K1183" s="33">
        <v>3.9999999105930328E-2</v>
      </c>
      <c r="L1183" s="33">
        <v>0.25999999046325684</v>
      </c>
      <c r="M1183" s="33">
        <v>1.2999999523162842</v>
      </c>
      <c r="N1183" s="33">
        <v>18.200000762939453</v>
      </c>
      <c r="O1183" s="33">
        <v>2201.5</v>
      </c>
      <c r="P1183" s="33">
        <v>66</v>
      </c>
      <c r="Q1183" s="33">
        <v>9.8999996185302734</v>
      </c>
      <c r="R1183" s="34" t="s">
        <v>1513</v>
      </c>
      <c r="S1183" s="33">
        <v>0</v>
      </c>
      <c r="T1183" s="35">
        <v>0</v>
      </c>
    </row>
    <row r="1184" spans="1:20">
      <c r="A1184" s="31">
        <v>1182</v>
      </c>
      <c r="B1184" s="33" t="s">
        <v>1515</v>
      </c>
      <c r="C1184" s="33">
        <v>100</v>
      </c>
      <c r="D1184" s="33">
        <v>178</v>
      </c>
      <c r="E1184" s="33">
        <v>46.599998474121094</v>
      </c>
      <c r="F1184" s="33">
        <v>13.600000381469727</v>
      </c>
      <c r="G1184" s="33">
        <v>6.8000001907348633</v>
      </c>
      <c r="H1184" s="33">
        <v>1.5</v>
      </c>
      <c r="I1184" s="33">
        <v>15.600000381469727</v>
      </c>
      <c r="J1184" s="33">
        <v>0</v>
      </c>
      <c r="K1184" s="33">
        <v>0.10999999940395355</v>
      </c>
      <c r="L1184" s="33">
        <v>0.46000000834465027</v>
      </c>
      <c r="M1184" s="33">
        <v>2.4000000953674316</v>
      </c>
      <c r="N1184" s="33">
        <v>0.56999999284744263</v>
      </c>
      <c r="O1184" s="33">
        <v>6012</v>
      </c>
      <c r="P1184" s="33">
        <v>53</v>
      </c>
      <c r="Q1184" s="33">
        <v>16.399999618530273</v>
      </c>
      <c r="R1184" s="34" t="s">
        <v>1513</v>
      </c>
      <c r="S1184" s="33">
        <v>0</v>
      </c>
      <c r="T1184" s="35">
        <v>0</v>
      </c>
    </row>
    <row r="1185" spans="1:20">
      <c r="A1185" s="31">
        <v>1183</v>
      </c>
      <c r="B1185" s="33" t="s">
        <v>1516</v>
      </c>
      <c r="C1185" s="33">
        <v>100</v>
      </c>
      <c r="D1185" s="33">
        <v>244</v>
      </c>
      <c r="E1185" s="33">
        <v>22.700000762939453</v>
      </c>
      <c r="F1185" s="33">
        <v>24.100000381469727</v>
      </c>
      <c r="G1185" s="33">
        <v>0</v>
      </c>
      <c r="H1185" s="33">
        <v>5.9000000953674316</v>
      </c>
      <c r="I1185" s="33">
        <v>36.799999237060547</v>
      </c>
      <c r="J1185" s="33">
        <v>0</v>
      </c>
      <c r="K1185" s="33">
        <v>1.9999999552965164E-2</v>
      </c>
      <c r="L1185" s="33">
        <v>9.0000003576278687E-2</v>
      </c>
      <c r="M1185" s="33">
        <v>0.60000002384185791</v>
      </c>
      <c r="N1185" s="33">
        <v>40.689998626708984</v>
      </c>
      <c r="O1185" s="33">
        <v>263.79998779296875</v>
      </c>
      <c r="P1185" s="33">
        <v>29</v>
      </c>
      <c r="Q1185" s="33">
        <v>3.7000000476837158</v>
      </c>
      <c r="R1185" s="34" t="s">
        <v>1513</v>
      </c>
      <c r="S1185" s="33">
        <v>0</v>
      </c>
      <c r="T1185" s="35">
        <v>0</v>
      </c>
    </row>
    <row r="1186" spans="1:20">
      <c r="A1186" s="31">
        <v>1184</v>
      </c>
      <c r="B1186" s="33" t="s">
        <v>1517</v>
      </c>
      <c r="C1186" s="33">
        <v>100</v>
      </c>
      <c r="D1186" s="33">
        <v>131</v>
      </c>
      <c r="E1186" s="33">
        <v>50.599998474121094</v>
      </c>
      <c r="F1186" s="33">
        <v>12.100000381469727</v>
      </c>
      <c r="G1186" s="33">
        <v>1.2000000476837158</v>
      </c>
      <c r="H1186" s="33">
        <v>3.4000000953674316</v>
      </c>
      <c r="I1186" s="33">
        <v>17.899999618530273</v>
      </c>
      <c r="J1186" s="33">
        <v>13</v>
      </c>
      <c r="K1186" s="33">
        <v>5.000000074505806E-2</v>
      </c>
      <c r="L1186" s="33">
        <v>0.2800000011920929</v>
      </c>
      <c r="M1186" s="33">
        <v>2.4000000953674316</v>
      </c>
      <c r="N1186" s="33">
        <v>14.119999885559082</v>
      </c>
      <c r="O1186" s="33">
        <v>3606.10009765625</v>
      </c>
      <c r="P1186" s="33">
        <v>70</v>
      </c>
      <c r="Q1186" s="33">
        <v>7</v>
      </c>
      <c r="R1186" s="34" t="s">
        <v>1513</v>
      </c>
      <c r="S1186" s="33">
        <v>0</v>
      </c>
      <c r="T1186" s="35">
        <v>0</v>
      </c>
    </row>
    <row r="1187" spans="1:20">
      <c r="A1187" s="31">
        <v>1185</v>
      </c>
      <c r="B1187" s="33" t="s">
        <v>1518</v>
      </c>
      <c r="C1187" s="33">
        <v>100</v>
      </c>
      <c r="D1187" s="33">
        <v>594</v>
      </c>
      <c r="E1187" s="33">
        <v>0.5</v>
      </c>
      <c r="F1187" s="33">
        <v>6.9000000953674316</v>
      </c>
      <c r="G1187" s="33">
        <v>53</v>
      </c>
      <c r="H1187" s="33">
        <v>3</v>
      </c>
      <c r="I1187" s="33">
        <v>22.299999237060547</v>
      </c>
      <c r="J1187" s="33">
        <v>0</v>
      </c>
      <c r="K1187" s="33">
        <v>9.9999997764825821E-3</v>
      </c>
      <c r="L1187" s="33">
        <v>0.15000000596046448</v>
      </c>
      <c r="M1187" s="33">
        <v>2</v>
      </c>
      <c r="N1187" s="33">
        <v>2.0899999141693115</v>
      </c>
      <c r="O1187" s="33">
        <v>2340</v>
      </c>
      <c r="P1187" s="33">
        <v>67</v>
      </c>
      <c r="Q1187" s="33">
        <v>7.1999998092651367</v>
      </c>
      <c r="R1187" s="34" t="s">
        <v>1513</v>
      </c>
      <c r="S1187" s="33">
        <v>0</v>
      </c>
      <c r="T1187" s="35">
        <v>0</v>
      </c>
    </row>
    <row r="1188" spans="1:20">
      <c r="A1188" s="31">
        <v>1186</v>
      </c>
      <c r="B1188" s="33" t="s">
        <v>1519</v>
      </c>
      <c r="C1188" s="33">
        <v>100</v>
      </c>
      <c r="D1188" s="33">
        <v>63</v>
      </c>
      <c r="E1188" s="33">
        <v>67.300003051757813</v>
      </c>
      <c r="F1188" s="33">
        <v>5.5999999046325684</v>
      </c>
      <c r="G1188" s="33">
        <v>0.10000000149011612</v>
      </c>
      <c r="H1188" s="33">
        <v>0.20000000298023224</v>
      </c>
      <c r="I1188" s="33">
        <v>9.8999996185302734</v>
      </c>
      <c r="J1188" s="33">
        <v>0</v>
      </c>
      <c r="K1188" s="33">
        <v>5.000000074505806E-2</v>
      </c>
      <c r="L1188" s="33">
        <v>0.12999999523162842</v>
      </c>
      <c r="M1188" s="33">
        <v>1.7000000476837158</v>
      </c>
      <c r="N1188" s="33">
        <v>0</v>
      </c>
      <c r="O1188" s="33">
        <v>5757</v>
      </c>
      <c r="P1188" s="33">
        <v>66</v>
      </c>
      <c r="Q1188" s="33">
        <v>8.6000003814697266</v>
      </c>
      <c r="R1188" s="34" t="s">
        <v>1513</v>
      </c>
      <c r="S1188" s="33">
        <v>0</v>
      </c>
      <c r="T1188" s="35">
        <v>0</v>
      </c>
    </row>
    <row r="1189" spans="1:20">
      <c r="A1189" s="31">
        <v>1187</v>
      </c>
      <c r="B1189" s="33" t="s">
        <v>1520</v>
      </c>
      <c r="C1189" s="33">
        <v>100</v>
      </c>
      <c r="D1189" s="33">
        <v>38</v>
      </c>
      <c r="E1189" s="33">
        <v>75.199996948242188</v>
      </c>
      <c r="F1189" s="33">
        <v>3.5</v>
      </c>
      <c r="G1189" s="33">
        <v>0.10000000149011612</v>
      </c>
      <c r="H1189" s="33">
        <v>0</v>
      </c>
      <c r="I1189" s="33">
        <v>5.9000000953674316</v>
      </c>
      <c r="J1189" s="33">
        <v>0</v>
      </c>
      <c r="K1189" s="33">
        <v>9.9999997764825821E-3</v>
      </c>
      <c r="L1189" s="33">
        <v>0.17000000178813934</v>
      </c>
      <c r="M1189" s="33">
        <v>1.1000000238418579</v>
      </c>
      <c r="N1189" s="33">
        <v>0</v>
      </c>
      <c r="O1189" s="33">
        <v>2057</v>
      </c>
      <c r="P1189" s="33">
        <v>18</v>
      </c>
      <c r="Q1189" s="33">
        <v>1.2999999523162842</v>
      </c>
      <c r="R1189" s="34" t="s">
        <v>1513</v>
      </c>
      <c r="S1189" s="33">
        <v>0</v>
      </c>
      <c r="T1189" s="35">
        <v>0</v>
      </c>
    </row>
    <row r="1190" spans="1:20">
      <c r="A1190" s="31">
        <v>1188</v>
      </c>
      <c r="B1190" s="33" t="s">
        <v>1521</v>
      </c>
      <c r="C1190" s="33">
        <v>100</v>
      </c>
      <c r="D1190" s="33">
        <v>86</v>
      </c>
      <c r="E1190" s="33">
        <v>58.200000762939453</v>
      </c>
      <c r="F1190" s="33">
        <v>7.8000001907348633</v>
      </c>
      <c r="G1190" s="33">
        <v>0.40000000596046448</v>
      </c>
      <c r="H1190" s="33">
        <v>0</v>
      </c>
      <c r="I1190" s="33">
        <v>12.899999618530273</v>
      </c>
      <c r="J1190" s="33">
        <v>0</v>
      </c>
      <c r="K1190" s="33">
        <v>0</v>
      </c>
      <c r="L1190" s="33">
        <v>0</v>
      </c>
      <c r="M1190" s="33">
        <v>1.5</v>
      </c>
      <c r="N1190" s="33">
        <v>0</v>
      </c>
      <c r="O1190" s="33">
        <v>4050</v>
      </c>
      <c r="P1190" s="33">
        <v>79</v>
      </c>
      <c r="Q1190" s="33">
        <v>4.5</v>
      </c>
      <c r="R1190" s="34" t="s">
        <v>1513</v>
      </c>
      <c r="S1190" s="33">
        <v>0</v>
      </c>
      <c r="T1190" s="35">
        <v>0</v>
      </c>
    </row>
    <row r="1191" spans="1:20">
      <c r="A1191" s="31">
        <v>1189</v>
      </c>
      <c r="B1191" s="33" t="s">
        <v>1522</v>
      </c>
      <c r="C1191" s="33">
        <v>100</v>
      </c>
      <c r="D1191" s="33">
        <v>71</v>
      </c>
      <c r="E1191" s="33">
        <v>67.5</v>
      </c>
      <c r="F1191" s="33">
        <v>8.3999996185302734</v>
      </c>
      <c r="G1191" s="33">
        <v>0.20000000298023224</v>
      </c>
      <c r="H1191" s="33">
        <v>0</v>
      </c>
      <c r="I1191" s="33">
        <v>9</v>
      </c>
      <c r="J1191" s="33">
        <v>0</v>
      </c>
      <c r="K1191" s="33">
        <v>9.9999997764825821E-3</v>
      </c>
      <c r="L1191" s="33">
        <v>5.000000074505806E-2</v>
      </c>
      <c r="M1191" s="33">
        <v>1.5</v>
      </c>
      <c r="N1191" s="33">
        <v>0</v>
      </c>
      <c r="O1191" s="33">
        <v>4056</v>
      </c>
      <c r="P1191" s="33">
        <v>30</v>
      </c>
      <c r="Q1191" s="33">
        <v>3</v>
      </c>
      <c r="R1191" s="34" t="s">
        <v>1513</v>
      </c>
      <c r="S1191" s="33">
        <v>0</v>
      </c>
      <c r="T1191" s="35">
        <v>0</v>
      </c>
    </row>
    <row r="1192" spans="1:20">
      <c r="A1192" s="31">
        <v>1190</v>
      </c>
      <c r="B1192" s="33" t="s">
        <v>1523</v>
      </c>
      <c r="C1192" s="33">
        <v>100</v>
      </c>
      <c r="D1192" s="33">
        <v>41</v>
      </c>
      <c r="E1192" s="33">
        <v>74.300003051757813</v>
      </c>
      <c r="F1192" s="33">
        <v>3.4000000953674316</v>
      </c>
      <c r="G1192" s="33">
        <v>0.10000000149011612</v>
      </c>
      <c r="H1192" s="33">
        <v>0</v>
      </c>
      <c r="I1192" s="33">
        <v>6.5999999046325684</v>
      </c>
      <c r="J1192" s="33">
        <v>0</v>
      </c>
      <c r="K1192" s="33">
        <v>0</v>
      </c>
      <c r="L1192" s="33">
        <v>0.17000000178813934</v>
      </c>
      <c r="M1192" s="33">
        <v>0.80000001192092896</v>
      </c>
      <c r="N1192" s="33">
        <v>0</v>
      </c>
      <c r="O1192" s="33">
        <v>2462</v>
      </c>
      <c r="P1192" s="33">
        <v>58</v>
      </c>
      <c r="Q1192" s="33">
        <v>1.7000000476837158</v>
      </c>
      <c r="R1192" s="34" t="s">
        <v>1513</v>
      </c>
      <c r="S1192" s="33">
        <v>0</v>
      </c>
      <c r="T1192" s="35">
        <v>0</v>
      </c>
    </row>
    <row r="1193" spans="1:20">
      <c r="A1193" s="31">
        <v>1191</v>
      </c>
      <c r="B1193" s="33" t="s">
        <v>1524</v>
      </c>
      <c r="C1193" s="33">
        <v>100</v>
      </c>
      <c r="D1193" s="33">
        <v>40</v>
      </c>
      <c r="E1193" s="33">
        <v>74.199996948242188</v>
      </c>
      <c r="F1193" s="33">
        <v>6.8000001907348633</v>
      </c>
      <c r="G1193" s="33">
        <v>0.40000000596046448</v>
      </c>
      <c r="H1193" s="33">
        <v>0</v>
      </c>
      <c r="I1193" s="33">
        <v>2.4000000953674316</v>
      </c>
      <c r="J1193" s="33">
        <v>0</v>
      </c>
      <c r="K1193" s="33">
        <v>9.9999997764825821E-3</v>
      </c>
      <c r="L1193" s="33">
        <v>1.9999999552965164E-2</v>
      </c>
      <c r="M1193" s="33">
        <v>0</v>
      </c>
      <c r="N1193" s="33">
        <v>0</v>
      </c>
      <c r="O1193" s="33">
        <v>1903</v>
      </c>
      <c r="P1193" s="33">
        <v>14</v>
      </c>
      <c r="Q1193" s="33">
        <v>2</v>
      </c>
      <c r="R1193" s="34" t="s">
        <v>1513</v>
      </c>
      <c r="S1193" s="33">
        <v>0</v>
      </c>
      <c r="T1193" s="35">
        <v>0</v>
      </c>
    </row>
    <row r="1194" spans="1:20">
      <c r="A1194" s="31">
        <v>1192</v>
      </c>
      <c r="B1194" s="33" t="s">
        <v>1525</v>
      </c>
      <c r="C1194" s="33">
        <v>100</v>
      </c>
      <c r="D1194" s="33">
        <v>71</v>
      </c>
      <c r="E1194" s="33">
        <v>64.599998474121094</v>
      </c>
      <c r="F1194" s="33">
        <v>9.3999996185302734</v>
      </c>
      <c r="G1194" s="33">
        <v>0.60000002384185791</v>
      </c>
      <c r="H1194" s="33">
        <v>0</v>
      </c>
      <c r="I1194" s="33">
        <v>6.8000001907348633</v>
      </c>
      <c r="J1194" s="33">
        <v>0</v>
      </c>
      <c r="K1194" s="33">
        <v>0</v>
      </c>
      <c r="L1194" s="33">
        <v>1.9999999552965164E-2</v>
      </c>
      <c r="M1194" s="33">
        <v>2.2000000476837158</v>
      </c>
      <c r="N1194" s="33">
        <v>0</v>
      </c>
      <c r="O1194" s="33">
        <v>3836.300048828125</v>
      </c>
      <c r="P1194" s="33">
        <v>47</v>
      </c>
      <c r="Q1194" s="33">
        <v>7</v>
      </c>
      <c r="R1194" s="34" t="s">
        <v>1513</v>
      </c>
      <c r="S1194" s="33">
        <v>0</v>
      </c>
      <c r="T1194" s="35">
        <v>0</v>
      </c>
    </row>
    <row r="1195" spans="1:20">
      <c r="A1195" s="31">
        <v>1193</v>
      </c>
      <c r="B1195" s="33" t="s">
        <v>1526</v>
      </c>
      <c r="C1195" s="33">
        <v>100</v>
      </c>
      <c r="D1195" s="33">
        <v>55</v>
      </c>
      <c r="E1195" s="33">
        <v>70.800003051757813</v>
      </c>
      <c r="F1195" s="33">
        <v>6.6999998092651367</v>
      </c>
      <c r="G1195" s="33">
        <v>0</v>
      </c>
      <c r="H1195" s="33">
        <v>0.10000000149011612</v>
      </c>
      <c r="I1195" s="33">
        <v>7.0999999046325684</v>
      </c>
      <c r="J1195" s="33">
        <v>0</v>
      </c>
      <c r="K1195" s="33">
        <v>9.0000003576278687E-2</v>
      </c>
      <c r="L1195" s="33">
        <v>5.000000074505806E-2</v>
      </c>
      <c r="M1195" s="33">
        <v>0</v>
      </c>
      <c r="N1195" s="33">
        <v>0</v>
      </c>
      <c r="O1195" s="33">
        <v>4580</v>
      </c>
      <c r="P1195" s="33">
        <v>33</v>
      </c>
      <c r="Q1195" s="33">
        <v>3.9000000953674316</v>
      </c>
      <c r="R1195" s="34" t="s">
        <v>1513</v>
      </c>
      <c r="S1195" s="33">
        <v>0</v>
      </c>
      <c r="T1195" s="35">
        <v>0</v>
      </c>
    </row>
    <row r="1196" spans="1:20">
      <c r="A1196" s="31">
        <v>1194</v>
      </c>
      <c r="B1196" s="33" t="s">
        <v>1527</v>
      </c>
      <c r="C1196" s="33">
        <v>100</v>
      </c>
      <c r="D1196" s="33">
        <v>51</v>
      </c>
      <c r="E1196" s="33">
        <v>71.599998474121094</v>
      </c>
      <c r="F1196" s="33">
        <v>6.9000000953674316</v>
      </c>
      <c r="G1196" s="33">
        <v>0.10000000149011612</v>
      </c>
      <c r="H1196" s="33">
        <v>0</v>
      </c>
      <c r="I1196" s="33">
        <v>5.6999998092651367</v>
      </c>
      <c r="J1196" s="33">
        <v>0</v>
      </c>
      <c r="K1196" s="33">
        <v>3.9999999105930328E-2</v>
      </c>
      <c r="L1196" s="33">
        <v>5.000000074505806E-2</v>
      </c>
      <c r="M1196" s="33">
        <v>3.7999999523162842</v>
      </c>
      <c r="N1196" s="33">
        <v>0</v>
      </c>
      <c r="O1196" s="33">
        <v>5843.2001953125</v>
      </c>
      <c r="P1196" s="33">
        <v>589</v>
      </c>
      <c r="Q1196" s="33">
        <v>3.7999999523162842</v>
      </c>
      <c r="R1196" s="34" t="s">
        <v>1513</v>
      </c>
      <c r="S1196" s="33">
        <v>0</v>
      </c>
      <c r="T1196" s="35">
        <v>0</v>
      </c>
    </row>
    <row r="1197" spans="1:20">
      <c r="A1197" s="31">
        <v>1195</v>
      </c>
      <c r="B1197" s="33" t="s">
        <v>1528</v>
      </c>
      <c r="C1197" s="33">
        <v>100</v>
      </c>
      <c r="D1197" s="33">
        <v>66</v>
      </c>
      <c r="E1197" s="33">
        <v>64.800003051757813</v>
      </c>
      <c r="F1197" s="33">
        <v>8.3000001907348633</v>
      </c>
      <c r="G1197" s="33">
        <v>0.60000002384185791</v>
      </c>
      <c r="H1197" s="33">
        <v>0</v>
      </c>
      <c r="I1197" s="33">
        <v>6.9000000953674316</v>
      </c>
      <c r="J1197" s="33">
        <v>0</v>
      </c>
      <c r="K1197" s="33">
        <v>2.9999999329447746E-2</v>
      </c>
      <c r="L1197" s="33">
        <v>0.25</v>
      </c>
      <c r="M1197" s="33">
        <v>1.7000000476837158</v>
      </c>
      <c r="N1197" s="33">
        <v>0</v>
      </c>
      <c r="O1197" s="33">
        <v>4861.10009765625</v>
      </c>
      <c r="P1197" s="33">
        <v>27</v>
      </c>
      <c r="Q1197" s="33">
        <v>7</v>
      </c>
      <c r="R1197" s="34" t="s">
        <v>1513</v>
      </c>
      <c r="S1197" s="33">
        <v>0</v>
      </c>
      <c r="T1197" s="35">
        <v>0</v>
      </c>
    </row>
    <row r="1198" spans="1:20">
      <c r="A1198" s="31">
        <v>1196</v>
      </c>
      <c r="B1198" s="33" t="s">
        <v>1529</v>
      </c>
      <c r="C1198" s="33">
        <v>100</v>
      </c>
      <c r="D1198" s="33">
        <v>99</v>
      </c>
      <c r="E1198" s="33">
        <v>54.700000762939453</v>
      </c>
      <c r="F1198" s="33">
        <v>13</v>
      </c>
      <c r="G1198" s="33">
        <v>0.69999998807907104</v>
      </c>
      <c r="H1198" s="33">
        <v>0</v>
      </c>
      <c r="I1198" s="33">
        <v>10.199999809265137</v>
      </c>
      <c r="J1198" s="33">
        <v>0</v>
      </c>
      <c r="K1198" s="33">
        <v>7.9999998211860657E-2</v>
      </c>
      <c r="L1198" s="33">
        <v>5.000000074505806E-2</v>
      </c>
      <c r="M1198" s="33">
        <v>2.2999999523162842</v>
      </c>
      <c r="N1198" s="33">
        <v>0</v>
      </c>
      <c r="O1198" s="33">
        <v>7700</v>
      </c>
      <c r="P1198" s="33">
        <v>46</v>
      </c>
      <c r="Q1198" s="33">
        <v>8.6000003814697266</v>
      </c>
      <c r="R1198" s="34" t="s">
        <v>1513</v>
      </c>
      <c r="S1198" s="33">
        <v>0</v>
      </c>
      <c r="T1198" s="35">
        <v>0</v>
      </c>
    </row>
    <row r="1199" spans="1:20">
      <c r="A1199" s="31">
        <v>1197</v>
      </c>
      <c r="B1199" s="33" t="s">
        <v>1530</v>
      </c>
      <c r="C1199" s="33">
        <v>100</v>
      </c>
      <c r="D1199" s="33">
        <v>476</v>
      </c>
      <c r="E1199" s="33">
        <v>7.1999998092651367</v>
      </c>
      <c r="F1199" s="33">
        <v>23.600000381469727</v>
      </c>
      <c r="G1199" s="33">
        <v>29.899999618530273</v>
      </c>
      <c r="H1199" s="33">
        <v>7.1999998092651367</v>
      </c>
      <c r="I1199" s="33">
        <v>28.100000381469727</v>
      </c>
      <c r="J1199" s="33">
        <v>32</v>
      </c>
      <c r="K1199" s="33">
        <v>0.17000000178813934</v>
      </c>
      <c r="L1199" s="33">
        <v>0.37999999523162842</v>
      </c>
      <c r="M1199" s="33">
        <v>4.8299999237060547</v>
      </c>
      <c r="N1199" s="33">
        <v>9.8299999237060547</v>
      </c>
      <c r="O1199" s="33">
        <v>7.8000001907348633</v>
      </c>
      <c r="P1199" s="33">
        <v>656</v>
      </c>
      <c r="Q1199" s="33">
        <v>17.200000762939453</v>
      </c>
      <c r="R1199" s="34" t="s">
        <v>1513</v>
      </c>
      <c r="S1199" s="33">
        <v>0</v>
      </c>
      <c r="T1199" s="35">
        <v>0</v>
      </c>
    </row>
    <row r="1200" spans="1:20">
      <c r="A1200" s="31">
        <v>1198</v>
      </c>
      <c r="B1200" s="33" t="s">
        <v>1297</v>
      </c>
      <c r="C1200" s="33">
        <v>100</v>
      </c>
      <c r="D1200" s="33">
        <v>15</v>
      </c>
      <c r="E1200" s="33">
        <v>79</v>
      </c>
      <c r="F1200" s="33">
        <v>1.2999999523162842</v>
      </c>
      <c r="G1200" s="33">
        <v>0.30000001192092896</v>
      </c>
      <c r="H1200" s="33">
        <v>1</v>
      </c>
      <c r="I1200" s="33">
        <v>1.7999999523162842</v>
      </c>
      <c r="J1200" s="33">
        <v>28</v>
      </c>
      <c r="K1200" s="33">
        <v>3.9999999105930328E-2</v>
      </c>
      <c r="L1200" s="33">
        <v>5.9999998658895493E-2</v>
      </c>
      <c r="M1200" s="33">
        <v>0.69999998807907104</v>
      </c>
      <c r="N1200" s="33">
        <v>0.25</v>
      </c>
      <c r="O1200" s="33">
        <v>5184</v>
      </c>
      <c r="P1200" s="33">
        <v>76</v>
      </c>
      <c r="Q1200" s="33">
        <v>5.3000001907348633</v>
      </c>
      <c r="R1200" s="34" t="s">
        <v>1513</v>
      </c>
      <c r="S1200" s="33">
        <v>0</v>
      </c>
      <c r="T1200" s="35">
        <v>0</v>
      </c>
    </row>
    <row r="1201" spans="1:20">
      <c r="A1201" s="31">
        <v>1199</v>
      </c>
      <c r="B1201" s="33" t="s">
        <v>1531</v>
      </c>
      <c r="C1201" s="33">
        <v>100</v>
      </c>
      <c r="D1201" s="33">
        <v>59</v>
      </c>
      <c r="E1201" s="33">
        <v>64.5</v>
      </c>
      <c r="F1201" s="33">
        <v>3.5999999046325684</v>
      </c>
      <c r="G1201" s="33">
        <v>2.4000000953674316</v>
      </c>
      <c r="H1201" s="33">
        <v>7.1999998092651367</v>
      </c>
      <c r="I1201" s="33">
        <v>5.6999998092651367</v>
      </c>
      <c r="J1201" s="33">
        <v>417</v>
      </c>
      <c r="K1201" s="33">
        <v>1.9999999552965164E-2</v>
      </c>
      <c r="L1201" s="33">
        <v>0.20000000298023224</v>
      </c>
      <c r="M1201" s="33">
        <v>1.5</v>
      </c>
      <c r="N1201" s="33">
        <v>13.619999885559082</v>
      </c>
      <c r="O1201" s="33">
        <v>1268.699951171875</v>
      </c>
      <c r="P1201" s="33">
        <v>207</v>
      </c>
      <c r="Q1201" s="33">
        <v>5.3000001907348633</v>
      </c>
      <c r="R1201" s="34" t="s">
        <v>1513</v>
      </c>
      <c r="S1201" s="33">
        <v>0</v>
      </c>
      <c r="T1201" s="35">
        <v>0</v>
      </c>
    </row>
    <row r="1202" spans="1:20">
      <c r="A1202" s="31">
        <v>1200</v>
      </c>
      <c r="B1202" s="33" t="s">
        <v>1532</v>
      </c>
      <c r="C1202" s="33">
        <v>100</v>
      </c>
      <c r="D1202" s="33">
        <v>135</v>
      </c>
      <c r="E1202" s="33">
        <v>52.299999237060547</v>
      </c>
      <c r="F1202" s="33">
        <v>5.8000001907348633</v>
      </c>
      <c r="G1202" s="33">
        <v>5.0999999046325684</v>
      </c>
      <c r="H1202" s="33">
        <v>5</v>
      </c>
      <c r="I1202" s="33">
        <v>16.399999618530273</v>
      </c>
      <c r="J1202" s="33">
        <v>37</v>
      </c>
      <c r="K1202" s="33">
        <v>0</v>
      </c>
      <c r="L1202" s="33">
        <v>0.15999999642372131</v>
      </c>
      <c r="M1202" s="33">
        <v>2</v>
      </c>
      <c r="N1202" s="33">
        <v>0.98000001907348633</v>
      </c>
      <c r="O1202" s="33">
        <v>3222.5</v>
      </c>
      <c r="P1202" s="33">
        <v>186</v>
      </c>
      <c r="Q1202" s="33">
        <v>13</v>
      </c>
      <c r="R1202" s="34" t="s">
        <v>1513</v>
      </c>
      <c r="S1202" s="33">
        <v>0</v>
      </c>
      <c r="T1202" s="35">
        <v>0</v>
      </c>
    </row>
    <row r="1203" spans="1:20">
      <c r="A1203" s="31">
        <v>1201</v>
      </c>
      <c r="B1203" s="33" t="s">
        <v>1533</v>
      </c>
      <c r="C1203" s="33">
        <v>100</v>
      </c>
      <c r="D1203" s="33">
        <v>127</v>
      </c>
      <c r="E1203" s="33">
        <v>59</v>
      </c>
      <c r="F1203" s="33">
        <v>9.6999998092651367</v>
      </c>
      <c r="G1203" s="33">
        <v>6.0999999046325684</v>
      </c>
      <c r="H1203" s="33">
        <v>1.1000000238418579</v>
      </c>
      <c r="I1203" s="33">
        <v>8.3000001907348633</v>
      </c>
      <c r="J1203" s="33">
        <v>99</v>
      </c>
      <c r="K1203" s="33">
        <v>0</v>
      </c>
      <c r="L1203" s="33">
        <v>0.25999999046325684</v>
      </c>
      <c r="M1203" s="33">
        <v>3.0999999046325684</v>
      </c>
      <c r="N1203" s="33">
        <v>2.9000000953674316</v>
      </c>
      <c r="O1203" s="33">
        <v>3037.5</v>
      </c>
      <c r="P1203" s="33">
        <v>65</v>
      </c>
      <c r="Q1203" s="33">
        <v>8.5</v>
      </c>
      <c r="R1203" s="34" t="s">
        <v>1513</v>
      </c>
      <c r="S1203" s="33">
        <v>0</v>
      </c>
      <c r="T1203" s="35">
        <v>0</v>
      </c>
    </row>
    <row r="1204" spans="1:20">
      <c r="A1204" s="31">
        <v>1202</v>
      </c>
      <c r="B1204" s="33" t="s">
        <v>1534</v>
      </c>
      <c r="C1204" s="33">
        <v>100</v>
      </c>
      <c r="D1204" s="33">
        <v>89</v>
      </c>
      <c r="E1204" s="33">
        <v>51.400001525878906</v>
      </c>
      <c r="F1204" s="33">
        <v>4</v>
      </c>
      <c r="G1204" s="33">
        <v>1</v>
      </c>
      <c r="H1204" s="33">
        <v>8.880000114440918</v>
      </c>
      <c r="I1204" s="33">
        <v>15.899999618530273</v>
      </c>
      <c r="J1204" s="33">
        <v>173</v>
      </c>
      <c r="K1204" s="33">
        <v>3.9999999105930328E-2</v>
      </c>
      <c r="L1204" s="33">
        <v>0.2199999988079071</v>
      </c>
      <c r="M1204" s="33">
        <v>2.0999999046325684</v>
      </c>
      <c r="N1204" s="33">
        <v>8.3299999237060547</v>
      </c>
      <c r="O1204" s="33">
        <v>5658.10009765625</v>
      </c>
      <c r="P1204" s="33">
        <v>106</v>
      </c>
      <c r="Q1204" s="33">
        <v>11.800000190734863</v>
      </c>
      <c r="R1204" s="34" t="s">
        <v>1513</v>
      </c>
      <c r="S1204" s="33">
        <v>0</v>
      </c>
      <c r="T1204" s="35">
        <v>0</v>
      </c>
    </row>
    <row r="1205" spans="1:20">
      <c r="A1205" s="31">
        <v>1203</v>
      </c>
      <c r="B1205" s="33" t="s">
        <v>1535</v>
      </c>
      <c r="C1205" s="33">
        <v>100</v>
      </c>
      <c r="D1205" s="33">
        <v>88</v>
      </c>
      <c r="E1205" s="33">
        <v>59.200000762939453</v>
      </c>
      <c r="F1205" s="33">
        <v>4.8000001907348633</v>
      </c>
      <c r="G1205" s="33">
        <v>0.60000002384185791</v>
      </c>
      <c r="H1205" s="33">
        <v>3.7000000476837158</v>
      </c>
      <c r="I1205" s="33">
        <v>15.899999618530273</v>
      </c>
      <c r="J1205" s="33">
        <v>162</v>
      </c>
      <c r="K1205" s="33">
        <v>2.9999999329447746E-2</v>
      </c>
      <c r="L1205" s="33">
        <v>0.10000000149011612</v>
      </c>
      <c r="M1205" s="33">
        <v>0.89999997615814209</v>
      </c>
      <c r="N1205" s="33">
        <v>16.280000686645508</v>
      </c>
      <c r="O1205" s="33">
        <v>3236.300048828125</v>
      </c>
      <c r="P1205" s="33">
        <v>71</v>
      </c>
      <c r="Q1205" s="33">
        <v>11</v>
      </c>
      <c r="R1205" s="34" t="s">
        <v>1513</v>
      </c>
      <c r="S1205" s="33">
        <v>0</v>
      </c>
      <c r="T1205" s="35">
        <v>0</v>
      </c>
    </row>
    <row r="1206" spans="1:20">
      <c r="A1206" s="31">
        <v>1204</v>
      </c>
      <c r="B1206" s="33" t="s">
        <v>1536</v>
      </c>
      <c r="C1206" s="33">
        <v>100</v>
      </c>
      <c r="D1206" s="33">
        <v>54</v>
      </c>
      <c r="E1206" s="33">
        <v>71.300003051757813</v>
      </c>
      <c r="F1206" s="33">
        <v>2.0999999046325684</v>
      </c>
      <c r="G1206" s="33">
        <v>3.5999999046325684</v>
      </c>
      <c r="H1206" s="33">
        <v>6.4000000953674316</v>
      </c>
      <c r="I1206" s="33">
        <v>3.4000000953674316</v>
      </c>
      <c r="J1206" s="33">
        <v>350</v>
      </c>
      <c r="K1206" s="33">
        <v>0</v>
      </c>
      <c r="L1206" s="33">
        <v>0.15999999642372131</v>
      </c>
      <c r="M1206" s="33">
        <v>1.5</v>
      </c>
      <c r="N1206" s="33">
        <v>2.619999885559082</v>
      </c>
      <c r="O1206" s="33">
        <v>1491.9000244140625</v>
      </c>
      <c r="P1206" s="33">
        <v>10</v>
      </c>
      <c r="Q1206" s="33">
        <v>12.800000190734863</v>
      </c>
      <c r="R1206" s="34" t="s">
        <v>1513</v>
      </c>
      <c r="S1206" s="33">
        <v>0</v>
      </c>
      <c r="T1206" s="35">
        <v>0</v>
      </c>
    </row>
    <row r="1207" spans="1:20">
      <c r="A1207" s="31">
        <v>1205</v>
      </c>
      <c r="B1207" s="33" t="s">
        <v>1537</v>
      </c>
      <c r="C1207" s="33">
        <v>100</v>
      </c>
      <c r="D1207" s="33">
        <v>31</v>
      </c>
      <c r="E1207" s="33">
        <v>71.199996948242188</v>
      </c>
      <c r="F1207" s="33">
        <v>0.80000001192092896</v>
      </c>
      <c r="G1207" s="33">
        <v>2.7999999523162842</v>
      </c>
      <c r="H1207" s="33">
        <v>2.5999999046325684</v>
      </c>
      <c r="I1207" s="33">
        <v>0.60000002384185791</v>
      </c>
      <c r="J1207" s="33">
        <v>132</v>
      </c>
      <c r="K1207" s="33">
        <v>9.9999997764825821E-3</v>
      </c>
      <c r="L1207" s="33">
        <v>9.0000003576278687E-2</v>
      </c>
      <c r="M1207" s="33">
        <v>1.1000000238418579</v>
      </c>
      <c r="N1207" s="33">
        <v>2.869999885559082</v>
      </c>
      <c r="O1207" s="33">
        <v>8027.60009765625</v>
      </c>
      <c r="P1207" s="33">
        <v>117</v>
      </c>
      <c r="Q1207" s="33">
        <v>3.7999999523162842</v>
      </c>
      <c r="R1207" s="34" t="s">
        <v>1513</v>
      </c>
      <c r="S1207" s="33">
        <v>0</v>
      </c>
      <c r="T1207" s="35">
        <v>0</v>
      </c>
    </row>
    <row r="1208" spans="1:20">
      <c r="A1208" s="31">
        <v>1206</v>
      </c>
      <c r="B1208" s="33" t="s">
        <v>1538</v>
      </c>
      <c r="C1208" s="33">
        <v>100</v>
      </c>
      <c r="D1208" s="33">
        <v>136</v>
      </c>
      <c r="E1208" s="33">
        <v>53.900001525878906</v>
      </c>
      <c r="F1208" s="33">
        <v>5.5</v>
      </c>
      <c r="G1208" s="33">
        <v>0.60000002384185791</v>
      </c>
      <c r="H1208" s="33">
        <v>1.3999999761581421</v>
      </c>
      <c r="I1208" s="33">
        <v>27.100000381469727</v>
      </c>
      <c r="J1208" s="33">
        <v>5</v>
      </c>
      <c r="K1208" s="33">
        <v>2.9999999329447746E-2</v>
      </c>
      <c r="L1208" s="33">
        <v>0.14000000059604645</v>
      </c>
      <c r="M1208" s="33">
        <v>2</v>
      </c>
      <c r="N1208" s="33">
        <v>2.1600000858306885</v>
      </c>
      <c r="O1208" s="33">
        <v>2097.199951171875</v>
      </c>
      <c r="P1208" s="33">
        <v>29</v>
      </c>
      <c r="Q1208" s="33">
        <v>3.5999999046325684</v>
      </c>
      <c r="R1208" s="34" t="s">
        <v>1513</v>
      </c>
      <c r="S1208" s="33">
        <v>0</v>
      </c>
      <c r="T1208" s="35">
        <v>0</v>
      </c>
    </row>
    <row r="1209" spans="1:20">
      <c r="A1209" s="31">
        <v>1207</v>
      </c>
      <c r="B1209" s="33" t="s">
        <v>1539</v>
      </c>
      <c r="C1209" s="33">
        <v>100</v>
      </c>
      <c r="D1209" s="33">
        <v>268</v>
      </c>
      <c r="E1209" s="33">
        <v>0.20000000298023224</v>
      </c>
      <c r="F1209" s="33">
        <v>40.099998474121094</v>
      </c>
      <c r="G1209" s="33">
        <v>0.20000000298023224</v>
      </c>
      <c r="H1209" s="33">
        <v>0</v>
      </c>
      <c r="I1209" s="33">
        <v>26.5</v>
      </c>
      <c r="J1209" s="33">
        <v>0</v>
      </c>
      <c r="K1209" s="33">
        <v>7.9999998211860657E-2</v>
      </c>
      <c r="L1209" s="33">
        <v>0</v>
      </c>
      <c r="M1209" s="33">
        <v>0.30000001192092896</v>
      </c>
      <c r="N1209" s="33">
        <v>0</v>
      </c>
      <c r="O1209" s="33">
        <v>21053</v>
      </c>
      <c r="P1209" s="33">
        <v>100</v>
      </c>
      <c r="Q1209" s="33">
        <v>1.2000000476837158</v>
      </c>
      <c r="R1209" s="34" t="s">
        <v>1513</v>
      </c>
      <c r="S1209" s="33">
        <v>0</v>
      </c>
      <c r="T1209" s="35">
        <v>0</v>
      </c>
    </row>
    <row r="1210" spans="1:20">
      <c r="A1210" s="31">
        <v>1208</v>
      </c>
      <c r="B1210" s="33" t="s">
        <v>1540</v>
      </c>
      <c r="C1210" s="33">
        <v>100</v>
      </c>
      <c r="D1210" s="33">
        <v>0</v>
      </c>
      <c r="E1210" s="33">
        <v>0.10000000149011612</v>
      </c>
      <c r="F1210" s="33">
        <v>0</v>
      </c>
      <c r="G1210" s="33">
        <v>0</v>
      </c>
      <c r="H1210" s="33">
        <v>0</v>
      </c>
      <c r="I1210" s="33">
        <v>0</v>
      </c>
      <c r="J1210" s="33">
        <v>0</v>
      </c>
      <c r="K1210" s="33">
        <v>0</v>
      </c>
      <c r="L1210" s="33">
        <v>0</v>
      </c>
      <c r="M1210" s="33">
        <v>0</v>
      </c>
      <c r="N1210" s="33">
        <v>0</v>
      </c>
      <c r="O1210" s="33">
        <v>25127.19921875</v>
      </c>
      <c r="P1210" s="33">
        <v>22</v>
      </c>
      <c r="Q1210" s="33">
        <v>1</v>
      </c>
      <c r="R1210" s="34" t="s">
        <v>1513</v>
      </c>
      <c r="S1210" s="33">
        <v>0</v>
      </c>
      <c r="T1210" s="35">
        <v>0</v>
      </c>
    </row>
    <row r="1211" spans="1:20">
      <c r="A1211" s="31">
        <v>1209</v>
      </c>
      <c r="B1211" s="33" t="s">
        <v>1541</v>
      </c>
      <c r="C1211" s="33">
        <v>100</v>
      </c>
      <c r="D1211" s="33">
        <v>618</v>
      </c>
      <c r="E1211" s="33">
        <v>0.30000001192092896</v>
      </c>
      <c r="F1211" s="33">
        <v>19.200000762939453</v>
      </c>
      <c r="G1211" s="33">
        <v>52.700000762939453</v>
      </c>
      <c r="H1211" s="33">
        <v>5.9000000953674316</v>
      </c>
      <c r="I1211" s="33">
        <v>16.799999237060547</v>
      </c>
      <c r="J1211" s="33">
        <v>17</v>
      </c>
      <c r="K1211" s="33">
        <v>0.15999999642372131</v>
      </c>
      <c r="L1211" s="33">
        <v>0.2199999988079071</v>
      </c>
      <c r="M1211" s="33">
        <v>5.8000001907348633</v>
      </c>
      <c r="N1211" s="33">
        <v>35.090000152587891</v>
      </c>
      <c r="O1211" s="33">
        <v>0</v>
      </c>
      <c r="P1211" s="33">
        <v>1170</v>
      </c>
      <c r="Q1211" s="33">
        <v>9.8000001907348633</v>
      </c>
      <c r="R1211" s="34" t="s">
        <v>1513</v>
      </c>
      <c r="S1211" s="33">
        <v>0</v>
      </c>
      <c r="T1211" s="35">
        <v>0</v>
      </c>
    </row>
    <row r="1212" spans="1:20">
      <c r="A1212" s="31">
        <v>1210</v>
      </c>
      <c r="B1212" s="33" t="s">
        <v>1542</v>
      </c>
      <c r="C1212" s="33">
        <v>100</v>
      </c>
      <c r="D1212" s="33">
        <v>230</v>
      </c>
      <c r="E1212" s="33">
        <v>57.5</v>
      </c>
      <c r="F1212" s="33">
        <v>21.5</v>
      </c>
      <c r="G1212" s="33">
        <v>13</v>
      </c>
      <c r="H1212" s="33">
        <v>0</v>
      </c>
      <c r="I1212" s="33">
        <v>6.6999998092651367</v>
      </c>
      <c r="J1212" s="33">
        <v>0</v>
      </c>
      <c r="K1212" s="33">
        <v>7.0000000298023224E-2</v>
      </c>
      <c r="L1212" s="33">
        <v>2.2300000190734863</v>
      </c>
      <c r="M1212" s="33">
        <v>2.2000000476837158</v>
      </c>
      <c r="N1212" s="33">
        <v>9.8900003433227539</v>
      </c>
      <c r="O1212" s="33">
        <v>140.19999694824219</v>
      </c>
      <c r="P1212" s="33">
        <v>81</v>
      </c>
      <c r="Q1212" s="33">
        <v>2.5999999046325684</v>
      </c>
      <c r="R1212" s="34" t="s">
        <v>991</v>
      </c>
      <c r="S1212" s="33">
        <v>0</v>
      </c>
      <c r="T1212" s="35">
        <v>155</v>
      </c>
    </row>
    <row r="1213" spans="1:20">
      <c r="A1213" s="31">
        <v>1211</v>
      </c>
      <c r="B1213" s="33" t="s">
        <v>1543</v>
      </c>
      <c r="C1213" s="33">
        <v>70</v>
      </c>
      <c r="D1213" s="33">
        <v>118</v>
      </c>
      <c r="E1213" s="33">
        <v>75</v>
      </c>
      <c r="F1213" s="33">
        <v>17.799999237060547</v>
      </c>
      <c r="G1213" s="33">
        <v>4.3000001907348633</v>
      </c>
      <c r="H1213" s="33">
        <v>0</v>
      </c>
      <c r="I1213" s="33">
        <v>2.0999999046325684</v>
      </c>
      <c r="J1213" s="33">
        <v>139</v>
      </c>
      <c r="K1213" s="33">
        <v>7.0000000298023224E-2</v>
      </c>
      <c r="L1213" s="33">
        <v>0.14000000059604645</v>
      </c>
      <c r="M1213" s="33">
        <v>3.2999999523162842</v>
      </c>
      <c r="N1213" s="33">
        <v>1.8799999952316284</v>
      </c>
      <c r="O1213" s="33">
        <v>96.900001525878906</v>
      </c>
      <c r="P1213" s="33">
        <v>70</v>
      </c>
      <c r="Q1213" s="33">
        <v>2.7999999523162842</v>
      </c>
      <c r="R1213" s="34" t="s">
        <v>991</v>
      </c>
      <c r="S1213" s="33">
        <v>0</v>
      </c>
      <c r="T1213" s="35">
        <v>101</v>
      </c>
    </row>
    <row r="1214" spans="1:20">
      <c r="A1214" s="31">
        <v>1212</v>
      </c>
      <c r="B1214" s="33" t="s">
        <v>1544</v>
      </c>
      <c r="C1214" s="33">
        <v>100</v>
      </c>
      <c r="D1214" s="33">
        <v>131</v>
      </c>
      <c r="E1214" s="33">
        <v>79.099998474121094</v>
      </c>
      <c r="F1214" s="33">
        <v>17.200000762939453</v>
      </c>
      <c r="G1214" s="33">
        <v>6.9000000953674316</v>
      </c>
      <c r="H1214" s="33">
        <v>0</v>
      </c>
      <c r="I1214" s="33">
        <v>0</v>
      </c>
      <c r="J1214" s="33">
        <v>10</v>
      </c>
      <c r="K1214" s="33">
        <v>2.9999999329447746E-2</v>
      </c>
      <c r="L1214" s="33">
        <v>0.14000000059604645</v>
      </c>
      <c r="M1214" s="33">
        <v>6.6999998092651367</v>
      </c>
      <c r="N1214" s="33">
        <v>2.809999942779541</v>
      </c>
      <c r="O1214" s="33">
        <v>71.800003051757813</v>
      </c>
      <c r="P1214" s="33">
        <v>8</v>
      </c>
      <c r="Q1214" s="33">
        <v>2.4000000953674316</v>
      </c>
      <c r="R1214" s="34" t="s">
        <v>991</v>
      </c>
      <c r="S1214" s="33">
        <v>0</v>
      </c>
      <c r="T1214" s="35">
        <v>75</v>
      </c>
    </row>
    <row r="1215" spans="1:20">
      <c r="A1215" s="31">
        <v>1213</v>
      </c>
      <c r="B1215" s="33" t="s">
        <v>1545</v>
      </c>
      <c r="C1215" s="33">
        <v>22</v>
      </c>
      <c r="D1215" s="33">
        <v>90</v>
      </c>
      <c r="E1215" s="33">
        <v>77.699996948242188</v>
      </c>
      <c r="F1215" s="33">
        <v>14.399999618530273</v>
      </c>
      <c r="G1215" s="33">
        <v>1</v>
      </c>
      <c r="H1215" s="33">
        <v>0</v>
      </c>
      <c r="I1215" s="33">
        <v>5.9000000953674316</v>
      </c>
      <c r="J1215" s="33">
        <v>32</v>
      </c>
      <c r="K1215" s="33">
        <v>0.11999999731779099</v>
      </c>
      <c r="L1215" s="33">
        <v>0.34000000357627869</v>
      </c>
      <c r="M1215" s="33">
        <v>9.1000003814697266</v>
      </c>
      <c r="N1215" s="33">
        <v>0.52999997138977051</v>
      </c>
      <c r="O1215" s="33">
        <v>85.800003051757813</v>
      </c>
      <c r="P1215" s="33">
        <v>57</v>
      </c>
      <c r="Q1215" s="33">
        <v>1.5</v>
      </c>
      <c r="R1215" s="34" t="s">
        <v>991</v>
      </c>
      <c r="S1215" s="33">
        <v>0</v>
      </c>
      <c r="T1215" s="35">
        <v>80</v>
      </c>
    </row>
    <row r="1216" spans="1:20">
      <c r="A1216" s="31">
        <v>1214</v>
      </c>
      <c r="B1216" s="33" t="s">
        <v>1546</v>
      </c>
      <c r="C1216" s="33">
        <v>27</v>
      </c>
      <c r="D1216" s="33">
        <v>81</v>
      </c>
      <c r="E1216" s="33">
        <v>80.300003051757813</v>
      </c>
      <c r="F1216" s="33">
        <v>20.100000381469727</v>
      </c>
      <c r="G1216" s="33">
        <v>0.10000000149011612</v>
      </c>
      <c r="H1216" s="33">
        <v>0</v>
      </c>
      <c r="I1216" s="33">
        <v>0</v>
      </c>
      <c r="J1216" s="33">
        <v>0</v>
      </c>
      <c r="K1216" s="33">
        <v>1.9999999552965164E-2</v>
      </c>
      <c r="L1216" s="33">
        <v>7.9999998211860657E-2</v>
      </c>
      <c r="M1216" s="33">
        <v>3.9000000953674316</v>
      </c>
      <c r="N1216" s="33">
        <v>0.56999999284744263</v>
      </c>
      <c r="O1216" s="33">
        <v>104.40000152587891</v>
      </c>
      <c r="P1216" s="33">
        <v>41</v>
      </c>
      <c r="Q1216" s="33">
        <v>2.2000000476837158</v>
      </c>
      <c r="R1216" s="34" t="s">
        <v>991</v>
      </c>
      <c r="S1216" s="33">
        <v>0</v>
      </c>
      <c r="T1216" s="35">
        <v>50</v>
      </c>
    </row>
    <row r="1217" spans="1:20">
      <c r="A1217" s="31">
        <v>1215</v>
      </c>
      <c r="B1217" s="33" t="s">
        <v>1547</v>
      </c>
      <c r="C1217" s="33">
        <v>23</v>
      </c>
      <c r="D1217" s="33">
        <v>97</v>
      </c>
      <c r="E1217" s="33">
        <v>77.199996948242188</v>
      </c>
      <c r="F1217" s="33">
        <v>17.200000762939453</v>
      </c>
      <c r="G1217" s="33">
        <v>0.40000000596046448</v>
      </c>
      <c r="H1217" s="33">
        <v>0</v>
      </c>
      <c r="I1217" s="33">
        <v>4</v>
      </c>
      <c r="J1217" s="33">
        <v>0</v>
      </c>
      <c r="K1217" s="33">
        <v>1.9999999552965164E-2</v>
      </c>
      <c r="L1217" s="33">
        <v>0.12999999523162842</v>
      </c>
      <c r="M1217" s="33">
        <v>5.5999999046325684</v>
      </c>
      <c r="N1217" s="33">
        <v>0.79000002145767212</v>
      </c>
      <c r="O1217" s="33">
        <v>105.19999694824219</v>
      </c>
      <c r="P1217" s="33">
        <v>13</v>
      </c>
      <c r="Q1217" s="33">
        <v>8</v>
      </c>
      <c r="R1217" s="34" t="s">
        <v>991</v>
      </c>
      <c r="S1217" s="33">
        <v>0</v>
      </c>
      <c r="T1217" s="35">
        <v>80</v>
      </c>
    </row>
    <row r="1218" spans="1:20">
      <c r="A1218" s="31">
        <v>1216</v>
      </c>
      <c r="B1218" s="33" t="s">
        <v>1548</v>
      </c>
      <c r="C1218" s="33">
        <v>31</v>
      </c>
      <c r="D1218" s="33">
        <v>81</v>
      </c>
      <c r="E1218" s="33">
        <v>80.599998474121094</v>
      </c>
      <c r="F1218" s="33">
        <v>19.700000762939453</v>
      </c>
      <c r="G1218" s="33">
        <v>0.20000000298023224</v>
      </c>
      <c r="H1218" s="33">
        <v>0</v>
      </c>
      <c r="I1218" s="33">
        <v>0</v>
      </c>
      <c r="J1218" s="33">
        <v>0</v>
      </c>
      <c r="K1218" s="33">
        <v>9.9999997764825821E-3</v>
      </c>
      <c r="L1218" s="33">
        <v>0.10000000149011612</v>
      </c>
      <c r="M1218" s="33">
        <v>7.1999998092651367</v>
      </c>
      <c r="N1218" s="33">
        <v>0.34999999403953552</v>
      </c>
      <c r="O1218" s="33">
        <v>90.599998474121094</v>
      </c>
      <c r="P1218" s="33">
        <v>16</v>
      </c>
      <c r="Q1218" s="33">
        <v>0.89999997615814209</v>
      </c>
      <c r="R1218" s="34" t="s">
        <v>991</v>
      </c>
      <c r="S1218" s="33">
        <v>0</v>
      </c>
      <c r="T1218" s="35">
        <v>57</v>
      </c>
    </row>
    <row r="1219" spans="1:20">
      <c r="A1219" s="31">
        <v>1217</v>
      </c>
      <c r="B1219" s="33" t="s">
        <v>1549</v>
      </c>
      <c r="C1219" s="33">
        <v>78</v>
      </c>
      <c r="D1219" s="33">
        <v>91</v>
      </c>
      <c r="E1219" s="33">
        <v>78.5</v>
      </c>
      <c r="F1219" s="33">
        <v>15.699999809265137</v>
      </c>
      <c r="G1219" s="33">
        <v>1.7000000476837158</v>
      </c>
      <c r="H1219" s="33">
        <v>0</v>
      </c>
      <c r="I1219" s="33">
        <v>3.2999999523162842</v>
      </c>
      <c r="J1219" s="33">
        <v>23</v>
      </c>
      <c r="K1219" s="33">
        <v>5.000000074505806E-2</v>
      </c>
      <c r="L1219" s="33">
        <v>0.40000000596046448</v>
      </c>
      <c r="M1219" s="33">
        <v>3.5</v>
      </c>
      <c r="N1219" s="33">
        <v>0.93000000715255737</v>
      </c>
      <c r="O1219" s="33">
        <v>98.599998474121094</v>
      </c>
      <c r="P1219" s="33">
        <v>49</v>
      </c>
      <c r="Q1219" s="33">
        <v>8.8999996185302734</v>
      </c>
      <c r="R1219" s="34" t="s">
        <v>991</v>
      </c>
      <c r="S1219" s="33">
        <v>0</v>
      </c>
      <c r="T1219" s="35">
        <v>80</v>
      </c>
    </row>
    <row r="1220" spans="1:20">
      <c r="A1220" s="31">
        <v>1218</v>
      </c>
      <c r="B1220" s="33" t="s">
        <v>1550</v>
      </c>
      <c r="C1220" s="33">
        <v>37</v>
      </c>
      <c r="D1220" s="33">
        <v>93</v>
      </c>
      <c r="E1220" s="33">
        <v>79.400001525878906</v>
      </c>
      <c r="F1220" s="33">
        <v>20.5</v>
      </c>
      <c r="G1220" s="33">
        <v>1.2000000476837158</v>
      </c>
      <c r="H1220" s="33">
        <v>0</v>
      </c>
      <c r="I1220" s="33">
        <v>0</v>
      </c>
      <c r="J1220" s="33">
        <v>7</v>
      </c>
      <c r="K1220" s="33">
        <v>0.25999999046325684</v>
      </c>
      <c r="L1220" s="33">
        <v>0.2800000011920929</v>
      </c>
      <c r="M1220" s="33">
        <v>9</v>
      </c>
      <c r="N1220" s="33">
        <v>0.55000001192092896</v>
      </c>
      <c r="O1220" s="33">
        <v>11.800000190734863</v>
      </c>
      <c r="P1220" s="33">
        <v>127</v>
      </c>
      <c r="Q1220" s="33">
        <v>1.5</v>
      </c>
      <c r="R1220" s="34" t="s">
        <v>991</v>
      </c>
      <c r="S1220" s="33">
        <v>0</v>
      </c>
      <c r="T1220" s="35">
        <v>40</v>
      </c>
    </row>
    <row r="1221" spans="1:20">
      <c r="A1221" s="31">
        <v>1219</v>
      </c>
      <c r="B1221" s="33" t="s">
        <v>1551</v>
      </c>
      <c r="C1221" s="33">
        <v>35</v>
      </c>
      <c r="D1221" s="33">
        <v>79</v>
      </c>
      <c r="E1221" s="33">
        <v>81.699996948242188</v>
      </c>
      <c r="F1221" s="33">
        <v>11.800000190734863</v>
      </c>
      <c r="G1221" s="33">
        <v>1.3999999761581421</v>
      </c>
      <c r="H1221" s="33">
        <v>0</v>
      </c>
      <c r="I1221" s="33">
        <v>4.6999998092651367</v>
      </c>
      <c r="J1221" s="33">
        <v>0</v>
      </c>
      <c r="K1221" s="33">
        <v>9.9999997764825821E-3</v>
      </c>
      <c r="L1221" s="33">
        <v>5.000000074505806E-2</v>
      </c>
      <c r="M1221" s="33">
        <v>6.5999999046325684</v>
      </c>
      <c r="N1221" s="33">
        <v>0.57999998331069946</v>
      </c>
      <c r="O1221" s="33">
        <v>215.19999694824219</v>
      </c>
      <c r="P1221" s="33">
        <v>121</v>
      </c>
      <c r="Q1221" s="33">
        <v>1.7000000476837158</v>
      </c>
      <c r="R1221" s="34" t="s">
        <v>991</v>
      </c>
      <c r="S1221" s="33">
        <v>0</v>
      </c>
      <c r="T1221" s="35">
        <v>84</v>
      </c>
    </row>
    <row r="1222" spans="1:20">
      <c r="A1222" s="31">
        <v>1220</v>
      </c>
      <c r="B1222" s="33" t="s">
        <v>1552</v>
      </c>
      <c r="C1222" s="33">
        <v>100</v>
      </c>
      <c r="D1222" s="33">
        <v>177</v>
      </c>
      <c r="E1222" s="33">
        <v>48.400001525878906</v>
      </c>
      <c r="F1222" s="33">
        <v>26.200000762939453</v>
      </c>
      <c r="G1222" s="33">
        <v>4.6999998092651367</v>
      </c>
      <c r="H1222" s="33">
        <v>0</v>
      </c>
      <c r="I1222" s="33">
        <v>7.5</v>
      </c>
      <c r="J1222" s="33">
        <v>0</v>
      </c>
      <c r="K1222" s="33">
        <v>2.9999999329447746E-2</v>
      </c>
      <c r="L1222" s="33">
        <v>1.0900000333786011</v>
      </c>
      <c r="M1222" s="33">
        <v>1.7000000476837158</v>
      </c>
      <c r="N1222" s="33">
        <v>7.5900001525878906</v>
      </c>
      <c r="O1222" s="33">
        <v>115.69999694824219</v>
      </c>
      <c r="P1222" s="33">
        <v>120</v>
      </c>
      <c r="Q1222" s="33">
        <v>30.799999237060547</v>
      </c>
      <c r="R1222" s="34" t="s">
        <v>991</v>
      </c>
      <c r="S1222" s="33">
        <v>0</v>
      </c>
      <c r="T1222" s="35">
        <v>207</v>
      </c>
    </row>
    <row r="1223" spans="1:20">
      <c r="A1223" s="31">
        <v>1221</v>
      </c>
      <c r="B1223" s="33" t="s">
        <v>1553</v>
      </c>
      <c r="C1223" s="33">
        <v>100</v>
      </c>
      <c r="D1223" s="33">
        <v>517</v>
      </c>
      <c r="E1223" s="33">
        <v>5.3000001907348633</v>
      </c>
      <c r="F1223" s="33">
        <v>18.399999618530273</v>
      </c>
      <c r="G1223" s="33">
        <v>39.599998474121094</v>
      </c>
      <c r="H1223" s="33">
        <v>9.8000001907348633</v>
      </c>
      <c r="I1223" s="33">
        <v>21.700000762939453</v>
      </c>
      <c r="J1223" s="33">
        <v>0</v>
      </c>
      <c r="K1223" s="33">
        <v>0.36000001430511475</v>
      </c>
      <c r="L1223" s="33">
        <v>0.25999999046325684</v>
      </c>
      <c r="M1223" s="33">
        <v>3.7999999523162842</v>
      </c>
      <c r="N1223" s="33">
        <v>38.279998779296875</v>
      </c>
      <c r="O1223" s="33">
        <v>32.200000762939453</v>
      </c>
      <c r="P1223" s="33">
        <v>620</v>
      </c>
      <c r="Q1223" s="33">
        <v>14.100000381469727</v>
      </c>
      <c r="R1223" s="34" t="s">
        <v>1513</v>
      </c>
      <c r="S1223" s="33">
        <v>0</v>
      </c>
      <c r="T1223" s="35">
        <v>0</v>
      </c>
    </row>
    <row r="1224" spans="1:20">
      <c r="A1224" s="31">
        <v>1222</v>
      </c>
      <c r="B1224" s="33" t="s">
        <v>1554</v>
      </c>
      <c r="C1224" s="33">
        <v>100</v>
      </c>
      <c r="D1224" s="33">
        <v>531</v>
      </c>
      <c r="E1224" s="33">
        <v>5.6999998092651367</v>
      </c>
      <c r="F1224" s="33">
        <v>19.100000381469727</v>
      </c>
      <c r="G1224" s="33">
        <v>46.099998474121094</v>
      </c>
      <c r="H1224" s="33">
        <v>14</v>
      </c>
      <c r="I1224" s="33">
        <v>10</v>
      </c>
      <c r="J1224" s="33">
        <v>0</v>
      </c>
      <c r="K1224" s="33">
        <v>0.6600000262260437</v>
      </c>
      <c r="L1224" s="33">
        <v>0.25</v>
      </c>
      <c r="M1224" s="33">
        <v>5.9000000953674316</v>
      </c>
      <c r="N1224" s="33">
        <v>50.400001525878906</v>
      </c>
      <c r="O1224" s="33">
        <v>8.3000001907348633</v>
      </c>
      <c r="P1224" s="33">
        <v>780</v>
      </c>
      <c r="Q1224" s="33">
        <v>22.700000762939453</v>
      </c>
      <c r="R1224" s="34" t="s">
        <v>1513</v>
      </c>
      <c r="S1224" s="33">
        <v>0</v>
      </c>
      <c r="T1224" s="35">
        <v>0</v>
      </c>
    </row>
    <row r="1225" spans="1:20">
      <c r="A1225" s="31">
        <v>1223</v>
      </c>
      <c r="B1225" s="33" t="s">
        <v>1555</v>
      </c>
      <c r="C1225" s="33">
        <v>68</v>
      </c>
      <c r="D1225" s="33">
        <v>63</v>
      </c>
      <c r="E1225" s="33">
        <v>84.099998474121094</v>
      </c>
      <c r="F1225" s="33">
        <v>10.300000190734863</v>
      </c>
      <c r="G1225" s="33">
        <v>1.5</v>
      </c>
      <c r="H1225" s="33">
        <v>0</v>
      </c>
      <c r="I1225" s="33">
        <v>2.0999999046325684</v>
      </c>
      <c r="J1225" s="33">
        <v>4</v>
      </c>
      <c r="K1225" s="33">
        <v>7.9999998211860657E-2</v>
      </c>
      <c r="L1225" s="33">
        <v>0.46000000834465027</v>
      </c>
      <c r="M1225" s="33">
        <v>1.8999999761581421</v>
      </c>
      <c r="N1225" s="33">
        <v>2.2999999523162842</v>
      </c>
      <c r="O1225" s="33">
        <v>0</v>
      </c>
      <c r="P1225" s="33">
        <v>38</v>
      </c>
      <c r="Q1225" s="33">
        <v>1.7999999523162842</v>
      </c>
      <c r="R1225" s="34" t="s">
        <v>1033</v>
      </c>
      <c r="S1225" s="33">
        <v>0</v>
      </c>
      <c r="T1225" s="35">
        <v>160</v>
      </c>
    </row>
    <row r="1226" spans="1:20">
      <c r="A1226" s="31">
        <v>1224</v>
      </c>
      <c r="B1226" s="33" t="s">
        <v>1556</v>
      </c>
      <c r="C1226" s="32"/>
      <c r="D1226" s="33">
        <v>239</v>
      </c>
      <c r="E1226" s="33">
        <v>0</v>
      </c>
      <c r="F1226" s="33">
        <v>0</v>
      </c>
      <c r="G1226" s="33">
        <v>0</v>
      </c>
      <c r="H1226" s="33">
        <v>0</v>
      </c>
      <c r="I1226" s="33">
        <v>0</v>
      </c>
      <c r="J1226" s="33">
        <v>0</v>
      </c>
      <c r="K1226" s="33">
        <v>0</v>
      </c>
      <c r="L1226" s="33">
        <v>0</v>
      </c>
      <c r="M1226" s="33">
        <v>0</v>
      </c>
      <c r="N1226" s="33">
        <v>0</v>
      </c>
      <c r="O1226" s="33">
        <v>1.2999999523162842</v>
      </c>
      <c r="P1226" s="33">
        <v>5</v>
      </c>
      <c r="Q1226" s="33">
        <v>0</v>
      </c>
      <c r="R1226" s="34" t="s">
        <v>1557</v>
      </c>
      <c r="S1226" s="33">
        <v>0</v>
      </c>
      <c r="T1226" s="35">
        <v>0</v>
      </c>
    </row>
    <row r="1227" spans="1:20">
      <c r="A1227" s="31">
        <v>1225</v>
      </c>
      <c r="B1227" s="33" t="s">
        <v>1558</v>
      </c>
      <c r="C1227" s="32"/>
      <c r="D1227" s="33">
        <v>0</v>
      </c>
      <c r="E1227" s="33">
        <v>0</v>
      </c>
      <c r="F1227" s="33">
        <v>1</v>
      </c>
      <c r="G1227" s="33">
        <v>0</v>
      </c>
      <c r="H1227" s="33">
        <v>0</v>
      </c>
      <c r="I1227" s="33">
        <v>0</v>
      </c>
      <c r="J1227" s="33">
        <v>0</v>
      </c>
      <c r="K1227" s="33">
        <v>0.20000000298023224</v>
      </c>
      <c r="L1227" s="33">
        <v>2.9999999329447746E-2</v>
      </c>
      <c r="M1227" s="33">
        <v>0.30000001192092896</v>
      </c>
      <c r="N1227" s="33">
        <v>0</v>
      </c>
      <c r="O1227" s="33">
        <v>7.5999999046325684</v>
      </c>
      <c r="P1227" s="33">
        <v>1</v>
      </c>
      <c r="Q1227" s="33">
        <v>0.30000001192092896</v>
      </c>
      <c r="R1227" s="34" t="s">
        <v>1557</v>
      </c>
      <c r="S1227" s="33">
        <v>0</v>
      </c>
      <c r="T1227" s="35">
        <v>0</v>
      </c>
    </row>
    <row r="1228" spans="1:20">
      <c r="A1228" s="31">
        <v>1226</v>
      </c>
      <c r="B1228" s="33" t="s">
        <v>1559</v>
      </c>
      <c r="C1228" s="32"/>
      <c r="D1228" s="33">
        <v>352</v>
      </c>
      <c r="E1228" s="33">
        <v>0</v>
      </c>
      <c r="F1228" s="33">
        <v>0</v>
      </c>
      <c r="G1228" s="33">
        <v>0</v>
      </c>
      <c r="H1228" s="33">
        <v>0</v>
      </c>
      <c r="I1228" s="33">
        <v>0</v>
      </c>
      <c r="J1228" s="33">
        <v>0</v>
      </c>
      <c r="K1228" s="33">
        <v>5.000000074505806E-2</v>
      </c>
      <c r="L1228" s="33">
        <v>0</v>
      </c>
      <c r="M1228" s="33">
        <v>0</v>
      </c>
      <c r="N1228" s="33">
        <v>0</v>
      </c>
      <c r="O1228" s="33">
        <v>0.5</v>
      </c>
      <c r="P1228" s="33">
        <v>1</v>
      </c>
      <c r="Q1228" s="33">
        <v>0.10000000149011612</v>
      </c>
      <c r="R1228" s="34" t="s">
        <v>1557</v>
      </c>
      <c r="S1228" s="33">
        <v>0</v>
      </c>
      <c r="T1228" s="35">
        <v>0</v>
      </c>
    </row>
    <row r="1229" spans="1:20">
      <c r="A1229" s="31">
        <v>1227</v>
      </c>
      <c r="B1229" s="33" t="s">
        <v>1560</v>
      </c>
      <c r="C1229" s="32"/>
      <c r="D1229" s="33">
        <v>312</v>
      </c>
      <c r="E1229" s="33">
        <v>0</v>
      </c>
      <c r="F1229" s="33">
        <v>0</v>
      </c>
      <c r="G1229" s="33">
        <v>0</v>
      </c>
      <c r="H1229" s="33">
        <v>0</v>
      </c>
      <c r="I1229" s="33">
        <v>0</v>
      </c>
      <c r="J1229" s="33">
        <v>0</v>
      </c>
      <c r="K1229" s="33">
        <v>0</v>
      </c>
      <c r="L1229" s="33">
        <v>0</v>
      </c>
      <c r="M1229" s="33">
        <v>0</v>
      </c>
      <c r="N1229" s="33">
        <v>0</v>
      </c>
      <c r="O1229" s="33">
        <v>0</v>
      </c>
      <c r="P1229" s="33">
        <v>0</v>
      </c>
      <c r="Q1229" s="33">
        <v>0</v>
      </c>
      <c r="R1229" s="34" t="s">
        <v>1557</v>
      </c>
      <c r="S1229" s="33">
        <v>0</v>
      </c>
      <c r="T1229" s="35">
        <v>0</v>
      </c>
    </row>
    <row r="1230" spans="1:20">
      <c r="A1230" s="31">
        <v>1228</v>
      </c>
      <c r="B1230" s="33" t="s">
        <v>1561</v>
      </c>
      <c r="C1230" s="32"/>
      <c r="D1230" s="33">
        <v>237</v>
      </c>
      <c r="E1230" s="33">
        <v>0</v>
      </c>
      <c r="F1230" s="33">
        <v>0</v>
      </c>
      <c r="G1230" s="33">
        <v>0</v>
      </c>
      <c r="H1230" s="33">
        <v>0</v>
      </c>
      <c r="I1230" s="33">
        <v>0</v>
      </c>
      <c r="J1230" s="33">
        <v>0</v>
      </c>
      <c r="K1230" s="33">
        <v>0</v>
      </c>
      <c r="L1230" s="33">
        <v>0</v>
      </c>
      <c r="M1230" s="33">
        <v>0</v>
      </c>
      <c r="N1230" s="33">
        <v>0</v>
      </c>
      <c r="O1230" s="33">
        <v>0.69999998807907104</v>
      </c>
      <c r="P1230" s="33">
        <v>0</v>
      </c>
      <c r="Q1230" s="33">
        <v>0</v>
      </c>
      <c r="R1230" s="34" t="s">
        <v>1557</v>
      </c>
      <c r="S1230" s="33">
        <v>0</v>
      </c>
      <c r="T1230" s="35">
        <v>0</v>
      </c>
    </row>
    <row r="1231" spans="1:20">
      <c r="A1231" s="31">
        <v>1229</v>
      </c>
      <c r="B1231" s="33" t="s">
        <v>1562</v>
      </c>
      <c r="C1231" s="32"/>
      <c r="D1231" s="33">
        <v>295</v>
      </c>
      <c r="E1231" s="33">
        <v>0</v>
      </c>
      <c r="F1231" s="33">
        <v>0</v>
      </c>
      <c r="G1231" s="33">
        <v>0</v>
      </c>
      <c r="H1231" s="33">
        <v>0</v>
      </c>
      <c r="I1231" s="33">
        <v>0</v>
      </c>
      <c r="J1231" s="33">
        <v>0</v>
      </c>
      <c r="K1231" s="33">
        <v>0</v>
      </c>
      <c r="L1231" s="33">
        <v>0</v>
      </c>
      <c r="M1231" s="33">
        <v>0</v>
      </c>
      <c r="N1231" s="33">
        <v>0</v>
      </c>
      <c r="O1231" s="33">
        <v>0.10000000149011612</v>
      </c>
      <c r="P1231" s="33">
        <v>2</v>
      </c>
      <c r="Q1231" s="33">
        <v>0</v>
      </c>
      <c r="R1231" s="34" t="s">
        <v>1557</v>
      </c>
      <c r="S1231" s="33">
        <v>0</v>
      </c>
      <c r="T1231" s="35">
        <v>0</v>
      </c>
    </row>
    <row r="1232" spans="1:20">
      <c r="A1232" s="31">
        <v>1230</v>
      </c>
      <c r="B1232" s="33" t="s">
        <v>1563</v>
      </c>
      <c r="C1232" s="32"/>
      <c r="D1232" s="33">
        <v>227</v>
      </c>
      <c r="E1232" s="33">
        <v>0</v>
      </c>
      <c r="F1232" s="33">
        <v>0</v>
      </c>
      <c r="G1232" s="33">
        <v>0</v>
      </c>
      <c r="H1232" s="33">
        <v>0</v>
      </c>
      <c r="I1232" s="33">
        <v>0</v>
      </c>
      <c r="J1232" s="33">
        <v>0</v>
      </c>
      <c r="K1232" s="33">
        <v>0</v>
      </c>
      <c r="L1232" s="33">
        <v>0</v>
      </c>
      <c r="M1232" s="33">
        <v>0</v>
      </c>
      <c r="N1232" s="33">
        <v>0</v>
      </c>
      <c r="O1232" s="33">
        <v>0</v>
      </c>
      <c r="P1232" s="33">
        <v>0</v>
      </c>
      <c r="Q1232" s="33">
        <v>0</v>
      </c>
      <c r="R1232" s="34" t="s">
        <v>1557</v>
      </c>
      <c r="S1232" s="33">
        <v>0</v>
      </c>
      <c r="T1232" s="35">
        <v>0</v>
      </c>
    </row>
    <row r="1233" spans="1:20">
      <c r="A1233" s="31">
        <v>1231</v>
      </c>
      <c r="B1233" s="33" t="s">
        <v>1564</v>
      </c>
      <c r="C1233" s="32"/>
      <c r="D1233" s="33">
        <v>323</v>
      </c>
      <c r="E1233" s="33">
        <v>0</v>
      </c>
      <c r="F1233" s="33">
        <v>0</v>
      </c>
      <c r="G1233" s="33">
        <v>0</v>
      </c>
      <c r="H1233" s="33">
        <v>0</v>
      </c>
      <c r="I1233" s="33">
        <v>0</v>
      </c>
      <c r="J1233" s="33">
        <v>0</v>
      </c>
      <c r="K1233" s="33">
        <v>0</v>
      </c>
      <c r="L1233" s="33">
        <v>0</v>
      </c>
      <c r="M1233" s="33">
        <v>0</v>
      </c>
      <c r="N1233" s="33">
        <v>0</v>
      </c>
      <c r="O1233" s="33">
        <v>0</v>
      </c>
      <c r="P1233" s="33">
        <v>0</v>
      </c>
      <c r="Q1233" s="33">
        <v>0</v>
      </c>
      <c r="R1233" s="34" t="s">
        <v>1557</v>
      </c>
      <c r="S1233" s="33">
        <v>0</v>
      </c>
      <c r="T1233" s="35">
        <v>0</v>
      </c>
    </row>
    <row r="1234" spans="1:20">
      <c r="A1234" s="31">
        <v>1232</v>
      </c>
      <c r="B1234" s="33" t="s">
        <v>1565</v>
      </c>
      <c r="C1234" s="32"/>
      <c r="D1234" s="33">
        <v>303</v>
      </c>
      <c r="E1234" s="33">
        <v>0</v>
      </c>
      <c r="F1234" s="33">
        <v>0</v>
      </c>
      <c r="G1234" s="33">
        <v>0</v>
      </c>
      <c r="H1234" s="33">
        <v>0</v>
      </c>
      <c r="I1234" s="33">
        <v>0</v>
      </c>
      <c r="J1234" s="33">
        <v>0</v>
      </c>
      <c r="K1234" s="33">
        <v>0</v>
      </c>
      <c r="L1234" s="33">
        <v>0</v>
      </c>
      <c r="M1234" s="33">
        <v>0</v>
      </c>
      <c r="N1234" s="33">
        <v>0</v>
      </c>
      <c r="O1234" s="33">
        <v>0</v>
      </c>
      <c r="P1234" s="33">
        <v>0</v>
      </c>
      <c r="Q1234" s="33">
        <v>0</v>
      </c>
      <c r="R1234" s="34" t="s">
        <v>1557</v>
      </c>
      <c r="S1234" s="33">
        <v>0</v>
      </c>
      <c r="T1234" s="35">
        <v>0</v>
      </c>
    </row>
    <row r="1235" spans="1:20">
      <c r="A1235" s="31">
        <v>1233</v>
      </c>
      <c r="B1235" s="33" t="s">
        <v>1566</v>
      </c>
      <c r="C1235" s="32"/>
      <c r="D1235" s="33">
        <v>343</v>
      </c>
      <c r="E1235" s="33">
        <v>0</v>
      </c>
      <c r="F1235" s="33">
        <v>0</v>
      </c>
      <c r="G1235" s="33">
        <v>0</v>
      </c>
      <c r="H1235" s="33">
        <v>0</v>
      </c>
      <c r="I1235" s="33">
        <v>0</v>
      </c>
      <c r="J1235" s="33">
        <v>0</v>
      </c>
      <c r="K1235" s="33">
        <v>0</v>
      </c>
      <c r="L1235" s="33">
        <v>0</v>
      </c>
      <c r="M1235" s="33">
        <v>0</v>
      </c>
      <c r="N1235" s="33">
        <v>0</v>
      </c>
      <c r="O1235" s="33">
        <v>0</v>
      </c>
      <c r="P1235" s="33">
        <v>10</v>
      </c>
      <c r="Q1235" s="33">
        <v>0.89999997615814209</v>
      </c>
      <c r="R1235" s="34" t="s">
        <v>1557</v>
      </c>
      <c r="S1235" s="33">
        <v>0</v>
      </c>
      <c r="T1235" s="35">
        <v>0</v>
      </c>
    </row>
    <row r="1236" spans="1:20">
      <c r="A1236" s="31">
        <v>1234</v>
      </c>
      <c r="B1236" s="33" t="s">
        <v>1567</v>
      </c>
      <c r="C1236" s="32"/>
      <c r="D1236" s="33">
        <v>238</v>
      </c>
      <c r="E1236" s="33">
        <v>0</v>
      </c>
      <c r="F1236" s="33">
        <v>0</v>
      </c>
      <c r="G1236" s="33">
        <v>0</v>
      </c>
      <c r="H1236" s="33">
        <v>0</v>
      </c>
      <c r="I1236" s="33">
        <v>0</v>
      </c>
      <c r="J1236" s="33">
        <v>0</v>
      </c>
      <c r="K1236" s="33">
        <v>0</v>
      </c>
      <c r="L1236" s="33">
        <v>0</v>
      </c>
      <c r="M1236" s="33">
        <v>0</v>
      </c>
      <c r="N1236" s="33">
        <v>0</v>
      </c>
      <c r="O1236" s="33">
        <v>0.80000001192092896</v>
      </c>
      <c r="P1236" s="33">
        <v>0</v>
      </c>
      <c r="Q1236" s="33">
        <v>0</v>
      </c>
      <c r="R1236" s="34" t="s">
        <v>1557</v>
      </c>
      <c r="S1236" s="33">
        <v>0</v>
      </c>
      <c r="T1236" s="35">
        <v>0</v>
      </c>
    </row>
    <row r="1237" spans="1:20">
      <c r="A1237" s="31">
        <v>1235</v>
      </c>
      <c r="B1237" s="33" t="s">
        <v>1568</v>
      </c>
      <c r="C1237" s="32"/>
      <c r="D1237" s="33">
        <v>315</v>
      </c>
      <c r="E1237" s="33">
        <v>0</v>
      </c>
      <c r="F1237" s="33">
        <v>0</v>
      </c>
      <c r="G1237" s="33">
        <v>0</v>
      </c>
      <c r="H1237" s="33">
        <v>0</v>
      </c>
      <c r="I1237" s="33">
        <v>0</v>
      </c>
      <c r="J1237" s="33">
        <v>0</v>
      </c>
      <c r="K1237" s="33">
        <v>0</v>
      </c>
      <c r="L1237" s="33">
        <v>0</v>
      </c>
      <c r="M1237" s="33">
        <v>0</v>
      </c>
      <c r="N1237" s="33">
        <v>0</v>
      </c>
      <c r="O1237" s="33">
        <v>0.40000000596046448</v>
      </c>
      <c r="P1237" s="33">
        <v>2</v>
      </c>
      <c r="Q1237" s="33">
        <v>0.10000000149011612</v>
      </c>
      <c r="R1237" s="34" t="s">
        <v>1557</v>
      </c>
      <c r="S1237" s="33">
        <v>0</v>
      </c>
      <c r="T1237" s="35">
        <v>0</v>
      </c>
    </row>
    <row r="1238" spans="1:20">
      <c r="A1238" s="31">
        <v>1236</v>
      </c>
      <c r="B1238" s="33" t="s">
        <v>1569</v>
      </c>
      <c r="C1238" s="32"/>
      <c r="D1238" s="33">
        <v>314</v>
      </c>
      <c r="E1238" s="33">
        <v>0</v>
      </c>
      <c r="F1238" s="33">
        <v>0</v>
      </c>
      <c r="G1238" s="33">
        <v>0</v>
      </c>
      <c r="H1238" s="33">
        <v>0</v>
      </c>
      <c r="I1238" s="33">
        <v>0</v>
      </c>
      <c r="J1238" s="33">
        <v>0</v>
      </c>
      <c r="K1238" s="33">
        <v>0</v>
      </c>
      <c r="L1238" s="33">
        <v>0</v>
      </c>
      <c r="M1238" s="33">
        <v>0</v>
      </c>
      <c r="N1238" s="33">
        <v>0</v>
      </c>
      <c r="O1238" s="33">
        <v>0</v>
      </c>
      <c r="P1238" s="33">
        <v>0</v>
      </c>
      <c r="Q1238" s="33">
        <v>0</v>
      </c>
      <c r="R1238" s="34" t="s">
        <v>1557</v>
      </c>
      <c r="S1238" s="33">
        <v>0</v>
      </c>
      <c r="T1238" s="35">
        <v>0</v>
      </c>
    </row>
    <row r="1239" spans="1:20">
      <c r="A1239" s="31">
        <v>1237</v>
      </c>
      <c r="B1239" s="33" t="s">
        <v>1570</v>
      </c>
      <c r="C1239" s="32"/>
      <c r="D1239" s="33">
        <v>314</v>
      </c>
      <c r="E1239" s="33">
        <v>0</v>
      </c>
      <c r="F1239" s="33">
        <v>0</v>
      </c>
      <c r="G1239" s="33">
        <v>0</v>
      </c>
      <c r="H1239" s="33">
        <v>0</v>
      </c>
      <c r="I1239" s="33">
        <v>0</v>
      </c>
      <c r="J1239" s="33">
        <v>0</v>
      </c>
      <c r="K1239" s="33">
        <v>0</v>
      </c>
      <c r="L1239" s="33">
        <v>0</v>
      </c>
      <c r="M1239" s="33">
        <v>0</v>
      </c>
      <c r="N1239" s="33">
        <v>0</v>
      </c>
      <c r="O1239" s="33">
        <v>0</v>
      </c>
      <c r="P1239" s="33">
        <v>0</v>
      </c>
      <c r="Q1239" s="33">
        <v>0</v>
      </c>
      <c r="R1239" s="34" t="s">
        <v>1557</v>
      </c>
      <c r="S1239" s="33">
        <v>0</v>
      </c>
      <c r="T1239" s="35">
        <v>0</v>
      </c>
    </row>
    <row r="1240" spans="1:20">
      <c r="A1240" s="31">
        <v>1238</v>
      </c>
      <c r="B1240" s="33" t="s">
        <v>1571</v>
      </c>
      <c r="C1240" s="32"/>
      <c r="D1240" s="33">
        <v>330</v>
      </c>
      <c r="E1240" s="33">
        <v>0</v>
      </c>
      <c r="F1240" s="33">
        <v>0</v>
      </c>
      <c r="G1240" s="33">
        <v>0</v>
      </c>
      <c r="H1240" s="33">
        <v>0</v>
      </c>
      <c r="I1240" s="33">
        <v>0</v>
      </c>
      <c r="J1240" s="33">
        <v>0</v>
      </c>
      <c r="K1240" s="33">
        <v>0</v>
      </c>
      <c r="L1240" s="33">
        <v>0</v>
      </c>
      <c r="M1240" s="33">
        <v>0</v>
      </c>
      <c r="N1240" s="33">
        <v>0</v>
      </c>
      <c r="O1240" s="33">
        <v>0</v>
      </c>
      <c r="P1240" s="33">
        <v>0</v>
      </c>
      <c r="Q1240" s="33">
        <v>0</v>
      </c>
      <c r="R1240" s="34" t="s">
        <v>1557</v>
      </c>
      <c r="S1240" s="33">
        <v>0</v>
      </c>
      <c r="T1240" s="35">
        <v>0</v>
      </c>
    </row>
    <row r="1241" spans="1:20">
      <c r="A1241" s="31">
        <v>1239</v>
      </c>
      <c r="B1241" s="33" t="s">
        <v>1572</v>
      </c>
      <c r="C1241" s="32"/>
      <c r="D1241" s="33">
        <v>330</v>
      </c>
      <c r="E1241" s="33">
        <v>0</v>
      </c>
      <c r="F1241" s="33">
        <v>0</v>
      </c>
      <c r="G1241" s="33">
        <v>0</v>
      </c>
      <c r="H1241" s="33">
        <v>0</v>
      </c>
      <c r="I1241" s="33">
        <v>0</v>
      </c>
      <c r="J1241" s="33">
        <v>0</v>
      </c>
      <c r="K1241" s="33">
        <v>0</v>
      </c>
      <c r="L1241" s="33">
        <v>0</v>
      </c>
      <c r="M1241" s="33">
        <v>0</v>
      </c>
      <c r="N1241" s="33">
        <v>0</v>
      </c>
      <c r="O1241" s="33">
        <v>0.10000000149011612</v>
      </c>
      <c r="P1241" s="33">
        <v>4</v>
      </c>
      <c r="Q1241" s="33">
        <v>0</v>
      </c>
      <c r="R1241" s="34" t="s">
        <v>1557</v>
      </c>
      <c r="S1241" s="33">
        <v>0</v>
      </c>
      <c r="T1241" s="35">
        <v>0</v>
      </c>
    </row>
    <row r="1242" spans="1:20">
      <c r="A1242" s="31">
        <v>1240</v>
      </c>
      <c r="B1242" s="33" t="s">
        <v>1573</v>
      </c>
      <c r="C1242" s="32"/>
      <c r="D1242" s="33">
        <v>315</v>
      </c>
      <c r="E1242" s="33">
        <v>0</v>
      </c>
      <c r="F1242" s="33">
        <v>0</v>
      </c>
      <c r="G1242" s="33">
        <v>0</v>
      </c>
      <c r="H1242" s="33">
        <v>0</v>
      </c>
      <c r="I1242" s="33">
        <v>0</v>
      </c>
      <c r="J1242" s="33">
        <v>0</v>
      </c>
      <c r="K1242" s="33">
        <v>0</v>
      </c>
      <c r="L1242" s="33">
        <v>0</v>
      </c>
      <c r="M1242" s="33">
        <v>0</v>
      </c>
      <c r="N1242" s="33">
        <v>0</v>
      </c>
      <c r="O1242" s="33">
        <v>0</v>
      </c>
      <c r="P1242" s="33">
        <v>0</v>
      </c>
      <c r="Q1242" s="33">
        <v>0</v>
      </c>
      <c r="R1242" s="34" t="s">
        <v>1557</v>
      </c>
      <c r="S1242" s="33">
        <v>0</v>
      </c>
      <c r="T1242" s="35">
        <v>0</v>
      </c>
    </row>
    <row r="1243" spans="1:20">
      <c r="A1243" s="31">
        <v>1241</v>
      </c>
      <c r="B1243" s="33" t="s">
        <v>1574</v>
      </c>
      <c r="C1243" s="32"/>
      <c r="D1243" s="33">
        <v>216</v>
      </c>
      <c r="E1243" s="33">
        <v>0</v>
      </c>
      <c r="F1243" s="33">
        <v>0</v>
      </c>
      <c r="G1243" s="33">
        <v>0</v>
      </c>
      <c r="H1243" s="33">
        <v>0</v>
      </c>
      <c r="I1243" s="33">
        <v>0</v>
      </c>
      <c r="J1243" s="33">
        <v>0</v>
      </c>
      <c r="K1243" s="33">
        <v>0</v>
      </c>
      <c r="L1243" s="33">
        <v>0</v>
      </c>
      <c r="M1243" s="33">
        <v>0</v>
      </c>
      <c r="N1243" s="33">
        <v>0</v>
      </c>
      <c r="O1243" s="33">
        <v>0</v>
      </c>
      <c r="P1243" s="33">
        <v>0</v>
      </c>
      <c r="Q1243" s="33">
        <v>0</v>
      </c>
      <c r="R1243" s="34" t="s">
        <v>1557</v>
      </c>
      <c r="S1243" s="33">
        <v>0</v>
      </c>
      <c r="T1243" s="35">
        <v>0</v>
      </c>
    </row>
    <row r="1244" spans="1:20">
      <c r="A1244" s="31">
        <v>1242</v>
      </c>
      <c r="B1244" s="33" t="s">
        <v>1575</v>
      </c>
      <c r="C1244" s="32"/>
      <c r="D1244" s="33">
        <v>364</v>
      </c>
      <c r="E1244" s="33">
        <v>0</v>
      </c>
      <c r="F1244" s="33">
        <v>0</v>
      </c>
      <c r="G1244" s="33">
        <v>0</v>
      </c>
      <c r="H1244" s="33">
        <v>0</v>
      </c>
      <c r="I1244" s="33">
        <v>0</v>
      </c>
      <c r="J1244" s="33">
        <v>0</v>
      </c>
      <c r="K1244" s="33">
        <v>0</v>
      </c>
      <c r="L1244" s="33">
        <v>0</v>
      </c>
      <c r="M1244" s="33">
        <v>0</v>
      </c>
      <c r="N1244" s="33">
        <v>0</v>
      </c>
      <c r="O1244" s="33">
        <v>0.20000000298023224</v>
      </c>
      <c r="P1244" s="33">
        <v>0</v>
      </c>
      <c r="Q1244" s="33">
        <v>0</v>
      </c>
      <c r="R1244" s="34" t="s">
        <v>1557</v>
      </c>
      <c r="S1244" s="33">
        <v>0</v>
      </c>
      <c r="T1244" s="35">
        <v>0</v>
      </c>
    </row>
    <row r="1245" spans="1:20">
      <c r="A1245" s="31">
        <v>1243</v>
      </c>
      <c r="B1245" s="33" t="s">
        <v>1576</v>
      </c>
      <c r="C1245" s="32"/>
      <c r="D1245" s="33">
        <v>339</v>
      </c>
      <c r="E1245" s="33">
        <v>0</v>
      </c>
      <c r="F1245" s="33">
        <v>0</v>
      </c>
      <c r="G1245" s="33">
        <v>0</v>
      </c>
      <c r="H1245" s="33">
        <v>0</v>
      </c>
      <c r="I1245" s="33">
        <v>0</v>
      </c>
      <c r="J1245" s="33">
        <v>0</v>
      </c>
      <c r="K1245" s="33">
        <v>0</v>
      </c>
      <c r="L1245" s="33">
        <v>0</v>
      </c>
      <c r="M1245" s="33">
        <v>0</v>
      </c>
      <c r="N1245" s="33">
        <v>0</v>
      </c>
      <c r="O1245" s="33">
        <v>0</v>
      </c>
      <c r="P1245" s="33">
        <v>0</v>
      </c>
      <c r="Q1245" s="33">
        <v>0</v>
      </c>
      <c r="R1245" s="34" t="s">
        <v>1557</v>
      </c>
      <c r="S1245" s="33">
        <v>0</v>
      </c>
      <c r="T1245" s="35">
        <v>0</v>
      </c>
    </row>
    <row r="1246" spans="1:20">
      <c r="A1246" s="31">
        <v>1244</v>
      </c>
      <c r="B1246" s="33" t="s">
        <v>1577</v>
      </c>
      <c r="C1246" s="32"/>
      <c r="D1246" s="33">
        <v>347</v>
      </c>
      <c r="E1246" s="33">
        <v>0</v>
      </c>
      <c r="F1246" s="33">
        <v>0</v>
      </c>
      <c r="G1246" s="33">
        <v>0</v>
      </c>
      <c r="H1246" s="33">
        <v>0</v>
      </c>
      <c r="I1246" s="33">
        <v>0</v>
      </c>
      <c r="J1246" s="33">
        <v>0</v>
      </c>
      <c r="K1246" s="33">
        <v>0</v>
      </c>
      <c r="L1246" s="33">
        <v>0</v>
      </c>
      <c r="M1246" s="33">
        <v>0</v>
      </c>
      <c r="N1246" s="33">
        <v>0</v>
      </c>
      <c r="O1246" s="33">
        <v>0.40000000596046448</v>
      </c>
      <c r="P1246" s="33">
        <v>5</v>
      </c>
      <c r="Q1246" s="33">
        <v>0.10000000149011612</v>
      </c>
      <c r="R1246" s="34" t="s">
        <v>1557</v>
      </c>
      <c r="S1246" s="33">
        <v>0</v>
      </c>
      <c r="T1246" s="35">
        <v>0</v>
      </c>
    </row>
    <row r="1247" spans="1:20">
      <c r="A1247" s="31">
        <v>1245</v>
      </c>
      <c r="B1247" s="33" t="s">
        <v>1578</v>
      </c>
      <c r="C1247" s="32"/>
      <c r="D1247" s="33">
        <v>260</v>
      </c>
      <c r="E1247" s="33">
        <v>0</v>
      </c>
      <c r="F1247" s="33">
        <v>0</v>
      </c>
      <c r="G1247" s="33">
        <v>0</v>
      </c>
      <c r="H1247" s="33">
        <v>0</v>
      </c>
      <c r="I1247" s="33">
        <v>0</v>
      </c>
      <c r="J1247" s="33">
        <v>0</v>
      </c>
      <c r="K1247" s="33">
        <v>0</v>
      </c>
      <c r="L1247" s="33">
        <v>0</v>
      </c>
      <c r="M1247" s="33">
        <v>0</v>
      </c>
      <c r="N1247" s="33">
        <v>0</v>
      </c>
      <c r="O1247" s="33">
        <v>0.10000000149011612</v>
      </c>
      <c r="P1247" s="33">
        <v>2</v>
      </c>
      <c r="Q1247" s="33">
        <v>0</v>
      </c>
      <c r="R1247" s="34" t="s">
        <v>1557</v>
      </c>
      <c r="S1247" s="33">
        <v>0</v>
      </c>
      <c r="T1247" s="35">
        <v>0</v>
      </c>
    </row>
    <row r="1248" spans="1:20">
      <c r="A1248" s="31">
        <v>1246</v>
      </c>
      <c r="B1248" s="33" t="s">
        <v>1579</v>
      </c>
      <c r="C1248" s="32"/>
      <c r="D1248" s="33">
        <v>297</v>
      </c>
      <c r="E1248" s="33">
        <v>0</v>
      </c>
      <c r="F1248" s="33">
        <v>0</v>
      </c>
      <c r="G1248" s="33">
        <v>0</v>
      </c>
      <c r="H1248" s="33">
        <v>0</v>
      </c>
      <c r="I1248" s="33">
        <v>0</v>
      </c>
      <c r="J1248" s="33">
        <v>0</v>
      </c>
      <c r="K1248" s="33">
        <v>0</v>
      </c>
      <c r="L1248" s="33">
        <v>0</v>
      </c>
      <c r="M1248" s="33">
        <v>0</v>
      </c>
      <c r="N1248" s="33">
        <v>0</v>
      </c>
      <c r="O1248" s="33">
        <v>0.30000001192092896</v>
      </c>
      <c r="P1248" s="33">
        <v>0</v>
      </c>
      <c r="Q1248" s="33">
        <v>0</v>
      </c>
      <c r="R1248" s="34" t="s">
        <v>1557</v>
      </c>
      <c r="S1248" s="33">
        <v>0</v>
      </c>
      <c r="T1248" s="35">
        <v>0</v>
      </c>
    </row>
    <row r="1249" spans="1:20">
      <c r="A1249" s="31">
        <v>1247</v>
      </c>
      <c r="B1249" s="33" t="s">
        <v>1580</v>
      </c>
      <c r="C1249" s="32"/>
      <c r="D1249" s="33">
        <v>284</v>
      </c>
      <c r="E1249" s="33">
        <v>0</v>
      </c>
      <c r="F1249" s="33">
        <v>0</v>
      </c>
      <c r="G1249" s="33">
        <v>0</v>
      </c>
      <c r="H1249" s="33">
        <v>0</v>
      </c>
      <c r="I1249" s="33">
        <v>0</v>
      </c>
      <c r="J1249" s="33">
        <v>0</v>
      </c>
      <c r="K1249" s="33">
        <v>0</v>
      </c>
      <c r="L1249" s="33">
        <v>0</v>
      </c>
      <c r="M1249" s="33">
        <v>0</v>
      </c>
      <c r="N1249" s="33">
        <v>0</v>
      </c>
      <c r="O1249" s="33">
        <v>0.60000002384185791</v>
      </c>
      <c r="P1249" s="33">
        <v>0</v>
      </c>
      <c r="Q1249" s="33">
        <v>0</v>
      </c>
      <c r="R1249" s="34" t="s">
        <v>1557</v>
      </c>
      <c r="S1249" s="33">
        <v>0</v>
      </c>
      <c r="T1249" s="35">
        <v>0</v>
      </c>
    </row>
    <row r="1250" spans="1:20">
      <c r="A1250" s="31">
        <v>1248</v>
      </c>
      <c r="B1250" s="33" t="s">
        <v>1581</v>
      </c>
      <c r="C1250" s="32"/>
      <c r="D1250" s="33">
        <v>344</v>
      </c>
      <c r="E1250" s="33">
        <v>0</v>
      </c>
      <c r="F1250" s="33">
        <v>0</v>
      </c>
      <c r="G1250" s="33">
        <v>0</v>
      </c>
      <c r="H1250" s="33">
        <v>0</v>
      </c>
      <c r="I1250" s="33">
        <v>0</v>
      </c>
      <c r="J1250" s="33">
        <v>0</v>
      </c>
      <c r="K1250" s="33">
        <v>3.9999999105930328E-2</v>
      </c>
      <c r="L1250" s="33">
        <v>0</v>
      </c>
      <c r="M1250" s="33">
        <v>0</v>
      </c>
      <c r="N1250" s="33">
        <v>0</v>
      </c>
      <c r="O1250" s="33">
        <v>0</v>
      </c>
      <c r="P1250" s="33">
        <v>0</v>
      </c>
      <c r="Q1250" s="33">
        <v>0</v>
      </c>
      <c r="R1250" s="34" t="s">
        <v>1557</v>
      </c>
      <c r="S1250" s="33">
        <v>0</v>
      </c>
      <c r="T1250" s="35">
        <v>0</v>
      </c>
    </row>
    <row r="1251" spans="1:20">
      <c r="A1251" s="31">
        <v>1249</v>
      </c>
      <c r="B1251" s="33" t="s">
        <v>1582</v>
      </c>
      <c r="C1251" s="32"/>
      <c r="D1251" s="33">
        <v>344</v>
      </c>
      <c r="E1251" s="33">
        <v>0</v>
      </c>
      <c r="F1251" s="33">
        <v>0</v>
      </c>
      <c r="G1251" s="33">
        <v>0</v>
      </c>
      <c r="H1251" s="33">
        <v>0</v>
      </c>
      <c r="I1251" s="33">
        <v>0</v>
      </c>
      <c r="J1251" s="33">
        <v>0</v>
      </c>
      <c r="K1251" s="33">
        <v>5.000000074505806E-2</v>
      </c>
      <c r="L1251" s="33">
        <v>0</v>
      </c>
      <c r="M1251" s="33">
        <v>0</v>
      </c>
      <c r="N1251" s="33">
        <v>0</v>
      </c>
      <c r="O1251" s="33">
        <v>0.80000001192092896</v>
      </c>
      <c r="P1251" s="33">
        <v>3</v>
      </c>
      <c r="Q1251" s="33">
        <v>0.10000000149011612</v>
      </c>
      <c r="R1251" s="34" t="s">
        <v>1557</v>
      </c>
      <c r="S1251" s="33">
        <v>0</v>
      </c>
      <c r="T1251" s="35">
        <v>0</v>
      </c>
    </row>
    <row r="1252" spans="1:20">
      <c r="A1252" s="31">
        <v>1250</v>
      </c>
      <c r="B1252" s="33" t="s">
        <v>1583</v>
      </c>
      <c r="C1252" s="32"/>
      <c r="D1252" s="33">
        <v>62</v>
      </c>
      <c r="E1252" s="33">
        <v>0</v>
      </c>
      <c r="F1252" s="33">
        <v>0.10000000149011612</v>
      </c>
      <c r="G1252" s="33">
        <v>0</v>
      </c>
      <c r="H1252" s="33">
        <v>0</v>
      </c>
      <c r="I1252" s="33">
        <v>0</v>
      </c>
      <c r="J1252" s="33">
        <v>0</v>
      </c>
      <c r="K1252" s="33">
        <v>9.9999997764825821E-3</v>
      </c>
      <c r="L1252" s="33">
        <v>0</v>
      </c>
      <c r="M1252" s="33">
        <v>0</v>
      </c>
      <c r="N1252" s="33">
        <v>0</v>
      </c>
      <c r="O1252" s="33">
        <v>2.7999999523162842</v>
      </c>
      <c r="P1252" s="33">
        <v>23</v>
      </c>
      <c r="Q1252" s="33">
        <v>0</v>
      </c>
      <c r="R1252" s="34" t="s">
        <v>1557</v>
      </c>
      <c r="S1252" s="33">
        <v>0</v>
      </c>
      <c r="T1252" s="35">
        <v>0</v>
      </c>
    </row>
    <row r="1253" spans="1:20">
      <c r="A1253" s="31">
        <v>1251</v>
      </c>
      <c r="B1253" s="33" t="s">
        <v>1584</v>
      </c>
      <c r="C1253" s="32"/>
      <c r="D1253" s="33">
        <v>80</v>
      </c>
      <c r="E1253" s="33">
        <v>0</v>
      </c>
      <c r="F1253" s="33">
        <v>0</v>
      </c>
      <c r="G1253" s="33">
        <v>0</v>
      </c>
      <c r="H1253" s="33">
        <v>0</v>
      </c>
      <c r="I1253" s="33">
        <v>0</v>
      </c>
      <c r="J1253" s="33">
        <v>0</v>
      </c>
      <c r="K1253" s="33">
        <v>9.9999997764825821E-3</v>
      </c>
      <c r="L1253" s="33">
        <v>0</v>
      </c>
      <c r="M1253" s="33">
        <v>0</v>
      </c>
      <c r="N1253" s="33">
        <v>0</v>
      </c>
      <c r="O1253" s="33">
        <v>0</v>
      </c>
      <c r="P1253" s="33">
        <v>0</v>
      </c>
      <c r="Q1253" s="33">
        <v>2</v>
      </c>
      <c r="R1253" s="34" t="s">
        <v>1557</v>
      </c>
      <c r="S1253" s="33">
        <v>0</v>
      </c>
      <c r="T1253" s="35">
        <v>0</v>
      </c>
    </row>
    <row r="1254" spans="1:20">
      <c r="A1254" s="31">
        <v>1252</v>
      </c>
      <c r="B1254" s="33" t="s">
        <v>1585</v>
      </c>
      <c r="C1254" s="32"/>
      <c r="D1254" s="33">
        <v>58</v>
      </c>
      <c r="E1254" s="33">
        <v>0</v>
      </c>
      <c r="F1254" s="33">
        <v>0</v>
      </c>
      <c r="G1254" s="33">
        <v>0</v>
      </c>
      <c r="H1254" s="33">
        <v>0</v>
      </c>
      <c r="I1254" s="33">
        <v>0</v>
      </c>
      <c r="J1254" s="33">
        <v>0</v>
      </c>
      <c r="K1254" s="33">
        <v>0</v>
      </c>
      <c r="L1254" s="33">
        <v>3.9999999105930328E-2</v>
      </c>
      <c r="M1254" s="33">
        <v>0</v>
      </c>
      <c r="N1254" s="33">
        <v>0</v>
      </c>
      <c r="O1254" s="33">
        <v>0.40000000596046448</v>
      </c>
      <c r="P1254" s="33">
        <v>13</v>
      </c>
      <c r="Q1254" s="33">
        <v>0</v>
      </c>
      <c r="R1254" s="34" t="s">
        <v>1557</v>
      </c>
      <c r="S1254" s="33">
        <v>0</v>
      </c>
      <c r="T1254" s="35">
        <v>0</v>
      </c>
    </row>
    <row r="1255" spans="1:20">
      <c r="A1255" s="31">
        <v>1253</v>
      </c>
      <c r="B1255" s="33" t="s">
        <v>1586</v>
      </c>
      <c r="C1255" s="32"/>
      <c r="D1255" s="33">
        <v>65</v>
      </c>
      <c r="E1255" s="33">
        <v>0</v>
      </c>
      <c r="F1255" s="33">
        <v>0</v>
      </c>
      <c r="G1255" s="33">
        <v>0</v>
      </c>
      <c r="H1255" s="33">
        <v>0</v>
      </c>
      <c r="I1255" s="33">
        <v>0</v>
      </c>
      <c r="J1255" s="33">
        <v>0</v>
      </c>
      <c r="K1255" s="33">
        <v>0</v>
      </c>
      <c r="L1255" s="33">
        <v>0</v>
      </c>
      <c r="M1255" s="33">
        <v>0</v>
      </c>
      <c r="N1255" s="33">
        <v>0</v>
      </c>
      <c r="O1255" s="33">
        <v>0.69999998807907104</v>
      </c>
      <c r="P1255" s="33">
        <v>0</v>
      </c>
      <c r="Q1255" s="33">
        <v>0.20000000298023224</v>
      </c>
      <c r="R1255" s="34" t="s">
        <v>1557</v>
      </c>
      <c r="S1255" s="33">
        <v>0</v>
      </c>
      <c r="T1255" s="35">
        <v>0</v>
      </c>
    </row>
    <row r="1256" spans="1:20">
      <c r="A1256" s="31">
        <v>1254</v>
      </c>
      <c r="B1256" s="33" t="s">
        <v>1587</v>
      </c>
      <c r="C1256" s="32"/>
      <c r="D1256" s="33">
        <v>68</v>
      </c>
      <c r="E1256" s="33">
        <v>0</v>
      </c>
      <c r="F1256" s="33">
        <v>0.10000000149011612</v>
      </c>
      <c r="G1256" s="33">
        <v>0</v>
      </c>
      <c r="H1256" s="33">
        <v>0</v>
      </c>
      <c r="I1256" s="33">
        <v>0</v>
      </c>
      <c r="J1256" s="33">
        <v>0</v>
      </c>
      <c r="K1256" s="33">
        <v>3.9999999105930328E-2</v>
      </c>
      <c r="L1256" s="33">
        <v>0</v>
      </c>
      <c r="M1256" s="33">
        <v>0</v>
      </c>
      <c r="N1256" s="33">
        <v>0</v>
      </c>
      <c r="O1256" s="33">
        <v>2.5999999046325684</v>
      </c>
      <c r="P1256" s="33">
        <v>12</v>
      </c>
      <c r="Q1256" s="33">
        <v>0.20000000298023224</v>
      </c>
      <c r="R1256" s="34" t="s">
        <v>1557</v>
      </c>
      <c r="S1256" s="33">
        <v>0</v>
      </c>
      <c r="T1256" s="35">
        <v>0</v>
      </c>
    </row>
    <row r="1257" spans="1:20">
      <c r="A1257" s="31">
        <v>1255</v>
      </c>
      <c r="B1257" s="33" t="s">
        <v>1588</v>
      </c>
      <c r="C1257" s="32"/>
      <c r="D1257" s="33">
        <v>85</v>
      </c>
      <c r="E1257" s="33">
        <v>0</v>
      </c>
      <c r="F1257" s="33">
        <v>0.10000000149011612</v>
      </c>
      <c r="G1257" s="33">
        <v>0</v>
      </c>
      <c r="H1257" s="33">
        <v>0</v>
      </c>
      <c r="I1257" s="33">
        <v>0</v>
      </c>
      <c r="J1257" s="33">
        <v>0</v>
      </c>
      <c r="K1257" s="33">
        <v>0</v>
      </c>
      <c r="L1257" s="33">
        <v>0</v>
      </c>
      <c r="M1257" s="33">
        <v>0</v>
      </c>
      <c r="N1257" s="33">
        <v>0</v>
      </c>
      <c r="O1257" s="33">
        <v>1.1000000238418579</v>
      </c>
      <c r="P1257" s="33">
        <v>31</v>
      </c>
      <c r="Q1257" s="33">
        <v>0.30000001192092896</v>
      </c>
      <c r="R1257" s="34" t="s">
        <v>1557</v>
      </c>
      <c r="S1257" s="33">
        <v>0</v>
      </c>
      <c r="T1257" s="35">
        <v>0</v>
      </c>
    </row>
    <row r="1258" spans="1:20">
      <c r="A1258" s="31">
        <v>1256</v>
      </c>
      <c r="B1258" s="33" t="s">
        <v>1589</v>
      </c>
      <c r="C1258" s="32"/>
      <c r="D1258" s="33">
        <v>91</v>
      </c>
      <c r="E1258" s="33">
        <v>0</v>
      </c>
      <c r="F1258" s="33">
        <v>0.10000000149011612</v>
      </c>
      <c r="G1258" s="33">
        <v>0</v>
      </c>
      <c r="H1258" s="33">
        <v>0</v>
      </c>
      <c r="I1258" s="33">
        <v>0</v>
      </c>
      <c r="J1258" s="33">
        <v>0</v>
      </c>
      <c r="K1258" s="33">
        <v>0</v>
      </c>
      <c r="L1258" s="33">
        <v>9.9999997764825821E-3</v>
      </c>
      <c r="M1258" s="33">
        <v>0</v>
      </c>
      <c r="N1258" s="33">
        <v>0</v>
      </c>
      <c r="O1258" s="33">
        <v>1.7999999523162842</v>
      </c>
      <c r="P1258" s="33">
        <v>27</v>
      </c>
      <c r="Q1258" s="33">
        <v>0.30000001192092896</v>
      </c>
      <c r="R1258" s="34" t="s">
        <v>1557</v>
      </c>
      <c r="S1258" s="33">
        <v>0</v>
      </c>
      <c r="T1258" s="35">
        <v>0</v>
      </c>
    </row>
    <row r="1259" spans="1:20">
      <c r="A1259" s="31">
        <v>1257</v>
      </c>
      <c r="B1259" s="33" t="s">
        <v>1590</v>
      </c>
      <c r="C1259" s="32"/>
      <c r="D1259" s="33">
        <v>80</v>
      </c>
      <c r="E1259" s="33">
        <v>0</v>
      </c>
      <c r="F1259" s="33">
        <v>0</v>
      </c>
      <c r="G1259" s="33">
        <v>0</v>
      </c>
      <c r="H1259" s="33">
        <v>0</v>
      </c>
      <c r="I1259" s="33">
        <v>0</v>
      </c>
      <c r="J1259" s="33">
        <v>0</v>
      </c>
      <c r="K1259" s="33">
        <v>1.9999999552965164E-2</v>
      </c>
      <c r="L1259" s="33">
        <v>1.9999999552965164E-2</v>
      </c>
      <c r="M1259" s="33">
        <v>0</v>
      </c>
      <c r="N1259" s="33">
        <v>0</v>
      </c>
      <c r="O1259" s="33">
        <v>0</v>
      </c>
      <c r="P1259" s="33">
        <v>90</v>
      </c>
      <c r="Q1259" s="33">
        <v>0.30000001192092896</v>
      </c>
      <c r="R1259" s="34" t="s">
        <v>1557</v>
      </c>
      <c r="S1259" s="33">
        <v>0</v>
      </c>
      <c r="T1259" s="35">
        <v>0</v>
      </c>
    </row>
    <row r="1260" spans="1:20">
      <c r="A1260" s="31">
        <v>1258</v>
      </c>
      <c r="B1260" s="33" t="s">
        <v>1591</v>
      </c>
      <c r="C1260" s="32"/>
      <c r="D1260" s="33">
        <v>31</v>
      </c>
      <c r="E1260" s="33">
        <v>0</v>
      </c>
      <c r="F1260" s="33">
        <v>0</v>
      </c>
      <c r="G1260" s="33">
        <v>0</v>
      </c>
      <c r="H1260" s="33">
        <v>0</v>
      </c>
      <c r="I1260" s="33">
        <v>0</v>
      </c>
      <c r="J1260" s="33">
        <v>0</v>
      </c>
      <c r="K1260" s="33">
        <v>2.9999999329447746E-2</v>
      </c>
      <c r="L1260" s="33">
        <v>0</v>
      </c>
      <c r="M1260" s="33">
        <v>0</v>
      </c>
      <c r="N1260" s="33">
        <v>0</v>
      </c>
      <c r="O1260" s="33">
        <v>0</v>
      </c>
      <c r="P1260" s="33">
        <v>0</v>
      </c>
      <c r="Q1260" s="33">
        <v>0</v>
      </c>
      <c r="R1260" s="34" t="s">
        <v>1557</v>
      </c>
      <c r="S1260" s="33">
        <v>0</v>
      </c>
      <c r="T1260" s="35">
        <v>0</v>
      </c>
    </row>
    <row r="1261" spans="1:20">
      <c r="A1261" s="31">
        <v>1259</v>
      </c>
      <c r="B1261" s="33" t="s">
        <v>1592</v>
      </c>
      <c r="C1261" s="32"/>
      <c r="D1261" s="33">
        <v>85</v>
      </c>
      <c r="E1261" s="33">
        <v>0</v>
      </c>
      <c r="F1261" s="33">
        <v>0</v>
      </c>
      <c r="G1261" s="33">
        <v>0</v>
      </c>
      <c r="H1261" s="33">
        <v>0</v>
      </c>
      <c r="I1261" s="33">
        <v>0</v>
      </c>
      <c r="J1261" s="33">
        <v>0</v>
      </c>
      <c r="K1261" s="33">
        <v>0</v>
      </c>
      <c r="L1261" s="33">
        <v>3.9999999105930328E-2</v>
      </c>
      <c r="M1261" s="33">
        <v>0</v>
      </c>
      <c r="N1261" s="33">
        <v>0</v>
      </c>
      <c r="O1261" s="33">
        <v>4.1999998092651367</v>
      </c>
      <c r="P1261" s="33">
        <v>15</v>
      </c>
      <c r="Q1261" s="33">
        <v>1.2999999523162842</v>
      </c>
      <c r="R1261" s="34" t="s">
        <v>1557</v>
      </c>
      <c r="S1261" s="33">
        <v>0</v>
      </c>
      <c r="T1261" s="35">
        <v>0</v>
      </c>
    </row>
    <row r="1262" spans="1:20">
      <c r="A1262" s="31">
        <v>1260</v>
      </c>
      <c r="B1262" s="33" t="s">
        <v>1593</v>
      </c>
      <c r="C1262" s="32"/>
      <c r="D1262" s="33">
        <v>78</v>
      </c>
      <c r="E1262" s="33">
        <v>0</v>
      </c>
      <c r="F1262" s="33">
        <v>1.2000000476837158</v>
      </c>
      <c r="G1262" s="33">
        <v>0</v>
      </c>
      <c r="H1262" s="33">
        <v>0</v>
      </c>
      <c r="I1262" s="33">
        <v>0</v>
      </c>
      <c r="J1262" s="33">
        <v>0</v>
      </c>
      <c r="K1262" s="33">
        <v>3.9999999105930328E-2</v>
      </c>
      <c r="L1262" s="33">
        <v>9.9999997764825821E-3</v>
      </c>
      <c r="M1262" s="33">
        <v>0</v>
      </c>
      <c r="N1262" s="33">
        <v>0</v>
      </c>
      <c r="O1262" s="33">
        <v>8.6999998092651367</v>
      </c>
      <c r="P1262" s="33">
        <v>0</v>
      </c>
      <c r="Q1262" s="33">
        <v>1.1000000238418579</v>
      </c>
      <c r="R1262" s="34" t="s">
        <v>1557</v>
      </c>
      <c r="S1262" s="33">
        <v>0</v>
      </c>
      <c r="T1262" s="35">
        <v>0</v>
      </c>
    </row>
    <row r="1263" spans="1:20">
      <c r="A1263" s="31">
        <v>1261</v>
      </c>
      <c r="B1263" s="33" t="s">
        <v>1594</v>
      </c>
      <c r="C1263" s="32"/>
      <c r="D1263" s="33">
        <v>0</v>
      </c>
      <c r="E1263" s="33">
        <v>0</v>
      </c>
      <c r="F1263" s="33">
        <v>1.2999999523162842</v>
      </c>
      <c r="G1263" s="33">
        <v>0</v>
      </c>
      <c r="H1263" s="33">
        <v>0</v>
      </c>
      <c r="I1263" s="33">
        <v>0</v>
      </c>
      <c r="J1263" s="33">
        <v>0</v>
      </c>
      <c r="K1263" s="33">
        <v>9.9999997764825821E-3</v>
      </c>
      <c r="L1263" s="33">
        <v>7.9999998211860657E-2</v>
      </c>
      <c r="M1263" s="33">
        <v>0</v>
      </c>
      <c r="N1263" s="33">
        <v>0</v>
      </c>
      <c r="O1263" s="33">
        <v>1.7000000476837158</v>
      </c>
      <c r="P1263" s="33">
        <v>17</v>
      </c>
      <c r="Q1263" s="33">
        <v>0.10000000149011612</v>
      </c>
      <c r="R1263" s="34" t="s">
        <v>1557</v>
      </c>
      <c r="S1263" s="33">
        <v>0</v>
      </c>
      <c r="T1263" s="35">
        <v>0</v>
      </c>
    </row>
    <row r="1264" spans="1:20">
      <c r="A1264" s="31">
        <v>1262</v>
      </c>
      <c r="B1264" s="33" t="s">
        <v>1595</v>
      </c>
      <c r="C1264" s="32"/>
      <c r="D1264" s="33">
        <v>0</v>
      </c>
      <c r="E1264" s="33">
        <v>0</v>
      </c>
      <c r="F1264" s="33">
        <v>1.6000000238418579</v>
      </c>
      <c r="G1264" s="33">
        <v>0</v>
      </c>
      <c r="H1264" s="33">
        <v>0</v>
      </c>
      <c r="I1264" s="33">
        <v>0</v>
      </c>
      <c r="J1264" s="33">
        <v>0</v>
      </c>
      <c r="K1264" s="33">
        <v>9.9999997764825821E-3</v>
      </c>
      <c r="L1264" s="33">
        <v>0.10000000149011612</v>
      </c>
      <c r="M1264" s="33">
        <v>0</v>
      </c>
      <c r="N1264" s="33">
        <v>0</v>
      </c>
      <c r="O1264" s="33">
        <v>1.5</v>
      </c>
      <c r="P1264" s="33">
        <v>12</v>
      </c>
      <c r="Q1264" s="33">
        <v>0.10000000149011612</v>
      </c>
      <c r="R1264" s="34" t="s">
        <v>1557</v>
      </c>
      <c r="S1264" s="33">
        <v>0</v>
      </c>
      <c r="T1264" s="35">
        <v>0</v>
      </c>
    </row>
    <row r="1265" spans="1:20">
      <c r="A1265" s="31">
        <v>1263</v>
      </c>
      <c r="B1265" s="33" t="s">
        <v>1596</v>
      </c>
      <c r="C1265" s="32"/>
      <c r="D1265" s="33">
        <v>0</v>
      </c>
      <c r="E1265" s="33">
        <v>0</v>
      </c>
      <c r="F1265" s="33">
        <v>1.3999999761581421</v>
      </c>
      <c r="G1265" s="33">
        <v>0</v>
      </c>
      <c r="H1265" s="33">
        <v>0</v>
      </c>
      <c r="I1265" s="33">
        <v>0</v>
      </c>
      <c r="J1265" s="33">
        <v>0</v>
      </c>
      <c r="K1265" s="33">
        <v>0.20000000298023224</v>
      </c>
      <c r="L1265" s="33">
        <v>5.9999998658895493E-2</v>
      </c>
      <c r="M1265" s="33">
        <v>0.5</v>
      </c>
      <c r="N1265" s="33">
        <v>0</v>
      </c>
      <c r="O1265" s="33">
        <v>19</v>
      </c>
      <c r="P1265" s="33">
        <v>104</v>
      </c>
      <c r="Q1265" s="33">
        <v>0.5</v>
      </c>
      <c r="R1265" s="34" t="s">
        <v>1557</v>
      </c>
      <c r="S1265" s="33">
        <v>0</v>
      </c>
      <c r="T1265" s="35">
        <v>0</v>
      </c>
    </row>
    <row r="1266" spans="1:20">
      <c r="A1266" s="31">
        <v>1264</v>
      </c>
      <c r="B1266" s="33" t="s">
        <v>1597</v>
      </c>
      <c r="C1266" s="32"/>
      <c r="D1266" s="33">
        <v>0</v>
      </c>
      <c r="E1266" s="33">
        <v>0</v>
      </c>
      <c r="F1266" s="33">
        <v>1.6000000238418579</v>
      </c>
      <c r="G1266" s="33">
        <v>0</v>
      </c>
      <c r="H1266" s="33">
        <v>0</v>
      </c>
      <c r="I1266" s="33">
        <v>0</v>
      </c>
      <c r="J1266" s="33">
        <v>0</v>
      </c>
      <c r="K1266" s="33">
        <v>2.9999999329447746E-2</v>
      </c>
      <c r="L1266" s="33">
        <v>9.9999997764825821E-3</v>
      </c>
      <c r="M1266" s="33">
        <v>0</v>
      </c>
      <c r="N1266" s="33">
        <v>0</v>
      </c>
      <c r="O1266" s="33">
        <v>1</v>
      </c>
      <c r="P1266" s="33">
        <v>16</v>
      </c>
      <c r="Q1266" s="33">
        <v>0.10000000149011612</v>
      </c>
      <c r="R1266" s="34" t="s">
        <v>1557</v>
      </c>
      <c r="S1266" s="33">
        <v>0</v>
      </c>
      <c r="T1266" s="35">
        <v>0</v>
      </c>
    </row>
    <row r="1267" spans="1:20">
      <c r="A1267" s="31">
        <v>1265</v>
      </c>
      <c r="B1267" s="33" t="s">
        <v>1598</v>
      </c>
      <c r="C1267" s="32"/>
      <c r="D1267" s="33">
        <v>36</v>
      </c>
      <c r="E1267" s="33">
        <v>0</v>
      </c>
      <c r="F1267" s="33">
        <v>0</v>
      </c>
      <c r="G1267" s="33">
        <v>0</v>
      </c>
      <c r="H1267" s="33">
        <v>0</v>
      </c>
      <c r="I1267" s="33">
        <v>0</v>
      </c>
      <c r="J1267" s="33">
        <v>0</v>
      </c>
      <c r="K1267" s="33">
        <v>0</v>
      </c>
      <c r="L1267" s="33">
        <v>0</v>
      </c>
      <c r="M1267" s="33">
        <v>0</v>
      </c>
      <c r="N1267" s="33">
        <v>0</v>
      </c>
      <c r="O1267" s="33">
        <v>1.2999999523162842</v>
      </c>
      <c r="P1267" s="33">
        <v>9</v>
      </c>
      <c r="Q1267" s="33">
        <v>0</v>
      </c>
      <c r="R1267" s="34" t="s">
        <v>1557</v>
      </c>
      <c r="S1267" s="33">
        <v>0</v>
      </c>
      <c r="T1267" s="35">
        <v>0</v>
      </c>
    </row>
    <row r="1268" spans="1:20">
      <c r="A1268" s="31">
        <v>1266</v>
      </c>
      <c r="B1268" s="33" t="s">
        <v>1599</v>
      </c>
      <c r="C1268" s="32"/>
      <c r="D1268" s="33">
        <v>0</v>
      </c>
      <c r="E1268" s="33">
        <v>0</v>
      </c>
      <c r="F1268" s="33">
        <v>2</v>
      </c>
      <c r="G1268" s="33">
        <v>0</v>
      </c>
      <c r="H1268" s="33">
        <v>0</v>
      </c>
      <c r="I1268" s="33">
        <v>0</v>
      </c>
      <c r="J1268" s="33">
        <v>0</v>
      </c>
      <c r="K1268" s="33">
        <v>9.9999997764825821E-3</v>
      </c>
      <c r="L1268" s="33">
        <v>0.10000000149011612</v>
      </c>
      <c r="M1268" s="33">
        <v>0</v>
      </c>
      <c r="N1268" s="33">
        <v>0</v>
      </c>
      <c r="O1268" s="33">
        <v>0.40000000596046448</v>
      </c>
      <c r="P1268" s="33">
        <v>0</v>
      </c>
      <c r="Q1268" s="33">
        <v>0</v>
      </c>
      <c r="R1268" s="34" t="s">
        <v>1557</v>
      </c>
      <c r="S1268" s="33">
        <v>0</v>
      </c>
      <c r="T1268" s="35">
        <v>0</v>
      </c>
    </row>
    <row r="1269" spans="1:20">
      <c r="A1269" s="31">
        <v>1267</v>
      </c>
      <c r="B1269" s="33" t="s">
        <v>1600</v>
      </c>
      <c r="C1269" s="32"/>
      <c r="D1269" s="33">
        <v>84</v>
      </c>
      <c r="E1269" s="33">
        <v>0</v>
      </c>
      <c r="F1269" s="33">
        <v>0</v>
      </c>
      <c r="G1269" s="33">
        <v>0</v>
      </c>
      <c r="H1269" s="33">
        <v>0</v>
      </c>
      <c r="I1269" s="33">
        <v>0</v>
      </c>
      <c r="J1269" s="33">
        <v>0</v>
      </c>
      <c r="K1269" s="33">
        <v>0</v>
      </c>
      <c r="L1269" s="33">
        <v>0</v>
      </c>
      <c r="M1269" s="33">
        <v>0</v>
      </c>
      <c r="N1269" s="33">
        <v>0</v>
      </c>
      <c r="O1269" s="33">
        <v>0</v>
      </c>
      <c r="P1269" s="33">
        <v>0</v>
      </c>
      <c r="Q1269" s="33">
        <v>0</v>
      </c>
      <c r="R1269" s="34" t="s">
        <v>1557</v>
      </c>
      <c r="S1269" s="33">
        <v>0</v>
      </c>
      <c r="T1269" s="35">
        <v>0</v>
      </c>
    </row>
    <row r="1270" spans="1:20">
      <c r="A1270" s="31">
        <v>1268</v>
      </c>
      <c r="B1270" s="33" t="s">
        <v>1601</v>
      </c>
      <c r="C1270" s="32"/>
      <c r="D1270" s="33">
        <v>80</v>
      </c>
      <c r="E1270" s="33">
        <v>0</v>
      </c>
      <c r="F1270" s="33">
        <v>0</v>
      </c>
      <c r="G1270" s="33">
        <v>0</v>
      </c>
      <c r="H1270" s="33">
        <v>0</v>
      </c>
      <c r="I1270" s="33">
        <v>0</v>
      </c>
      <c r="J1270" s="33">
        <v>0</v>
      </c>
      <c r="K1270" s="33">
        <v>9.9999997764825821E-3</v>
      </c>
      <c r="L1270" s="33">
        <v>0</v>
      </c>
      <c r="M1270" s="33">
        <v>0</v>
      </c>
      <c r="N1270" s="33">
        <v>0</v>
      </c>
      <c r="O1270" s="33">
        <v>0</v>
      </c>
      <c r="P1270" s="33">
        <v>0</v>
      </c>
      <c r="Q1270" s="33">
        <v>0</v>
      </c>
      <c r="R1270" s="34" t="s">
        <v>1557</v>
      </c>
      <c r="S1270" s="33">
        <v>0</v>
      </c>
      <c r="T1270" s="35">
        <v>0</v>
      </c>
    </row>
    <row r="1271" spans="1:20">
      <c r="A1271" s="31">
        <v>1269</v>
      </c>
      <c r="B1271" s="33" t="s">
        <v>1602</v>
      </c>
      <c r="C1271" s="32"/>
      <c r="D1271" s="33">
        <v>0</v>
      </c>
      <c r="E1271" s="33">
        <v>0</v>
      </c>
      <c r="F1271" s="33">
        <v>1.5</v>
      </c>
      <c r="G1271" s="33">
        <v>0</v>
      </c>
      <c r="H1271" s="33">
        <v>0</v>
      </c>
      <c r="I1271" s="33">
        <v>0</v>
      </c>
      <c r="J1271" s="33">
        <v>0</v>
      </c>
      <c r="K1271" s="33">
        <v>9.9999997764825821E-3</v>
      </c>
      <c r="L1271" s="33">
        <v>7.0000000298023224E-2</v>
      </c>
      <c r="M1271" s="33">
        <v>0</v>
      </c>
      <c r="N1271" s="33">
        <v>0</v>
      </c>
      <c r="O1271" s="33">
        <v>1.3999999761581421</v>
      </c>
      <c r="P1271" s="33">
        <v>25</v>
      </c>
      <c r="Q1271" s="33">
        <v>0.10000000149011612</v>
      </c>
      <c r="R1271" s="34" t="s">
        <v>1557</v>
      </c>
      <c r="S1271" s="33">
        <v>0</v>
      </c>
      <c r="T1271" s="35">
        <v>0</v>
      </c>
    </row>
    <row r="1272" spans="1:20">
      <c r="A1272" s="31">
        <v>1270</v>
      </c>
      <c r="B1272" s="33" t="s">
        <v>1603</v>
      </c>
      <c r="C1272" s="32"/>
      <c r="D1272" s="33">
        <v>56</v>
      </c>
      <c r="E1272" s="33">
        <v>0</v>
      </c>
      <c r="F1272" s="33">
        <v>0</v>
      </c>
      <c r="G1272" s="33">
        <v>0</v>
      </c>
      <c r="H1272" s="33">
        <v>0</v>
      </c>
      <c r="I1272" s="33">
        <v>0</v>
      </c>
      <c r="J1272" s="33">
        <v>0</v>
      </c>
      <c r="K1272" s="33">
        <v>0</v>
      </c>
      <c r="L1272" s="33">
        <v>0</v>
      </c>
      <c r="M1272" s="33">
        <v>0</v>
      </c>
      <c r="N1272" s="33">
        <v>0</v>
      </c>
      <c r="O1272" s="33">
        <v>0</v>
      </c>
      <c r="P1272" s="33">
        <v>0</v>
      </c>
      <c r="Q1272" s="33">
        <v>0</v>
      </c>
      <c r="R1272" s="34" t="s">
        <v>1557</v>
      </c>
      <c r="S1272" s="33">
        <v>0</v>
      </c>
      <c r="T1272" s="35">
        <v>0</v>
      </c>
    </row>
    <row r="1273" spans="1:20">
      <c r="A1273" s="31">
        <v>1271</v>
      </c>
      <c r="B1273" s="33" t="s">
        <v>1604</v>
      </c>
      <c r="C1273" s="32"/>
      <c r="D1273" s="33">
        <v>33</v>
      </c>
      <c r="E1273" s="33">
        <v>0</v>
      </c>
      <c r="F1273" s="33">
        <v>0.40000000596046448</v>
      </c>
      <c r="G1273" s="33">
        <v>0</v>
      </c>
      <c r="H1273" s="33">
        <v>0</v>
      </c>
      <c r="I1273" s="33">
        <v>0</v>
      </c>
      <c r="J1273" s="33">
        <v>0</v>
      </c>
      <c r="K1273" s="33">
        <v>0</v>
      </c>
      <c r="L1273" s="33">
        <v>2.9999999329447746E-2</v>
      </c>
      <c r="M1273" s="33">
        <v>0</v>
      </c>
      <c r="N1273" s="33">
        <v>0</v>
      </c>
      <c r="O1273" s="33">
        <v>0</v>
      </c>
      <c r="P1273" s="33">
        <v>0</v>
      </c>
      <c r="Q1273" s="33">
        <v>0</v>
      </c>
      <c r="R1273" s="34" t="s">
        <v>1557</v>
      </c>
      <c r="S1273" s="33">
        <v>0</v>
      </c>
      <c r="T1273" s="35">
        <v>0</v>
      </c>
    </row>
    <row r="1274" spans="1:20">
      <c r="A1274" s="31">
        <v>1272</v>
      </c>
      <c r="B1274" s="33" t="s">
        <v>1605</v>
      </c>
      <c r="C1274" s="32"/>
      <c r="D1274" s="33">
        <v>35</v>
      </c>
      <c r="E1274" s="33">
        <v>0</v>
      </c>
      <c r="F1274" s="33">
        <v>0.40000000596046448</v>
      </c>
      <c r="G1274" s="33">
        <v>0</v>
      </c>
      <c r="H1274" s="33">
        <v>0</v>
      </c>
      <c r="I1274" s="33">
        <v>0</v>
      </c>
      <c r="J1274" s="33">
        <v>0</v>
      </c>
      <c r="K1274" s="33">
        <v>0.20000000298023224</v>
      </c>
      <c r="L1274" s="33">
        <v>9.9999997764825821E-3</v>
      </c>
      <c r="M1274" s="33">
        <v>0</v>
      </c>
      <c r="N1274" s="33">
        <v>0</v>
      </c>
      <c r="O1274" s="33">
        <v>2.5</v>
      </c>
      <c r="P1274" s="33">
        <v>0</v>
      </c>
      <c r="Q1274" s="33">
        <v>0</v>
      </c>
      <c r="R1274" s="34" t="s">
        <v>1557</v>
      </c>
      <c r="S1274" s="33">
        <v>0</v>
      </c>
      <c r="T1274" s="35">
        <v>0</v>
      </c>
    </row>
    <row r="1275" spans="1:20">
      <c r="A1275" s="31">
        <v>1273</v>
      </c>
      <c r="B1275" s="33" t="s">
        <v>1606</v>
      </c>
      <c r="C1275" s="32"/>
      <c r="D1275" s="33">
        <v>15</v>
      </c>
      <c r="E1275" s="33">
        <v>0</v>
      </c>
      <c r="F1275" s="33">
        <v>0</v>
      </c>
      <c r="G1275" s="33">
        <v>0</v>
      </c>
      <c r="H1275" s="33">
        <v>0</v>
      </c>
      <c r="I1275" s="33">
        <v>0</v>
      </c>
      <c r="J1275" s="33">
        <v>0</v>
      </c>
      <c r="K1275" s="33">
        <v>0.27000001072883606</v>
      </c>
      <c r="L1275" s="33">
        <v>7.0000000298023224E-2</v>
      </c>
      <c r="M1275" s="33">
        <v>0</v>
      </c>
      <c r="N1275" s="33">
        <v>0</v>
      </c>
      <c r="O1275" s="33">
        <v>2.5999999046325684</v>
      </c>
      <c r="P1275" s="33">
        <v>6</v>
      </c>
      <c r="Q1275" s="33">
        <v>0</v>
      </c>
      <c r="R1275" s="34" t="s">
        <v>1557</v>
      </c>
      <c r="S1275" s="33">
        <v>0</v>
      </c>
      <c r="T1275" s="35">
        <v>0</v>
      </c>
    </row>
    <row r="1276" spans="1:20">
      <c r="A1276" s="31">
        <v>1274</v>
      </c>
      <c r="B1276" s="33" t="s">
        <v>1607</v>
      </c>
      <c r="C1276" s="32"/>
      <c r="D1276" s="33">
        <v>26</v>
      </c>
      <c r="E1276" s="33">
        <v>0</v>
      </c>
      <c r="F1276" s="33">
        <v>0</v>
      </c>
      <c r="G1276" s="33">
        <v>0</v>
      </c>
      <c r="H1276" s="33">
        <v>0</v>
      </c>
      <c r="I1276" s="33">
        <v>0</v>
      </c>
      <c r="J1276" s="33">
        <v>0</v>
      </c>
      <c r="K1276" s="33">
        <v>0</v>
      </c>
      <c r="L1276" s="33">
        <v>0.10999999940395355</v>
      </c>
      <c r="M1276" s="33">
        <v>1</v>
      </c>
      <c r="N1276" s="33">
        <v>0</v>
      </c>
      <c r="O1276" s="33">
        <v>0</v>
      </c>
      <c r="P1276" s="33">
        <v>11</v>
      </c>
      <c r="Q1276" s="33">
        <v>0</v>
      </c>
      <c r="R1276" s="34" t="s">
        <v>1557</v>
      </c>
      <c r="S1276" s="33">
        <v>0</v>
      </c>
      <c r="T1276" s="35">
        <v>0</v>
      </c>
    </row>
    <row r="1277" spans="1:20">
      <c r="A1277" s="31">
        <v>1275</v>
      </c>
      <c r="B1277" s="33" t="s">
        <v>1608</v>
      </c>
      <c r="C1277" s="32"/>
      <c r="D1277" s="33">
        <v>26</v>
      </c>
      <c r="E1277" s="33">
        <v>0</v>
      </c>
      <c r="F1277" s="33">
        <v>0.5</v>
      </c>
      <c r="G1277" s="33">
        <v>0</v>
      </c>
      <c r="H1277" s="33">
        <v>0</v>
      </c>
      <c r="I1277" s="33">
        <v>0</v>
      </c>
      <c r="J1277" s="33">
        <v>0</v>
      </c>
      <c r="K1277" s="33">
        <v>0</v>
      </c>
      <c r="L1277" s="33">
        <v>1.9999999552965164E-2</v>
      </c>
      <c r="M1277" s="33">
        <v>0</v>
      </c>
      <c r="N1277" s="33">
        <v>0</v>
      </c>
      <c r="O1277" s="33">
        <v>44.900001525878906</v>
      </c>
      <c r="P1277" s="33">
        <v>67</v>
      </c>
      <c r="Q1277" s="33">
        <v>0</v>
      </c>
      <c r="R1277" s="34" t="s">
        <v>1557</v>
      </c>
      <c r="S1277" s="33">
        <v>0</v>
      </c>
      <c r="T1277" s="35">
        <v>0</v>
      </c>
    </row>
    <row r="1278" spans="1:20">
      <c r="A1278" s="31">
        <v>1276</v>
      </c>
      <c r="B1278" s="33" t="s">
        <v>1609</v>
      </c>
      <c r="C1278" s="32"/>
      <c r="D1278" s="33">
        <v>34</v>
      </c>
      <c r="E1278" s="33">
        <v>0</v>
      </c>
      <c r="F1278" s="33">
        <v>0.40000000596046448</v>
      </c>
      <c r="G1278" s="33">
        <v>0</v>
      </c>
      <c r="H1278" s="33">
        <v>0</v>
      </c>
      <c r="I1278" s="33">
        <v>0</v>
      </c>
      <c r="J1278" s="33">
        <v>0</v>
      </c>
      <c r="K1278" s="33">
        <v>0</v>
      </c>
      <c r="L1278" s="33">
        <v>1.9999999552965164E-2</v>
      </c>
      <c r="M1278" s="33">
        <v>0</v>
      </c>
      <c r="N1278" s="33">
        <v>0</v>
      </c>
      <c r="O1278" s="33">
        <v>14.199999809265137</v>
      </c>
      <c r="P1278" s="33">
        <v>0</v>
      </c>
      <c r="Q1278" s="33">
        <v>0</v>
      </c>
      <c r="R1278" s="34" t="s">
        <v>1557</v>
      </c>
      <c r="S1278" s="33">
        <v>0</v>
      </c>
      <c r="T1278" s="35">
        <v>0</v>
      </c>
    </row>
    <row r="1279" spans="1:20">
      <c r="A1279" s="31">
        <v>1277</v>
      </c>
      <c r="B1279" s="33" t="s">
        <v>1610</v>
      </c>
      <c r="C1279" s="32"/>
      <c r="D1279" s="33">
        <v>31</v>
      </c>
      <c r="E1279" s="33">
        <v>0</v>
      </c>
      <c r="F1279" s="33">
        <v>0</v>
      </c>
      <c r="G1279" s="33">
        <v>0</v>
      </c>
      <c r="H1279" s="33">
        <v>0</v>
      </c>
      <c r="I1279" s="33">
        <v>0</v>
      </c>
      <c r="J1279" s="33">
        <v>0</v>
      </c>
      <c r="K1279" s="33">
        <v>0</v>
      </c>
      <c r="L1279" s="33">
        <v>5.000000074505806E-2</v>
      </c>
      <c r="M1279" s="33">
        <v>1.2000000476837158</v>
      </c>
      <c r="N1279" s="33">
        <v>0</v>
      </c>
      <c r="O1279" s="33">
        <v>8.3000001907348633</v>
      </c>
      <c r="P1279" s="33">
        <v>4</v>
      </c>
      <c r="Q1279" s="33">
        <v>0.10000000149011612</v>
      </c>
      <c r="R1279" s="34" t="s">
        <v>1557</v>
      </c>
      <c r="S1279" s="33">
        <v>0</v>
      </c>
      <c r="T1279" s="35">
        <v>0</v>
      </c>
    </row>
    <row r="1280" spans="1:20">
      <c r="A1280" s="31">
        <v>1278</v>
      </c>
      <c r="B1280" s="33" t="s">
        <v>1611</v>
      </c>
      <c r="C1280" s="32"/>
      <c r="D1280" s="33">
        <v>36</v>
      </c>
      <c r="E1280" s="33">
        <v>0</v>
      </c>
      <c r="F1280" s="33">
        <v>0.5</v>
      </c>
      <c r="G1280" s="33">
        <v>0</v>
      </c>
      <c r="H1280" s="33">
        <v>0</v>
      </c>
      <c r="I1280" s="33">
        <v>0</v>
      </c>
      <c r="J1280" s="33">
        <v>0</v>
      </c>
      <c r="K1280" s="33">
        <v>0</v>
      </c>
      <c r="L1280" s="33">
        <v>1.9999999552965164E-2</v>
      </c>
      <c r="M1280" s="33">
        <v>0</v>
      </c>
      <c r="N1280" s="33">
        <v>0</v>
      </c>
      <c r="O1280" s="33">
        <v>24.899999618530273</v>
      </c>
      <c r="P1280" s="33">
        <v>0</v>
      </c>
      <c r="Q1280" s="33">
        <v>0</v>
      </c>
      <c r="R1280" s="34" t="s">
        <v>1557</v>
      </c>
      <c r="S1280" s="33">
        <v>0</v>
      </c>
      <c r="T1280" s="35">
        <v>0</v>
      </c>
    </row>
    <row r="1281" spans="1:20">
      <c r="A1281" s="31">
        <v>1279</v>
      </c>
      <c r="B1281" s="33" t="s">
        <v>1612</v>
      </c>
      <c r="C1281" s="32"/>
      <c r="D1281" s="33">
        <v>35</v>
      </c>
      <c r="E1281" s="33">
        <v>0</v>
      </c>
      <c r="F1281" s="33">
        <v>0.40000000596046448</v>
      </c>
      <c r="G1281" s="33">
        <v>0</v>
      </c>
      <c r="H1281" s="33">
        <v>0</v>
      </c>
      <c r="I1281" s="33">
        <v>0</v>
      </c>
      <c r="J1281" s="33">
        <v>0</v>
      </c>
      <c r="K1281" s="33">
        <v>0.23999999463558197</v>
      </c>
      <c r="L1281" s="33">
        <v>9.9999997764825821E-3</v>
      </c>
      <c r="M1281" s="33">
        <v>0</v>
      </c>
      <c r="N1281" s="33">
        <v>0</v>
      </c>
      <c r="O1281" s="33">
        <v>4.3000001907348633</v>
      </c>
      <c r="P1281" s="33">
        <v>4</v>
      </c>
      <c r="Q1281" s="33">
        <v>0</v>
      </c>
      <c r="R1281" s="34" t="s">
        <v>1557</v>
      </c>
      <c r="S1281" s="33">
        <v>0</v>
      </c>
      <c r="T1281" s="35">
        <v>0</v>
      </c>
    </row>
    <row r="1282" spans="1:20">
      <c r="A1282" s="31">
        <v>1280</v>
      </c>
      <c r="B1282" s="33" t="s">
        <v>1613</v>
      </c>
      <c r="C1282" s="32"/>
      <c r="D1282" s="33">
        <v>30</v>
      </c>
      <c r="E1282" s="33">
        <v>0</v>
      </c>
      <c r="F1282" s="33">
        <v>0.40000000596046448</v>
      </c>
      <c r="G1282" s="33">
        <v>0</v>
      </c>
      <c r="H1282" s="33">
        <v>0</v>
      </c>
      <c r="I1282" s="33">
        <v>0</v>
      </c>
      <c r="J1282" s="33">
        <v>0</v>
      </c>
      <c r="K1282" s="33">
        <v>0.23999999463558197</v>
      </c>
      <c r="L1282" s="33">
        <v>9.9999997764825821E-3</v>
      </c>
      <c r="M1282" s="33">
        <v>0</v>
      </c>
      <c r="N1282" s="33">
        <v>0</v>
      </c>
      <c r="O1282" s="33">
        <v>4.3000001907348633</v>
      </c>
      <c r="P1282" s="33">
        <v>4</v>
      </c>
      <c r="Q1282" s="33">
        <v>0</v>
      </c>
      <c r="R1282" s="34" t="s">
        <v>1557</v>
      </c>
      <c r="S1282" s="33">
        <v>0</v>
      </c>
      <c r="T1282" s="35">
        <v>0</v>
      </c>
    </row>
    <row r="1283" spans="1:20">
      <c r="A1283" s="31">
        <v>1281</v>
      </c>
      <c r="B1283" s="33" t="s">
        <v>1614</v>
      </c>
      <c r="C1283" s="32"/>
      <c r="D1283" s="33">
        <v>77</v>
      </c>
      <c r="E1283" s="33">
        <v>0</v>
      </c>
      <c r="F1283" s="33">
        <v>0.30000001192092896</v>
      </c>
      <c r="G1283" s="33">
        <v>0</v>
      </c>
      <c r="H1283" s="33">
        <v>0</v>
      </c>
      <c r="I1283" s="33">
        <v>0</v>
      </c>
      <c r="J1283" s="33">
        <v>0</v>
      </c>
      <c r="K1283" s="33">
        <v>0</v>
      </c>
      <c r="L1283" s="33">
        <v>9.9999997764825821E-3</v>
      </c>
      <c r="M1283" s="33">
        <v>0</v>
      </c>
      <c r="N1283" s="33">
        <v>0</v>
      </c>
      <c r="O1283" s="33">
        <v>1.7000000476837158</v>
      </c>
      <c r="P1283" s="33">
        <v>2</v>
      </c>
      <c r="Q1283" s="33">
        <v>0.60000002384185791</v>
      </c>
      <c r="R1283" s="34" t="s">
        <v>1557</v>
      </c>
      <c r="S1283" s="33">
        <v>0</v>
      </c>
      <c r="T1283" s="35">
        <v>0</v>
      </c>
    </row>
    <row r="1284" spans="1:20">
      <c r="A1284" s="31">
        <v>1282</v>
      </c>
      <c r="B1284" s="33" t="s">
        <v>1615</v>
      </c>
      <c r="C1284" s="32"/>
      <c r="D1284" s="33">
        <v>34</v>
      </c>
      <c r="E1284" s="33">
        <v>0</v>
      </c>
      <c r="F1284" s="33">
        <v>0.30000001192092896</v>
      </c>
      <c r="G1284" s="33">
        <v>0</v>
      </c>
      <c r="H1284" s="33">
        <v>0</v>
      </c>
      <c r="I1284" s="33">
        <v>0</v>
      </c>
      <c r="J1284" s="33">
        <v>0</v>
      </c>
      <c r="K1284" s="33">
        <v>0</v>
      </c>
      <c r="L1284" s="33">
        <v>9.9999997764825821E-3</v>
      </c>
      <c r="M1284" s="33">
        <v>0</v>
      </c>
      <c r="N1284" s="33">
        <v>0</v>
      </c>
      <c r="O1284" s="33">
        <v>25</v>
      </c>
      <c r="P1284" s="33">
        <v>0</v>
      </c>
      <c r="Q1284" s="33">
        <v>0</v>
      </c>
      <c r="R1284" s="34" t="s">
        <v>1557</v>
      </c>
      <c r="S1284" s="33">
        <v>0</v>
      </c>
      <c r="T1284" s="35">
        <v>0</v>
      </c>
    </row>
    <row r="1285" spans="1:20">
      <c r="A1285" s="31">
        <v>1283</v>
      </c>
      <c r="B1285" s="33" t="s">
        <v>1616</v>
      </c>
      <c r="C1285" s="32"/>
      <c r="D1285" s="33">
        <v>18</v>
      </c>
      <c r="E1285" s="33">
        <v>0</v>
      </c>
      <c r="F1285" s="33">
        <v>0</v>
      </c>
      <c r="G1285" s="33">
        <v>0</v>
      </c>
      <c r="H1285" s="33">
        <v>0</v>
      </c>
      <c r="I1285" s="33">
        <v>0</v>
      </c>
      <c r="J1285" s="33">
        <v>0</v>
      </c>
      <c r="K1285" s="33">
        <v>2.9999999329447746E-2</v>
      </c>
      <c r="L1285" s="33">
        <v>0.10999999940395355</v>
      </c>
      <c r="M1285" s="33">
        <v>0</v>
      </c>
      <c r="N1285" s="33">
        <v>0</v>
      </c>
      <c r="O1285" s="33">
        <v>0.89999997615814209</v>
      </c>
      <c r="P1285" s="33">
        <v>7</v>
      </c>
      <c r="Q1285" s="33">
        <v>0</v>
      </c>
      <c r="R1285" s="34" t="s">
        <v>1557</v>
      </c>
      <c r="S1285" s="33">
        <v>0</v>
      </c>
      <c r="T1285" s="35">
        <v>0</v>
      </c>
    </row>
    <row r="1286" spans="1:20">
      <c r="A1286" s="36">
        <v>1284</v>
      </c>
      <c r="B1286" s="37" t="s">
        <v>1617</v>
      </c>
      <c r="C1286" s="38"/>
      <c r="D1286" s="37">
        <v>18</v>
      </c>
      <c r="E1286" s="37">
        <v>0</v>
      </c>
      <c r="F1286" s="37">
        <v>0</v>
      </c>
      <c r="G1286" s="37">
        <v>0</v>
      </c>
      <c r="H1286" s="37">
        <v>0</v>
      </c>
      <c r="I1286" s="37">
        <v>0</v>
      </c>
      <c r="J1286" s="37">
        <v>0</v>
      </c>
      <c r="K1286" s="37">
        <v>2.9999999329447746E-2</v>
      </c>
      <c r="L1286" s="37">
        <v>0.10999999940395355</v>
      </c>
      <c r="M1286" s="37">
        <v>0</v>
      </c>
      <c r="N1286" s="37">
        <v>0</v>
      </c>
      <c r="O1286" s="37">
        <v>4.1999998092651367</v>
      </c>
      <c r="P1286" s="37">
        <v>0</v>
      </c>
      <c r="Q1286" s="37">
        <v>0</v>
      </c>
      <c r="R1286" s="39" t="s">
        <v>1557</v>
      </c>
      <c r="S1286" s="37">
        <v>0</v>
      </c>
      <c r="T1286" s="40">
        <v>0</v>
      </c>
    </row>
  </sheetData>
  <mergeCells count="1">
    <mergeCell ref="B1:T1"/>
  </mergeCells>
  <phoneticPr fontId="16" type="noConversion"/>
  <printOptions horizontalCentered="1"/>
  <pageMargins left="0.70866141732283472" right="7.874015748031496E-2" top="0.59055118110236227" bottom="0.70866141732283472" header="0.31496062992125984" footer="0.47244094488188981"/>
  <pageSetup paperSize="9" scale="79" orientation="portrait" horizontalDpi="180" verticalDpi="180" r:id="rId1"/>
  <headerFooter alignWithMargins="0">
    <oddFooter>第 &amp;P 页，共 &amp;N 页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E6FEB-B50D-438D-AFD2-BCE6A9FE0196}">
  <sheetPr codeName="Sheet10"/>
  <dimension ref="A1:U1285"/>
  <sheetViews>
    <sheetView zoomScale="130" zoomScaleNormal="130" workbookViewId="0">
      <pane ySplit="1" topLeftCell="A449" activePane="bottomLeft" state="frozen"/>
      <selection pane="bottomLeft" activeCell="K81" sqref="K81"/>
    </sheetView>
  </sheetViews>
  <sheetFormatPr defaultColWidth="8.125" defaultRowHeight="15.7"/>
  <cols>
    <col min="1" max="1" width="19" style="25" customWidth="1"/>
    <col min="2" max="2" width="10.5" style="25" customWidth="1"/>
    <col min="3" max="5" width="7.5" style="25" customWidth="1"/>
    <col min="6" max="7" width="7.5" style="55" customWidth="1"/>
    <col min="8" max="8" width="7.5" style="25" customWidth="1"/>
    <col min="9" max="9" width="7.5" style="55" customWidth="1"/>
    <col min="10" max="21" width="7.5" style="25" customWidth="1"/>
    <col min="22" max="16384" width="8.125" style="25"/>
  </cols>
  <sheetData>
    <row r="1" spans="1:21" s="30" customFormat="1" ht="32.299999999999997" customHeight="1">
      <c r="A1" s="42" t="s">
        <v>286</v>
      </c>
      <c r="B1" s="43" t="s">
        <v>287</v>
      </c>
      <c r="C1" s="44" t="s">
        <v>288</v>
      </c>
      <c r="D1" s="44" t="s">
        <v>289</v>
      </c>
      <c r="E1" s="44" t="s">
        <v>290</v>
      </c>
      <c r="F1" s="45" t="s">
        <v>10</v>
      </c>
      <c r="G1" s="45" t="s">
        <v>14</v>
      </c>
      <c r="H1" s="44" t="s">
        <v>291</v>
      </c>
      <c r="I1" s="45" t="s">
        <v>292</v>
      </c>
      <c r="J1" s="44" t="s">
        <v>293</v>
      </c>
      <c r="K1" s="44" t="s">
        <v>294</v>
      </c>
      <c r="L1" s="44" t="s">
        <v>295</v>
      </c>
      <c r="M1" s="44" t="s">
        <v>296</v>
      </c>
      <c r="N1" s="44" t="s">
        <v>297</v>
      </c>
      <c r="O1" s="44" t="s">
        <v>298</v>
      </c>
      <c r="P1" s="44" t="s">
        <v>299</v>
      </c>
      <c r="Q1" s="44" t="s">
        <v>300</v>
      </c>
      <c r="R1" s="44" t="s">
        <v>301</v>
      </c>
      <c r="S1" s="44" t="s">
        <v>302</v>
      </c>
      <c r="T1" s="44" t="s">
        <v>303</v>
      </c>
      <c r="U1" s="46" t="s">
        <v>304</v>
      </c>
    </row>
    <row r="2" spans="1:21">
      <c r="A2" s="47" t="s">
        <v>314</v>
      </c>
      <c r="B2" s="32"/>
      <c r="C2" s="33">
        <v>100</v>
      </c>
      <c r="D2" s="33">
        <v>349</v>
      </c>
      <c r="E2" s="33">
        <v>11.3</v>
      </c>
      <c r="F2" s="48">
        <v>13.6</v>
      </c>
      <c r="G2" s="48">
        <v>2.7</v>
      </c>
      <c r="H2" s="33">
        <v>3.5</v>
      </c>
      <c r="I2" s="48">
        <v>67.599999999999994</v>
      </c>
      <c r="J2" s="32"/>
      <c r="K2" s="33">
        <v>0.3</v>
      </c>
      <c r="L2" s="33">
        <v>0.09</v>
      </c>
      <c r="M2" s="33">
        <v>1.4</v>
      </c>
      <c r="N2" s="33">
        <v>1.79</v>
      </c>
      <c r="O2" s="33">
        <v>1.7</v>
      </c>
      <c r="P2" s="33">
        <v>30</v>
      </c>
      <c r="Q2" s="33">
        <v>5.7</v>
      </c>
      <c r="R2" s="33" t="s">
        <v>315</v>
      </c>
      <c r="S2" s="32"/>
      <c r="T2" s="33">
        <v>25</v>
      </c>
      <c r="U2" s="49"/>
    </row>
    <row r="3" spans="1:21">
      <c r="A3" s="50" t="s">
        <v>316</v>
      </c>
      <c r="B3" s="32"/>
      <c r="C3" s="33">
        <v>100</v>
      </c>
      <c r="D3" s="33">
        <v>307</v>
      </c>
      <c r="E3" s="33">
        <v>13.1</v>
      </c>
      <c r="F3" s="48">
        <v>10.199999999999999</v>
      </c>
      <c r="G3" s="48">
        <v>1.4</v>
      </c>
      <c r="H3" s="33">
        <v>9.9</v>
      </c>
      <c r="I3" s="48">
        <v>63.4</v>
      </c>
      <c r="J3" s="32"/>
      <c r="K3" s="33">
        <v>0.14000000000000001</v>
      </c>
      <c r="L3" s="33">
        <v>0.05</v>
      </c>
      <c r="M3" s="33">
        <v>5</v>
      </c>
      <c r="N3" s="33">
        <v>0.25</v>
      </c>
      <c r="O3" s="33">
        <v>1.6</v>
      </c>
      <c r="P3" s="33">
        <v>13</v>
      </c>
      <c r="Q3" s="33">
        <v>5.0999999999999996</v>
      </c>
      <c r="R3" s="33" t="s">
        <v>315</v>
      </c>
      <c r="S3" s="32"/>
      <c r="T3" s="33">
        <v>25</v>
      </c>
      <c r="U3" s="49"/>
    </row>
    <row r="4" spans="1:21">
      <c r="A4" s="50" t="s">
        <v>317</v>
      </c>
      <c r="B4" s="32"/>
      <c r="C4" s="33">
        <v>64</v>
      </c>
      <c r="D4" s="33">
        <v>359</v>
      </c>
      <c r="E4" s="33">
        <v>10.199999999999999</v>
      </c>
      <c r="F4" s="48">
        <v>9.9</v>
      </c>
      <c r="G4" s="48">
        <v>2.2000000000000002</v>
      </c>
      <c r="H4" s="33">
        <v>1.4</v>
      </c>
      <c r="I4" s="48">
        <v>74.8</v>
      </c>
      <c r="J4" s="32"/>
      <c r="K4" s="33">
        <v>0.14000000000000001</v>
      </c>
      <c r="L4" s="33">
        <v>0.05</v>
      </c>
      <c r="M4" s="33">
        <v>5</v>
      </c>
      <c r="N4" s="33">
        <v>0.25</v>
      </c>
      <c r="O4" s="33">
        <v>1.6</v>
      </c>
      <c r="P4" s="33">
        <v>13</v>
      </c>
      <c r="Q4" s="33">
        <v>5.0999999999999996</v>
      </c>
      <c r="R4" s="33" t="s">
        <v>315</v>
      </c>
      <c r="S4" s="32"/>
      <c r="T4" s="33">
        <v>25</v>
      </c>
      <c r="U4" s="49"/>
    </row>
    <row r="5" spans="1:21">
      <c r="A5" s="50" t="s">
        <v>318</v>
      </c>
      <c r="B5" s="32"/>
      <c r="C5" s="33">
        <v>100</v>
      </c>
      <c r="D5" s="33">
        <v>346</v>
      </c>
      <c r="E5" s="33">
        <v>13.3</v>
      </c>
      <c r="F5" s="48">
        <v>7.4</v>
      </c>
      <c r="G5" s="48">
        <v>0.8</v>
      </c>
      <c r="H5" s="33">
        <v>0.7</v>
      </c>
      <c r="I5" s="48">
        <v>77.2</v>
      </c>
      <c r="J5" s="33">
        <v>0</v>
      </c>
      <c r="K5" s="33">
        <v>0.11</v>
      </c>
      <c r="L5" s="33">
        <v>0.05</v>
      </c>
      <c r="M5" s="33">
        <v>1.9</v>
      </c>
      <c r="N5" s="33">
        <v>0.46</v>
      </c>
      <c r="O5" s="33">
        <v>3.8</v>
      </c>
      <c r="P5" s="33">
        <v>13</v>
      </c>
      <c r="Q5" s="33">
        <v>2.2999999999999998</v>
      </c>
      <c r="R5" s="33" t="s">
        <v>315</v>
      </c>
      <c r="S5" s="33">
        <v>0</v>
      </c>
      <c r="T5" s="33">
        <v>25</v>
      </c>
      <c r="U5" s="49"/>
    </row>
    <row r="6" spans="1:21">
      <c r="A6" s="50" t="s">
        <v>319</v>
      </c>
      <c r="B6" s="32"/>
      <c r="C6" s="33">
        <v>100</v>
      </c>
      <c r="D6" s="33">
        <v>334</v>
      </c>
      <c r="E6" s="33">
        <v>16.2</v>
      </c>
      <c r="F6" s="48">
        <v>7.3</v>
      </c>
      <c r="G6" s="48">
        <v>0.4</v>
      </c>
      <c r="H6" s="33">
        <v>0.4</v>
      </c>
      <c r="I6" s="48">
        <v>75.3</v>
      </c>
      <c r="J6" s="32"/>
      <c r="K6" s="33">
        <v>0.08</v>
      </c>
      <c r="L6" s="33">
        <v>0.04</v>
      </c>
      <c r="M6" s="33">
        <v>1.1000000000000001</v>
      </c>
      <c r="N6" s="33">
        <v>0.76</v>
      </c>
      <c r="O6" s="33">
        <v>6.2</v>
      </c>
      <c r="P6" s="33">
        <v>24</v>
      </c>
      <c r="Q6" s="33">
        <v>0.9</v>
      </c>
      <c r="R6" s="33" t="s">
        <v>315</v>
      </c>
      <c r="S6" s="32"/>
      <c r="T6" s="33">
        <v>25</v>
      </c>
      <c r="U6" s="49"/>
    </row>
    <row r="7" spans="1:21">
      <c r="A7" s="50" t="s">
        <v>320</v>
      </c>
      <c r="B7" s="32"/>
      <c r="C7" s="33">
        <v>100</v>
      </c>
      <c r="D7" s="33">
        <v>343</v>
      </c>
      <c r="E7" s="33">
        <v>13.7</v>
      </c>
      <c r="F7" s="48">
        <v>7.7</v>
      </c>
      <c r="G7" s="48">
        <v>0.6</v>
      </c>
      <c r="H7" s="33">
        <v>0.6</v>
      </c>
      <c r="I7" s="48">
        <v>76.8</v>
      </c>
      <c r="J7" s="32"/>
      <c r="K7" s="33">
        <v>0.16</v>
      </c>
      <c r="L7" s="33">
        <v>0.08</v>
      </c>
      <c r="M7" s="33">
        <v>1.3</v>
      </c>
      <c r="N7" s="33">
        <v>1.01</v>
      </c>
      <c r="O7" s="33">
        <v>2.4</v>
      </c>
      <c r="P7" s="33">
        <v>11</v>
      </c>
      <c r="Q7" s="33">
        <v>1.1000000000000001</v>
      </c>
      <c r="R7" s="33" t="s">
        <v>315</v>
      </c>
      <c r="S7" s="32"/>
      <c r="T7" s="33">
        <v>25</v>
      </c>
      <c r="U7" s="49"/>
    </row>
    <row r="8" spans="1:21">
      <c r="A8" s="50" t="s">
        <v>321</v>
      </c>
      <c r="B8" s="33" t="s">
        <v>1618</v>
      </c>
      <c r="C8" s="33">
        <v>100</v>
      </c>
      <c r="D8" s="33">
        <v>348</v>
      </c>
      <c r="E8" s="33">
        <v>13.2</v>
      </c>
      <c r="F8" s="48">
        <v>8</v>
      </c>
      <c r="G8" s="48">
        <v>0.6</v>
      </c>
      <c r="H8" s="32"/>
      <c r="I8" s="48">
        <v>77.7</v>
      </c>
      <c r="J8" s="32"/>
      <c r="K8" s="33">
        <v>0.22</v>
      </c>
      <c r="L8" s="33">
        <v>0.05</v>
      </c>
      <c r="M8" s="33">
        <v>2.6</v>
      </c>
      <c r="N8" s="33">
        <v>0.53</v>
      </c>
      <c r="O8" s="33">
        <v>0.9</v>
      </c>
      <c r="P8" s="33">
        <v>3</v>
      </c>
      <c r="Q8" s="33">
        <v>0.4</v>
      </c>
      <c r="R8" s="33" t="s">
        <v>315</v>
      </c>
      <c r="S8" s="32"/>
      <c r="T8" s="33">
        <v>25</v>
      </c>
      <c r="U8" s="49"/>
    </row>
    <row r="9" spans="1:21">
      <c r="A9" s="50" t="s">
        <v>322</v>
      </c>
      <c r="B9" s="33" t="s">
        <v>1618</v>
      </c>
      <c r="C9" s="33">
        <v>100</v>
      </c>
      <c r="D9" s="33">
        <v>345</v>
      </c>
      <c r="E9" s="33">
        <v>13.9</v>
      </c>
      <c r="F9" s="48">
        <v>7.2</v>
      </c>
      <c r="G9" s="48">
        <v>0.8</v>
      </c>
      <c r="H9" s="33">
        <v>0.4</v>
      </c>
      <c r="I9" s="48">
        <v>77.2</v>
      </c>
      <c r="J9" s="32"/>
      <c r="K9" s="33">
        <v>0.33</v>
      </c>
      <c r="L9" s="33">
        <v>0.03</v>
      </c>
      <c r="M9" s="33">
        <v>3.6</v>
      </c>
      <c r="N9" s="33">
        <v>0.38</v>
      </c>
      <c r="O9" s="33">
        <v>1.3</v>
      </c>
      <c r="P9" s="33">
        <v>5</v>
      </c>
      <c r="Q9" s="33">
        <v>0.7</v>
      </c>
      <c r="R9" s="33" t="s">
        <v>315</v>
      </c>
      <c r="S9" s="32"/>
      <c r="T9" s="33">
        <v>25</v>
      </c>
      <c r="U9" s="49"/>
    </row>
    <row r="10" spans="1:21">
      <c r="A10" s="50" t="s">
        <v>323</v>
      </c>
      <c r="B10" s="33" t="s">
        <v>1618</v>
      </c>
      <c r="C10" s="33">
        <v>100</v>
      </c>
      <c r="D10" s="33">
        <v>346</v>
      </c>
      <c r="E10" s="33">
        <v>13.1</v>
      </c>
      <c r="F10" s="48">
        <v>7.5</v>
      </c>
      <c r="G10" s="48">
        <v>0.7</v>
      </c>
      <c r="H10" s="33">
        <v>0.7</v>
      </c>
      <c r="I10" s="48">
        <v>77.400000000000006</v>
      </c>
      <c r="J10" s="32"/>
      <c r="K10" s="33">
        <v>0.14000000000000001</v>
      </c>
      <c r="L10" s="33">
        <v>0.05</v>
      </c>
      <c r="M10" s="33">
        <v>5.2</v>
      </c>
      <c r="N10" s="33">
        <v>0.39</v>
      </c>
      <c r="O10" s="33">
        <v>1.6</v>
      </c>
      <c r="P10" s="33">
        <v>4</v>
      </c>
      <c r="Q10" s="33">
        <v>0.7</v>
      </c>
      <c r="R10" s="33" t="s">
        <v>315</v>
      </c>
      <c r="S10" s="32"/>
      <c r="T10" s="33">
        <v>25</v>
      </c>
      <c r="U10" s="49"/>
    </row>
    <row r="11" spans="1:21">
      <c r="A11" s="50" t="s">
        <v>324</v>
      </c>
      <c r="B11" s="32"/>
      <c r="C11" s="33">
        <v>100</v>
      </c>
      <c r="D11" s="33">
        <v>346</v>
      </c>
      <c r="E11" s="33">
        <v>12.9</v>
      </c>
      <c r="F11" s="48">
        <v>9.1</v>
      </c>
      <c r="G11" s="48">
        <v>0.6</v>
      </c>
      <c r="H11" s="33">
        <v>0.7</v>
      </c>
      <c r="I11" s="48">
        <v>76</v>
      </c>
      <c r="J11" s="32"/>
      <c r="K11" s="33">
        <v>0.13</v>
      </c>
      <c r="L11" s="33">
        <v>0.03</v>
      </c>
      <c r="M11" s="33">
        <v>1.6</v>
      </c>
      <c r="N11" s="32"/>
      <c r="O11" s="33">
        <v>1.3</v>
      </c>
      <c r="P11" s="33">
        <v>6</v>
      </c>
      <c r="Q11" s="33">
        <v>0.9</v>
      </c>
      <c r="R11" s="33" t="s">
        <v>315</v>
      </c>
      <c r="S11" s="32"/>
      <c r="T11" s="33">
        <v>25</v>
      </c>
      <c r="U11" s="49"/>
    </row>
    <row r="12" spans="1:21">
      <c r="A12" s="50" t="s">
        <v>325</v>
      </c>
      <c r="B12" s="32"/>
      <c r="C12" s="33">
        <v>100</v>
      </c>
      <c r="D12" s="33">
        <v>351</v>
      </c>
      <c r="E12" s="33">
        <v>12.3</v>
      </c>
      <c r="F12" s="48">
        <v>8.8000000000000007</v>
      </c>
      <c r="G12" s="48">
        <v>1</v>
      </c>
      <c r="H12" s="33">
        <v>0.4</v>
      </c>
      <c r="I12" s="48">
        <v>76.8</v>
      </c>
      <c r="J12" s="32"/>
      <c r="K12" s="33">
        <v>0.16</v>
      </c>
      <c r="L12" s="33">
        <v>0.05</v>
      </c>
      <c r="M12" s="33">
        <v>2</v>
      </c>
      <c r="N12" s="33">
        <v>0</v>
      </c>
      <c r="O12" s="33">
        <v>1.9</v>
      </c>
      <c r="P12" s="33">
        <v>10</v>
      </c>
      <c r="Q12" s="33">
        <v>1.2</v>
      </c>
      <c r="R12" s="33" t="s">
        <v>315</v>
      </c>
      <c r="S12" s="32"/>
      <c r="T12" s="33">
        <v>25</v>
      </c>
      <c r="U12" s="49"/>
    </row>
    <row r="13" spans="1:21">
      <c r="A13" s="50" t="s">
        <v>326</v>
      </c>
      <c r="B13" s="33" t="s">
        <v>1619</v>
      </c>
      <c r="C13" s="33">
        <v>100</v>
      </c>
      <c r="D13" s="33">
        <v>345</v>
      </c>
      <c r="E13" s="33">
        <v>13.7</v>
      </c>
      <c r="F13" s="48">
        <v>9.5</v>
      </c>
      <c r="G13" s="48">
        <v>1</v>
      </c>
      <c r="H13" s="33">
        <v>0.5</v>
      </c>
      <c r="I13" s="48">
        <v>74.599999999999994</v>
      </c>
      <c r="J13" s="32"/>
      <c r="K13" s="33">
        <v>0.2</v>
      </c>
      <c r="L13" s="33">
        <v>0.09</v>
      </c>
      <c r="M13" s="33">
        <v>3</v>
      </c>
      <c r="N13" s="32"/>
      <c r="O13" s="33">
        <v>0.8</v>
      </c>
      <c r="P13" s="33">
        <v>6</v>
      </c>
      <c r="Q13" s="33">
        <v>1</v>
      </c>
      <c r="R13" s="33" t="s">
        <v>315</v>
      </c>
      <c r="S13" s="32"/>
      <c r="T13" s="33">
        <v>25</v>
      </c>
      <c r="U13" s="49"/>
    </row>
    <row r="14" spans="1:21">
      <c r="A14" s="50" t="s">
        <v>327</v>
      </c>
      <c r="B14" s="33" t="s">
        <v>1619</v>
      </c>
      <c r="C14" s="33">
        <v>100</v>
      </c>
      <c r="D14" s="33">
        <v>342</v>
      </c>
      <c r="E14" s="33">
        <v>14</v>
      </c>
      <c r="F14" s="48">
        <v>8.1</v>
      </c>
      <c r="G14" s="48">
        <v>0.3</v>
      </c>
      <c r="H14" s="33">
        <v>0.2</v>
      </c>
      <c r="I14" s="48">
        <v>76.7</v>
      </c>
      <c r="J14" s="32"/>
      <c r="K14" s="33">
        <v>0.09</v>
      </c>
      <c r="L14" s="33">
        <v>0.1</v>
      </c>
      <c r="M14" s="33">
        <v>1.5</v>
      </c>
      <c r="N14" s="32"/>
      <c r="O14" s="33">
        <v>0.8</v>
      </c>
      <c r="P14" s="33">
        <v>6</v>
      </c>
      <c r="Q14" s="33">
        <v>0.7</v>
      </c>
      <c r="R14" s="33" t="s">
        <v>315</v>
      </c>
      <c r="S14" s="32"/>
      <c r="T14" s="33">
        <v>25</v>
      </c>
      <c r="U14" s="49"/>
    </row>
    <row r="15" spans="1:21">
      <c r="A15" s="50" t="s">
        <v>328</v>
      </c>
      <c r="B15" s="32"/>
      <c r="C15" s="33">
        <v>100</v>
      </c>
      <c r="D15" s="33">
        <v>345</v>
      </c>
      <c r="E15" s="33">
        <v>13.5</v>
      </c>
      <c r="F15" s="48">
        <v>7.9</v>
      </c>
      <c r="G15" s="48">
        <v>0.7</v>
      </c>
      <c r="H15" s="33">
        <v>0.5</v>
      </c>
      <c r="I15" s="48">
        <v>76.8</v>
      </c>
      <c r="J15" s="32"/>
      <c r="K15" s="33">
        <v>0.17</v>
      </c>
      <c r="L15" s="33">
        <v>0.05</v>
      </c>
      <c r="M15" s="33">
        <v>1.7</v>
      </c>
      <c r="N15" s="33">
        <v>0.22</v>
      </c>
      <c r="O15" s="33">
        <v>1.5</v>
      </c>
      <c r="P15" s="33">
        <v>9</v>
      </c>
      <c r="Q15" s="33">
        <v>1.2</v>
      </c>
      <c r="R15" s="33" t="s">
        <v>315</v>
      </c>
      <c r="S15" s="32"/>
      <c r="T15" s="33">
        <v>25</v>
      </c>
      <c r="U15" s="49"/>
    </row>
    <row r="16" spans="1:21">
      <c r="A16" s="50" t="s">
        <v>329</v>
      </c>
      <c r="B16" s="33" t="s">
        <v>1619</v>
      </c>
      <c r="C16" s="33">
        <v>100</v>
      </c>
      <c r="D16" s="33">
        <v>343</v>
      </c>
      <c r="E16" s="33">
        <v>14.2</v>
      </c>
      <c r="F16" s="48">
        <v>8.6</v>
      </c>
      <c r="G16" s="48">
        <v>0.8</v>
      </c>
      <c r="H16" s="33">
        <v>0.4</v>
      </c>
      <c r="I16" s="48">
        <v>75.3</v>
      </c>
      <c r="J16" s="32"/>
      <c r="K16" s="33">
        <v>0.18</v>
      </c>
      <c r="L16" s="33">
        <v>0.06</v>
      </c>
      <c r="M16" s="33">
        <v>2.6</v>
      </c>
      <c r="N16" s="32"/>
      <c r="O16" s="33">
        <v>0.9</v>
      </c>
      <c r="P16" s="33">
        <v>6</v>
      </c>
      <c r="Q16" s="33">
        <v>2.8</v>
      </c>
      <c r="R16" s="33" t="s">
        <v>315</v>
      </c>
      <c r="S16" s="32"/>
      <c r="T16" s="33">
        <v>25</v>
      </c>
      <c r="U16" s="49"/>
    </row>
    <row r="17" spans="1:21">
      <c r="A17" s="50" t="s">
        <v>330</v>
      </c>
      <c r="B17" s="32"/>
      <c r="C17" s="33">
        <v>100</v>
      </c>
      <c r="D17" s="33">
        <v>347</v>
      </c>
      <c r="E17" s="33">
        <v>12.6</v>
      </c>
      <c r="F17" s="48">
        <v>7.9</v>
      </c>
      <c r="G17" s="48">
        <v>0.6</v>
      </c>
      <c r="H17" s="33">
        <v>0.8</v>
      </c>
      <c r="I17" s="48">
        <v>77.5</v>
      </c>
      <c r="J17" s="32"/>
      <c r="K17" s="33">
        <v>0.09</v>
      </c>
      <c r="L17" s="33">
        <v>0.04</v>
      </c>
      <c r="M17" s="33">
        <v>1.4</v>
      </c>
      <c r="N17" s="33">
        <v>0.54</v>
      </c>
      <c r="O17" s="33">
        <v>1.7</v>
      </c>
      <c r="P17" s="33">
        <v>12</v>
      </c>
      <c r="Q17" s="33">
        <v>1.6</v>
      </c>
      <c r="R17" s="33" t="s">
        <v>315</v>
      </c>
      <c r="S17" s="32"/>
      <c r="T17" s="33">
        <v>25</v>
      </c>
      <c r="U17" s="49"/>
    </row>
    <row r="18" spans="1:21">
      <c r="A18" s="50" t="s">
        <v>331</v>
      </c>
      <c r="B18" s="33" t="s">
        <v>1620</v>
      </c>
      <c r="C18" s="33">
        <v>100</v>
      </c>
      <c r="D18" s="33">
        <v>349</v>
      </c>
      <c r="E18" s="33">
        <v>12.8</v>
      </c>
      <c r="F18" s="48">
        <v>8.3000000000000007</v>
      </c>
      <c r="G18" s="48">
        <v>1</v>
      </c>
      <c r="H18" s="33">
        <v>0.5</v>
      </c>
      <c r="I18" s="48">
        <v>76.8</v>
      </c>
      <c r="J18" s="33">
        <v>0</v>
      </c>
      <c r="K18" s="33">
        <v>0.13</v>
      </c>
      <c r="L18" s="33">
        <v>0.02</v>
      </c>
      <c r="M18" s="33">
        <v>2.6</v>
      </c>
      <c r="N18" s="32"/>
      <c r="O18" s="33">
        <v>1.2</v>
      </c>
      <c r="P18" s="33">
        <v>8</v>
      </c>
      <c r="Q18" s="33">
        <v>0.5</v>
      </c>
      <c r="R18" s="33" t="s">
        <v>315</v>
      </c>
      <c r="S18" s="32"/>
      <c r="T18" s="33">
        <v>25</v>
      </c>
      <c r="U18" s="49"/>
    </row>
    <row r="19" spans="1:21">
      <c r="A19" s="50" t="s">
        <v>332</v>
      </c>
      <c r="B19" s="32"/>
      <c r="C19" s="33">
        <v>100</v>
      </c>
      <c r="D19" s="33">
        <v>346</v>
      </c>
      <c r="E19" s="33">
        <v>13</v>
      </c>
      <c r="F19" s="48">
        <v>7.7</v>
      </c>
      <c r="G19" s="48">
        <v>0.7</v>
      </c>
      <c r="H19" s="33">
        <v>0.6</v>
      </c>
      <c r="I19" s="48">
        <v>77.3</v>
      </c>
      <c r="J19" s="33">
        <v>0</v>
      </c>
      <c r="K19" s="33">
        <v>0.15</v>
      </c>
      <c r="L19" s="33">
        <v>0.06</v>
      </c>
      <c r="M19" s="33">
        <v>2.1</v>
      </c>
      <c r="N19" s="33">
        <v>0.43</v>
      </c>
      <c r="O19" s="33">
        <v>2.7</v>
      </c>
      <c r="P19" s="33">
        <v>7</v>
      </c>
      <c r="Q19" s="33">
        <v>1.3</v>
      </c>
      <c r="R19" s="33" t="s">
        <v>315</v>
      </c>
      <c r="S19" s="32"/>
      <c r="T19" s="33">
        <v>25</v>
      </c>
      <c r="U19" s="49"/>
    </row>
    <row r="20" spans="1:21">
      <c r="A20" s="50" t="s">
        <v>333</v>
      </c>
      <c r="B20" s="33" t="s">
        <v>1621</v>
      </c>
      <c r="C20" s="33">
        <v>64</v>
      </c>
      <c r="D20" s="33">
        <v>344</v>
      </c>
      <c r="E20" s="33">
        <v>13.4</v>
      </c>
      <c r="F20" s="48">
        <v>7</v>
      </c>
      <c r="G20" s="48">
        <v>2</v>
      </c>
      <c r="H20" s="33">
        <v>2</v>
      </c>
      <c r="I20" s="48">
        <v>74.400000000000006</v>
      </c>
      <c r="J20" s="32"/>
      <c r="K20" s="33">
        <v>0.15</v>
      </c>
      <c r="L20" s="33">
        <v>0.03</v>
      </c>
      <c r="M20" s="33">
        <v>5.0999999999999996</v>
      </c>
      <c r="N20" s="33">
        <v>0.19</v>
      </c>
      <c r="O20" s="33">
        <v>22</v>
      </c>
      <c r="P20" s="32"/>
      <c r="Q20" s="33">
        <v>5.5</v>
      </c>
      <c r="R20" s="33" t="s">
        <v>315</v>
      </c>
      <c r="S20" s="32"/>
      <c r="T20" s="33">
        <v>25</v>
      </c>
      <c r="U20" s="49"/>
    </row>
    <row r="21" spans="1:21">
      <c r="A21" s="50" t="s">
        <v>334</v>
      </c>
      <c r="B21" s="33" t="s">
        <v>1622</v>
      </c>
      <c r="C21" s="33">
        <v>100</v>
      </c>
      <c r="D21" s="33">
        <v>346</v>
      </c>
      <c r="E21" s="33">
        <v>12.9</v>
      </c>
      <c r="F21" s="48">
        <v>12.7</v>
      </c>
      <c r="G21" s="48">
        <v>0.9</v>
      </c>
      <c r="H21" s="33">
        <v>0.6</v>
      </c>
      <c r="I21" s="48">
        <v>71.8</v>
      </c>
      <c r="J21" s="32"/>
      <c r="K21" s="32"/>
      <c r="L21" s="33">
        <v>0.08</v>
      </c>
      <c r="M21" s="33">
        <v>2.6</v>
      </c>
      <c r="N21" s="33">
        <v>0.7</v>
      </c>
      <c r="O21" s="33">
        <v>21.5</v>
      </c>
      <c r="P21" s="33">
        <v>8</v>
      </c>
      <c r="Q21" s="33">
        <v>5.0999999999999996</v>
      </c>
      <c r="R21" s="33" t="s">
        <v>315</v>
      </c>
      <c r="S21" s="32"/>
      <c r="T21" s="33">
        <v>25</v>
      </c>
      <c r="U21" s="49"/>
    </row>
    <row r="22" spans="1:21">
      <c r="A22" s="50" t="s">
        <v>335</v>
      </c>
      <c r="B22" s="32"/>
      <c r="C22" s="33">
        <v>100</v>
      </c>
      <c r="D22" s="33">
        <v>472</v>
      </c>
      <c r="E22" s="33">
        <v>3.6</v>
      </c>
      <c r="F22" s="48">
        <v>9.5</v>
      </c>
      <c r="G22" s="48">
        <v>21.1</v>
      </c>
      <c r="H22" s="33">
        <v>0.7</v>
      </c>
      <c r="I22" s="48">
        <v>60.9</v>
      </c>
      <c r="J22" s="32"/>
      <c r="K22" s="33">
        <v>0.12</v>
      </c>
      <c r="L22" s="33">
        <v>0.06</v>
      </c>
      <c r="M22" s="33">
        <v>0.9</v>
      </c>
      <c r="N22" s="33">
        <v>2.2799999999999998</v>
      </c>
      <c r="O22" s="33">
        <v>1144</v>
      </c>
      <c r="P22" s="33">
        <v>25</v>
      </c>
      <c r="Q22" s="33">
        <v>4.0999999999999996</v>
      </c>
      <c r="R22" s="33" t="s">
        <v>315</v>
      </c>
      <c r="S22" s="32"/>
      <c r="T22" s="33">
        <v>25</v>
      </c>
      <c r="U22" s="49"/>
    </row>
    <row r="23" spans="1:21">
      <c r="A23" s="50" t="s">
        <v>336</v>
      </c>
      <c r="B23" s="33" t="s">
        <v>1623</v>
      </c>
      <c r="C23" s="33">
        <v>100</v>
      </c>
      <c r="D23" s="33">
        <v>220</v>
      </c>
      <c r="E23" s="33">
        <v>14.5</v>
      </c>
      <c r="F23" s="48">
        <v>15.8</v>
      </c>
      <c r="G23" s="48">
        <v>4</v>
      </c>
      <c r="H23" s="33">
        <v>31.3</v>
      </c>
      <c r="I23" s="48">
        <v>30.1</v>
      </c>
      <c r="J23" s="33">
        <v>20</v>
      </c>
      <c r="K23" s="33">
        <v>0.3</v>
      </c>
      <c r="L23" s="33">
        <v>0.3</v>
      </c>
      <c r="M23" s="33">
        <v>12.5</v>
      </c>
      <c r="N23" s="33">
        <v>4.47</v>
      </c>
      <c r="O23" s="33">
        <v>12.2</v>
      </c>
      <c r="P23" s="33">
        <v>206</v>
      </c>
      <c r="Q23" s="33">
        <v>9.9</v>
      </c>
      <c r="R23" s="33" t="s">
        <v>315</v>
      </c>
      <c r="S23" s="32"/>
      <c r="T23" s="33">
        <v>25</v>
      </c>
      <c r="U23" s="49"/>
    </row>
    <row r="24" spans="1:21">
      <c r="A24" s="50" t="s">
        <v>337</v>
      </c>
      <c r="B24" s="32"/>
      <c r="C24" s="33">
        <v>100</v>
      </c>
      <c r="D24" s="33">
        <v>351</v>
      </c>
      <c r="E24" s="33">
        <v>10.3</v>
      </c>
      <c r="F24" s="48">
        <v>10.4</v>
      </c>
      <c r="G24" s="48">
        <v>3.1</v>
      </c>
      <c r="H24" s="33">
        <v>4.3</v>
      </c>
      <c r="I24" s="48">
        <v>70.400000000000006</v>
      </c>
      <c r="J24" s="32"/>
      <c r="K24" s="33">
        <v>0.28999999999999998</v>
      </c>
      <c r="L24" s="33">
        <v>0.1</v>
      </c>
      <c r="M24" s="33">
        <v>1.6</v>
      </c>
      <c r="N24" s="33">
        <v>1.88</v>
      </c>
      <c r="O24" s="33">
        <v>6.3</v>
      </c>
      <c r="P24" s="33">
        <v>22</v>
      </c>
      <c r="Q24" s="33">
        <v>6.3</v>
      </c>
      <c r="R24" s="33" t="s">
        <v>315</v>
      </c>
      <c r="S24" s="32"/>
      <c r="T24" s="33">
        <v>25</v>
      </c>
      <c r="U24" s="49"/>
    </row>
    <row r="25" spans="1:21">
      <c r="A25" s="50" t="s">
        <v>338</v>
      </c>
      <c r="B25" s="32"/>
      <c r="C25" s="33">
        <v>100</v>
      </c>
      <c r="D25" s="33">
        <v>347</v>
      </c>
      <c r="E25" s="33">
        <v>11.9</v>
      </c>
      <c r="F25" s="48">
        <v>11.2</v>
      </c>
      <c r="G25" s="48">
        <v>0.5</v>
      </c>
      <c r="H25" s="33">
        <v>0.2</v>
      </c>
      <c r="I25" s="48">
        <v>74.5</v>
      </c>
      <c r="J25" s="32"/>
      <c r="K25" s="33">
        <v>0.18</v>
      </c>
      <c r="L25" s="33">
        <v>0.03</v>
      </c>
      <c r="M25" s="33">
        <v>2.5</v>
      </c>
      <c r="N25" s="32"/>
      <c r="O25" s="33">
        <v>292.8</v>
      </c>
      <c r="P25" s="33">
        <v>26</v>
      </c>
      <c r="Q25" s="33">
        <v>2.2999999999999998</v>
      </c>
      <c r="R25" s="33" t="s">
        <v>315</v>
      </c>
      <c r="S25" s="32"/>
      <c r="T25" s="33">
        <v>25</v>
      </c>
      <c r="U25" s="49"/>
    </row>
    <row r="26" spans="1:21">
      <c r="A26" s="50" t="s">
        <v>339</v>
      </c>
      <c r="B26" s="32"/>
      <c r="C26" s="33">
        <v>100</v>
      </c>
      <c r="D26" s="33">
        <v>344</v>
      </c>
      <c r="E26" s="33">
        <v>12.4</v>
      </c>
      <c r="F26" s="48">
        <v>10.1</v>
      </c>
      <c r="G26" s="48">
        <v>0.7</v>
      </c>
      <c r="H26" s="33">
        <v>1.6</v>
      </c>
      <c r="I26" s="48">
        <v>74.400000000000006</v>
      </c>
      <c r="J26" s="32"/>
      <c r="K26" s="33">
        <v>0.19</v>
      </c>
      <c r="L26" s="33">
        <v>0.04</v>
      </c>
      <c r="M26" s="33">
        <v>2.5</v>
      </c>
      <c r="N26" s="33">
        <v>1.1100000000000001</v>
      </c>
      <c r="O26" s="33">
        <v>15</v>
      </c>
      <c r="P26" s="33">
        <v>14</v>
      </c>
      <c r="Q26" s="33">
        <v>3.5</v>
      </c>
      <c r="R26" s="33" t="s">
        <v>315</v>
      </c>
      <c r="S26" s="32"/>
      <c r="T26" s="33">
        <v>25</v>
      </c>
      <c r="U26" s="49"/>
    </row>
    <row r="27" spans="1:21">
      <c r="A27" s="50" t="s">
        <v>340</v>
      </c>
      <c r="B27" s="32"/>
      <c r="C27" s="33">
        <v>100</v>
      </c>
      <c r="D27" s="33">
        <v>347</v>
      </c>
      <c r="E27" s="33">
        <v>12.7</v>
      </c>
      <c r="F27" s="48">
        <v>9.6</v>
      </c>
      <c r="G27" s="48">
        <v>0.6</v>
      </c>
      <c r="H27" s="33">
        <v>0.3</v>
      </c>
      <c r="I27" s="48">
        <v>75.7</v>
      </c>
      <c r="J27" s="32"/>
      <c r="K27" s="33">
        <v>0.2</v>
      </c>
      <c r="L27" s="33">
        <v>0.04</v>
      </c>
      <c r="M27" s="33">
        <v>2.4</v>
      </c>
      <c r="N27" s="33">
        <v>0.88</v>
      </c>
      <c r="O27" s="33">
        <v>110.6</v>
      </c>
      <c r="P27" s="33">
        <v>21</v>
      </c>
      <c r="Q27" s="33">
        <v>3.2</v>
      </c>
      <c r="R27" s="33" t="s">
        <v>315</v>
      </c>
      <c r="S27" s="32"/>
      <c r="T27" s="33">
        <v>25</v>
      </c>
      <c r="U27" s="49"/>
    </row>
    <row r="28" spans="1:21">
      <c r="A28" s="50" t="s">
        <v>341</v>
      </c>
      <c r="B28" s="33" t="s">
        <v>1624</v>
      </c>
      <c r="C28" s="33">
        <v>100</v>
      </c>
      <c r="D28" s="33">
        <v>383</v>
      </c>
      <c r="E28" s="32"/>
      <c r="F28" s="48">
        <v>10.9</v>
      </c>
      <c r="G28" s="51"/>
      <c r="H28" s="33">
        <v>3.1</v>
      </c>
      <c r="I28" s="48">
        <v>84.8</v>
      </c>
      <c r="J28" s="33">
        <v>0</v>
      </c>
      <c r="K28" s="33">
        <v>0.42</v>
      </c>
      <c r="L28" s="33">
        <v>0.17</v>
      </c>
      <c r="M28" s="33">
        <v>0.6</v>
      </c>
      <c r="N28" s="33">
        <v>3.3</v>
      </c>
      <c r="O28" s="32"/>
      <c r="P28" s="32"/>
      <c r="Q28" s="32"/>
      <c r="R28" s="33" t="s">
        <v>315</v>
      </c>
      <c r="S28" s="32"/>
      <c r="T28" s="33">
        <v>25</v>
      </c>
      <c r="U28" s="49"/>
    </row>
    <row r="29" spans="1:21">
      <c r="A29" s="50" t="s">
        <v>342</v>
      </c>
      <c r="B29" s="33" t="s">
        <v>1618</v>
      </c>
      <c r="C29" s="33">
        <v>100</v>
      </c>
      <c r="D29" s="33">
        <v>333</v>
      </c>
      <c r="E29" s="33">
        <v>14.3</v>
      </c>
      <c r="F29" s="48">
        <v>9.4</v>
      </c>
      <c r="G29" s="48">
        <v>2.5</v>
      </c>
      <c r="H29" s="33">
        <v>3.9</v>
      </c>
      <c r="I29" s="48">
        <v>68.3</v>
      </c>
      <c r="J29" s="32"/>
      <c r="K29" s="33">
        <v>0.33</v>
      </c>
      <c r="L29" s="33">
        <v>0.13</v>
      </c>
      <c r="M29" s="33">
        <v>7.9</v>
      </c>
      <c r="N29" s="33">
        <v>0.22</v>
      </c>
      <c r="O29" s="33">
        <v>7.1</v>
      </c>
      <c r="P29" s="33">
        <v>12</v>
      </c>
      <c r="Q29" s="33">
        <v>1.6</v>
      </c>
      <c r="R29" s="33" t="s">
        <v>315</v>
      </c>
      <c r="S29" s="32"/>
      <c r="T29" s="33">
        <v>25</v>
      </c>
      <c r="U29" s="49"/>
    </row>
    <row r="30" spans="1:21">
      <c r="A30" s="50" t="s">
        <v>343</v>
      </c>
      <c r="B30" s="33" t="s">
        <v>1625</v>
      </c>
      <c r="C30" s="33">
        <v>100</v>
      </c>
      <c r="D30" s="33">
        <v>217</v>
      </c>
      <c r="E30" s="33">
        <v>45.7</v>
      </c>
      <c r="F30" s="48">
        <v>6.4</v>
      </c>
      <c r="G30" s="48">
        <v>1</v>
      </c>
      <c r="H30" s="32"/>
      <c r="I30" s="48">
        <v>45.6</v>
      </c>
      <c r="J30" s="32"/>
      <c r="K30" s="33">
        <v>0.02</v>
      </c>
      <c r="L30" s="33">
        <v>0.02</v>
      </c>
      <c r="M30" s="33">
        <v>1.1000000000000001</v>
      </c>
      <c r="N30" s="32"/>
      <c r="O30" s="33">
        <v>95</v>
      </c>
      <c r="P30" s="33">
        <v>19</v>
      </c>
      <c r="Q30" s="33">
        <v>0.4</v>
      </c>
      <c r="R30" s="33" t="s">
        <v>315</v>
      </c>
      <c r="S30" s="32"/>
      <c r="T30" s="33">
        <v>25</v>
      </c>
      <c r="U30" s="49"/>
    </row>
    <row r="31" spans="1:21">
      <c r="A31" s="50" t="s">
        <v>344</v>
      </c>
      <c r="B31" s="32"/>
      <c r="C31" s="33">
        <v>100</v>
      </c>
      <c r="D31" s="33">
        <v>342</v>
      </c>
      <c r="E31" s="33">
        <v>11.1</v>
      </c>
      <c r="F31" s="48">
        <v>9.6999999999999993</v>
      </c>
      <c r="G31" s="48">
        <v>1.5</v>
      </c>
      <c r="H31" s="33">
        <v>4.4000000000000004</v>
      </c>
      <c r="I31" s="48">
        <v>72.5</v>
      </c>
      <c r="J31" s="32"/>
      <c r="K31" s="33">
        <v>0.09</v>
      </c>
      <c r="L31" s="33">
        <v>0.13</v>
      </c>
      <c r="M31" s="33">
        <v>1.3</v>
      </c>
      <c r="N31" s="33">
        <v>4.6100000000000003</v>
      </c>
      <c r="O31" s="33">
        <v>3.3</v>
      </c>
      <c r="P31" s="32"/>
      <c r="Q31" s="32"/>
      <c r="R31" s="33" t="s">
        <v>315</v>
      </c>
      <c r="S31" s="32"/>
      <c r="T31" s="33">
        <v>25</v>
      </c>
      <c r="U31" s="49"/>
    </row>
    <row r="32" spans="1:21">
      <c r="A32" s="50" t="s">
        <v>345</v>
      </c>
      <c r="B32" s="33" t="s">
        <v>1626</v>
      </c>
      <c r="C32" s="33">
        <v>100</v>
      </c>
      <c r="D32" s="33">
        <v>333</v>
      </c>
      <c r="E32" s="33">
        <v>6.8</v>
      </c>
      <c r="F32" s="48">
        <v>7.6</v>
      </c>
      <c r="G32" s="48">
        <v>0.7</v>
      </c>
      <c r="H32" s="33">
        <v>9.1</v>
      </c>
      <c r="I32" s="48">
        <v>74.7</v>
      </c>
      <c r="J32" s="33">
        <v>0</v>
      </c>
      <c r="K32" s="33">
        <v>0.1</v>
      </c>
      <c r="L32" s="33">
        <v>0.04</v>
      </c>
      <c r="M32" s="33">
        <v>0.2</v>
      </c>
      <c r="N32" s="32"/>
      <c r="O32" s="33">
        <v>85.5</v>
      </c>
      <c r="P32" s="33">
        <v>9</v>
      </c>
      <c r="Q32" s="33">
        <v>7</v>
      </c>
      <c r="R32" s="33" t="s">
        <v>315</v>
      </c>
      <c r="S32" s="32"/>
      <c r="T32" s="33">
        <v>25</v>
      </c>
      <c r="U32" s="49"/>
    </row>
    <row r="33" spans="1:21">
      <c r="A33" s="50" t="s">
        <v>346</v>
      </c>
      <c r="B33" s="33" t="s">
        <v>1627</v>
      </c>
      <c r="C33" s="33">
        <v>100</v>
      </c>
      <c r="D33" s="33">
        <v>121</v>
      </c>
      <c r="E33" s="33">
        <v>68.599999999999994</v>
      </c>
      <c r="F33" s="48">
        <v>20.399999999999999</v>
      </c>
      <c r="G33" s="48">
        <v>0.3</v>
      </c>
      <c r="H33" s="33">
        <v>0.2</v>
      </c>
      <c r="I33" s="48">
        <v>9.1</v>
      </c>
      <c r="J33" s="32"/>
      <c r="K33" s="33">
        <v>0.04</v>
      </c>
      <c r="L33" s="33">
        <v>0.05</v>
      </c>
      <c r="M33" s="33">
        <v>1.2</v>
      </c>
      <c r="N33" s="33">
        <v>0.42</v>
      </c>
      <c r="O33" s="33">
        <v>230</v>
      </c>
      <c r="P33" s="33">
        <v>30</v>
      </c>
      <c r="Q33" s="33">
        <v>2.7</v>
      </c>
      <c r="R33" s="33" t="s">
        <v>315</v>
      </c>
      <c r="S33" s="32"/>
      <c r="T33" s="33">
        <v>25</v>
      </c>
      <c r="U33" s="49"/>
    </row>
    <row r="34" spans="1:21">
      <c r="A34" s="50" t="s">
        <v>347</v>
      </c>
      <c r="B34" s="32"/>
      <c r="C34" s="33">
        <v>100</v>
      </c>
      <c r="D34" s="33">
        <v>304</v>
      </c>
      <c r="E34" s="33">
        <v>19.3</v>
      </c>
      <c r="F34" s="48">
        <v>9.6999999999999993</v>
      </c>
      <c r="G34" s="48">
        <v>2.7</v>
      </c>
      <c r="H34" s="33">
        <v>5.8</v>
      </c>
      <c r="I34" s="48">
        <v>60.2</v>
      </c>
      <c r="J34" s="32"/>
      <c r="K34" s="33">
        <v>0.32</v>
      </c>
      <c r="L34" s="33">
        <v>0.21</v>
      </c>
      <c r="M34" s="33">
        <v>1.5</v>
      </c>
      <c r="N34" s="33">
        <v>1.73</v>
      </c>
      <c r="O34" s="33">
        <v>2.2999999999999998</v>
      </c>
      <c r="P34" s="33">
        <v>39</v>
      </c>
      <c r="Q34" s="33">
        <v>4.4000000000000004</v>
      </c>
      <c r="R34" s="33" t="s">
        <v>315</v>
      </c>
      <c r="S34" s="32"/>
      <c r="T34" s="33">
        <v>25</v>
      </c>
      <c r="U34" s="49"/>
    </row>
    <row r="35" spans="1:21">
      <c r="A35" s="50" t="s">
        <v>348</v>
      </c>
      <c r="B35" s="33" t="s">
        <v>1618</v>
      </c>
      <c r="C35" s="33">
        <v>100</v>
      </c>
      <c r="D35" s="33">
        <v>255</v>
      </c>
      <c r="E35" s="33">
        <v>36.4</v>
      </c>
      <c r="F35" s="48">
        <v>7.5</v>
      </c>
      <c r="G35" s="48">
        <v>2.2999999999999998</v>
      </c>
      <c r="H35" s="33">
        <v>1.9</v>
      </c>
      <c r="I35" s="48">
        <v>51</v>
      </c>
      <c r="J35" s="32"/>
      <c r="K35" s="33">
        <v>0.02</v>
      </c>
      <c r="L35" s="33">
        <v>0.04</v>
      </c>
      <c r="M35" s="32"/>
      <c r="N35" s="33">
        <v>1.03</v>
      </c>
      <c r="O35" s="33">
        <v>149.30000000000001</v>
      </c>
      <c r="P35" s="33">
        <v>20</v>
      </c>
      <c r="Q35" s="33">
        <v>2.4</v>
      </c>
      <c r="R35" s="33" t="s">
        <v>315</v>
      </c>
      <c r="S35" s="32"/>
      <c r="T35" s="33">
        <v>25</v>
      </c>
      <c r="U35" s="49"/>
    </row>
    <row r="36" spans="1:21">
      <c r="A36" s="50" t="s">
        <v>349</v>
      </c>
      <c r="B36" s="33" t="s">
        <v>1618</v>
      </c>
      <c r="C36" s="33">
        <v>100</v>
      </c>
      <c r="D36" s="33">
        <v>233</v>
      </c>
      <c r="E36" s="33">
        <v>40.5</v>
      </c>
      <c r="F36" s="48">
        <v>7.8</v>
      </c>
      <c r="G36" s="48">
        <v>1</v>
      </c>
      <c r="H36" s="33">
        <v>1.5</v>
      </c>
      <c r="I36" s="48">
        <v>48.3</v>
      </c>
      <c r="J36" s="33">
        <v>0</v>
      </c>
      <c r="K36" s="33">
        <v>0.05</v>
      </c>
      <c r="L36" s="33">
        <v>7.0000000000000007E-2</v>
      </c>
      <c r="M36" s="33">
        <v>0</v>
      </c>
      <c r="N36" s="33">
        <v>0.86</v>
      </c>
      <c r="O36" s="33">
        <v>165.2</v>
      </c>
      <c r="P36" s="33">
        <v>18</v>
      </c>
      <c r="Q36" s="33">
        <v>1.9</v>
      </c>
      <c r="R36" s="33" t="s">
        <v>315</v>
      </c>
      <c r="S36" s="32"/>
      <c r="T36" s="33">
        <v>25</v>
      </c>
      <c r="U36" s="49"/>
    </row>
    <row r="37" spans="1:21">
      <c r="A37" s="50" t="s">
        <v>350</v>
      </c>
      <c r="B37" s="33" t="s">
        <v>1618</v>
      </c>
      <c r="C37" s="33">
        <v>100</v>
      </c>
      <c r="D37" s="33">
        <v>208</v>
      </c>
      <c r="E37" s="33">
        <v>47.3</v>
      </c>
      <c r="F37" s="48">
        <v>6.2</v>
      </c>
      <c r="G37" s="48">
        <v>1.2</v>
      </c>
      <c r="H37" s="33">
        <v>1</v>
      </c>
      <c r="I37" s="48">
        <v>43.2</v>
      </c>
      <c r="J37" s="32"/>
      <c r="K37" s="33">
        <v>0.02</v>
      </c>
      <c r="L37" s="33">
        <v>0.02</v>
      </c>
      <c r="M37" s="32"/>
      <c r="N37" s="33">
        <v>0.09</v>
      </c>
      <c r="O37" s="33">
        <v>165</v>
      </c>
      <c r="P37" s="33">
        <v>58</v>
      </c>
      <c r="Q37" s="33">
        <v>1.7</v>
      </c>
      <c r="R37" s="33" t="s">
        <v>315</v>
      </c>
      <c r="S37" s="32"/>
      <c r="T37" s="33">
        <v>25</v>
      </c>
      <c r="U37" s="49"/>
    </row>
    <row r="38" spans="1:21">
      <c r="A38" s="50" t="s">
        <v>351</v>
      </c>
      <c r="B38" s="32"/>
      <c r="C38" s="33">
        <v>100</v>
      </c>
      <c r="D38" s="33">
        <v>140</v>
      </c>
      <c r="E38" s="33">
        <v>63.5</v>
      </c>
      <c r="F38" s="48">
        <v>23.5</v>
      </c>
      <c r="G38" s="48">
        <v>0.1</v>
      </c>
      <c r="H38" s="33">
        <v>0.9</v>
      </c>
      <c r="I38" s="48">
        <v>11.4</v>
      </c>
      <c r="J38" s="33">
        <v>0</v>
      </c>
      <c r="K38" s="33">
        <v>0.1</v>
      </c>
      <c r="L38" s="33">
        <v>7.0000000000000007E-2</v>
      </c>
      <c r="M38" s="33">
        <v>1.1000000000000001</v>
      </c>
      <c r="N38" s="33">
        <v>0.65</v>
      </c>
      <c r="O38" s="33">
        <v>15</v>
      </c>
      <c r="P38" s="33">
        <v>76</v>
      </c>
      <c r="Q38" s="33">
        <v>4.2</v>
      </c>
      <c r="R38" s="33" t="s">
        <v>315</v>
      </c>
      <c r="S38" s="32"/>
      <c r="T38" s="33">
        <v>25</v>
      </c>
      <c r="U38" s="49"/>
    </row>
    <row r="39" spans="1:21">
      <c r="A39" s="50" t="s">
        <v>352</v>
      </c>
      <c r="B39" s="32"/>
      <c r="C39" s="33">
        <v>100</v>
      </c>
      <c r="D39" s="33">
        <v>490</v>
      </c>
      <c r="E39" s="33">
        <v>7.1</v>
      </c>
      <c r="F39" s="48">
        <v>26.9</v>
      </c>
      <c r="G39" s="48">
        <v>25.1</v>
      </c>
      <c r="H39" s="33">
        <v>1.3</v>
      </c>
      <c r="I39" s="48">
        <v>39.1</v>
      </c>
      <c r="J39" s="32"/>
      <c r="K39" s="33">
        <v>0.03</v>
      </c>
      <c r="L39" s="33">
        <v>0.05</v>
      </c>
      <c r="M39" s="33">
        <v>2.2000000000000002</v>
      </c>
      <c r="N39" s="33">
        <v>7.18</v>
      </c>
      <c r="O39" s="33">
        <v>29.5</v>
      </c>
      <c r="P39" s="33">
        <v>29</v>
      </c>
      <c r="Q39" s="33">
        <v>2.5</v>
      </c>
      <c r="R39" s="33" t="s">
        <v>315</v>
      </c>
      <c r="S39" s="32"/>
      <c r="T39" s="33">
        <v>25</v>
      </c>
      <c r="U39" s="49"/>
    </row>
    <row r="40" spans="1:21">
      <c r="A40" s="50" t="s">
        <v>353</v>
      </c>
      <c r="B40" s="33" t="s">
        <v>1618</v>
      </c>
      <c r="C40" s="33">
        <v>100</v>
      </c>
      <c r="D40" s="33">
        <v>285</v>
      </c>
      <c r="E40" s="33">
        <v>29.2</v>
      </c>
      <c r="F40" s="48">
        <v>9.3000000000000007</v>
      </c>
      <c r="G40" s="48">
        <v>1.1000000000000001</v>
      </c>
      <c r="H40" s="33">
        <v>0.4</v>
      </c>
      <c r="I40" s="48">
        <v>59.5</v>
      </c>
      <c r="J40" s="33">
        <v>0</v>
      </c>
      <c r="K40" s="33">
        <v>0.18</v>
      </c>
      <c r="L40" s="33">
        <v>0.04</v>
      </c>
      <c r="M40" s="33">
        <v>2.2000000000000002</v>
      </c>
      <c r="N40" s="32"/>
      <c r="O40" s="33">
        <v>1.5</v>
      </c>
      <c r="P40" s="33">
        <v>24</v>
      </c>
      <c r="Q40" s="33">
        <v>2</v>
      </c>
      <c r="R40" s="33" t="s">
        <v>315</v>
      </c>
      <c r="S40" s="32"/>
      <c r="T40" s="33">
        <v>25</v>
      </c>
      <c r="U40" s="49"/>
    </row>
    <row r="41" spans="1:21">
      <c r="A41" s="50" t="s">
        <v>354</v>
      </c>
      <c r="B41" s="33" t="s">
        <v>1628</v>
      </c>
      <c r="C41" s="33">
        <v>100</v>
      </c>
      <c r="D41" s="33">
        <v>355</v>
      </c>
      <c r="E41" s="33">
        <v>10.5</v>
      </c>
      <c r="F41" s="48">
        <v>11</v>
      </c>
      <c r="G41" s="48">
        <v>0.1</v>
      </c>
      <c r="H41" s="33">
        <v>0.2</v>
      </c>
      <c r="I41" s="48">
        <v>77.5</v>
      </c>
      <c r="J41" s="33">
        <v>0</v>
      </c>
      <c r="K41" s="33">
        <v>0.28000000000000003</v>
      </c>
      <c r="L41" s="33">
        <v>0.05</v>
      </c>
      <c r="M41" s="33">
        <v>2.7</v>
      </c>
      <c r="N41" s="32"/>
      <c r="O41" s="33">
        <v>60.9</v>
      </c>
      <c r="P41" s="33">
        <v>8</v>
      </c>
      <c r="Q41" s="33">
        <v>9.6</v>
      </c>
      <c r="R41" s="33" t="s">
        <v>315</v>
      </c>
      <c r="S41" s="32"/>
      <c r="T41" s="33">
        <v>25</v>
      </c>
      <c r="U41" s="49"/>
    </row>
    <row r="42" spans="1:21">
      <c r="A42" s="50" t="s">
        <v>355</v>
      </c>
      <c r="B42" s="33" t="s">
        <v>1618</v>
      </c>
      <c r="C42" s="33">
        <v>100</v>
      </c>
      <c r="D42" s="33">
        <v>109</v>
      </c>
      <c r="E42" s="33">
        <v>72.599999999999994</v>
      </c>
      <c r="F42" s="48">
        <v>2.7</v>
      </c>
      <c r="G42" s="48">
        <v>0.2</v>
      </c>
      <c r="H42" s="33">
        <v>0.1</v>
      </c>
      <c r="I42" s="48">
        <v>24.2</v>
      </c>
      <c r="J42" s="32"/>
      <c r="K42" s="32"/>
      <c r="L42" s="33">
        <v>0.01</v>
      </c>
      <c r="M42" s="33">
        <v>1.8</v>
      </c>
      <c r="N42" s="32"/>
      <c r="O42" s="33">
        <v>26.9</v>
      </c>
      <c r="P42" s="33">
        <v>4</v>
      </c>
      <c r="Q42" s="33">
        <v>0.5</v>
      </c>
      <c r="R42" s="33" t="s">
        <v>315</v>
      </c>
      <c r="S42" s="32"/>
      <c r="T42" s="33">
        <v>25</v>
      </c>
      <c r="U42" s="49"/>
    </row>
    <row r="43" spans="1:21">
      <c r="A43" s="50" t="s">
        <v>356</v>
      </c>
      <c r="B43" s="32"/>
      <c r="C43" s="33">
        <v>100</v>
      </c>
      <c r="D43" s="33">
        <v>429</v>
      </c>
      <c r="E43" s="33">
        <v>6.1</v>
      </c>
      <c r="F43" s="48">
        <v>8.5</v>
      </c>
      <c r="G43" s="48">
        <v>15.1</v>
      </c>
      <c r="H43" s="33">
        <v>3.6</v>
      </c>
      <c r="I43" s="48">
        <v>64.7</v>
      </c>
      <c r="J43" s="32"/>
      <c r="K43" s="32"/>
      <c r="L43" s="33">
        <v>0.01</v>
      </c>
      <c r="M43" s="33">
        <v>2.8</v>
      </c>
      <c r="N43" s="33">
        <v>1.22</v>
      </c>
      <c r="O43" s="33">
        <v>304.2</v>
      </c>
      <c r="P43" s="33">
        <v>17</v>
      </c>
      <c r="Q43" s="33">
        <v>2</v>
      </c>
      <c r="R43" s="33" t="s">
        <v>315</v>
      </c>
      <c r="S43" s="32"/>
      <c r="T43" s="33">
        <v>25</v>
      </c>
      <c r="U43" s="49"/>
    </row>
    <row r="44" spans="1:21">
      <c r="A44" s="50" t="s">
        <v>357</v>
      </c>
      <c r="B44" s="33" t="s">
        <v>1618</v>
      </c>
      <c r="C44" s="33">
        <v>100</v>
      </c>
      <c r="D44" s="33">
        <v>280</v>
      </c>
      <c r="E44" s="33">
        <v>29.7</v>
      </c>
      <c r="F44" s="48">
        <v>8.5</v>
      </c>
      <c r="G44" s="48">
        <v>1.6</v>
      </c>
      <c r="H44" s="33">
        <v>1.5</v>
      </c>
      <c r="I44" s="48">
        <v>58</v>
      </c>
      <c r="J44" s="32"/>
      <c r="K44" s="33">
        <v>0.35</v>
      </c>
      <c r="L44" s="33">
        <v>0.1</v>
      </c>
      <c r="M44" s="33">
        <v>3.1</v>
      </c>
      <c r="N44" s="33">
        <v>0.47</v>
      </c>
      <c r="O44" s="33">
        <v>3.4</v>
      </c>
      <c r="P44" s="33">
        <v>13</v>
      </c>
      <c r="Q44" s="33">
        <v>2.6</v>
      </c>
      <c r="R44" s="33" t="s">
        <v>315</v>
      </c>
      <c r="S44" s="32"/>
      <c r="T44" s="33">
        <v>25</v>
      </c>
      <c r="U44" s="49"/>
    </row>
    <row r="45" spans="1:21">
      <c r="A45" s="50" t="s">
        <v>358</v>
      </c>
      <c r="B45" s="33" t="s">
        <v>1618</v>
      </c>
      <c r="C45" s="33">
        <v>100</v>
      </c>
      <c r="D45" s="33">
        <v>114</v>
      </c>
      <c r="E45" s="33">
        <v>71.099999999999994</v>
      </c>
      <c r="F45" s="48">
        <v>2.5</v>
      </c>
      <c r="G45" s="48">
        <v>0.2</v>
      </c>
      <c r="H45" s="33">
        <v>0.4</v>
      </c>
      <c r="I45" s="48">
        <v>25.6</v>
      </c>
      <c r="J45" s="32"/>
      <c r="K45" s="33">
        <v>0.02</v>
      </c>
      <c r="L45" s="33">
        <v>0.03</v>
      </c>
      <c r="M45" s="33">
        <v>1.7</v>
      </c>
      <c r="N45" s="32"/>
      <c r="O45" s="33">
        <v>1.7</v>
      </c>
      <c r="P45" s="33">
        <v>6</v>
      </c>
      <c r="Q45" s="33">
        <v>0.3</v>
      </c>
      <c r="R45" s="33" t="s">
        <v>315</v>
      </c>
      <c r="S45" s="32"/>
      <c r="T45" s="33">
        <v>25</v>
      </c>
      <c r="U45" s="49"/>
    </row>
    <row r="46" spans="1:21">
      <c r="A46" s="50" t="s">
        <v>359</v>
      </c>
      <c r="B46" s="33" t="s">
        <v>1618</v>
      </c>
      <c r="C46" s="33">
        <v>100</v>
      </c>
      <c r="D46" s="33">
        <v>117</v>
      </c>
      <c r="E46" s="33">
        <v>70.599999999999994</v>
      </c>
      <c r="F46" s="48">
        <v>2.6</v>
      </c>
      <c r="G46" s="48">
        <v>0.3</v>
      </c>
      <c r="H46" s="33">
        <v>0.2</v>
      </c>
      <c r="I46" s="48">
        <v>26</v>
      </c>
      <c r="J46" s="32"/>
      <c r="K46" s="32"/>
      <c r="L46" s="33">
        <v>0.03</v>
      </c>
      <c r="M46" s="33">
        <v>2</v>
      </c>
      <c r="N46" s="32"/>
      <c r="O46" s="33">
        <v>3.3</v>
      </c>
      <c r="P46" s="33">
        <v>7</v>
      </c>
      <c r="Q46" s="33">
        <v>2.2000000000000002</v>
      </c>
      <c r="R46" s="33" t="s">
        <v>315</v>
      </c>
      <c r="S46" s="32"/>
      <c r="T46" s="33">
        <v>25</v>
      </c>
      <c r="U46" s="49"/>
    </row>
    <row r="47" spans="1:21">
      <c r="A47" s="50" t="s">
        <v>360</v>
      </c>
      <c r="B47" s="33" t="s">
        <v>1629</v>
      </c>
      <c r="C47" s="33">
        <v>100</v>
      </c>
      <c r="D47" s="33">
        <v>346</v>
      </c>
      <c r="E47" s="33">
        <v>12.3</v>
      </c>
      <c r="F47" s="48">
        <v>8</v>
      </c>
      <c r="G47" s="48">
        <v>0.1</v>
      </c>
      <c r="H47" s="33">
        <v>0.1</v>
      </c>
      <c r="I47" s="48">
        <v>78.2</v>
      </c>
      <c r="J47" s="32"/>
      <c r="K47" s="33">
        <v>0.03</v>
      </c>
      <c r="L47" s="32"/>
      <c r="M47" s="33">
        <v>0.2</v>
      </c>
      <c r="N47" s="32"/>
      <c r="O47" s="33">
        <v>5.9</v>
      </c>
      <c r="P47" s="32"/>
      <c r="Q47" s="33">
        <v>1.4</v>
      </c>
      <c r="R47" s="33" t="s">
        <v>315</v>
      </c>
      <c r="S47" s="32"/>
      <c r="T47" s="33">
        <v>25</v>
      </c>
      <c r="U47" s="49"/>
    </row>
    <row r="48" spans="1:21">
      <c r="A48" s="50" t="s">
        <v>361</v>
      </c>
      <c r="B48" s="33" t="s">
        <v>1628</v>
      </c>
      <c r="C48" s="33">
        <v>100</v>
      </c>
      <c r="D48" s="33">
        <v>355</v>
      </c>
      <c r="E48" s="33">
        <v>10.7</v>
      </c>
      <c r="F48" s="48">
        <v>7.4</v>
      </c>
      <c r="G48" s="48">
        <v>0.1</v>
      </c>
      <c r="H48" s="33">
        <v>0.3</v>
      </c>
      <c r="I48" s="48">
        <v>81.2</v>
      </c>
      <c r="J48" s="32"/>
      <c r="K48" s="33">
        <v>0.02</v>
      </c>
      <c r="L48" s="33">
        <v>0.02</v>
      </c>
      <c r="M48" s="33">
        <v>0.6</v>
      </c>
      <c r="N48" s="32"/>
      <c r="O48" s="33">
        <v>16.3</v>
      </c>
      <c r="P48" s="33">
        <v>6</v>
      </c>
      <c r="Q48" s="33">
        <v>3.2</v>
      </c>
      <c r="R48" s="33" t="s">
        <v>315</v>
      </c>
      <c r="S48" s="32"/>
      <c r="T48" s="33">
        <v>25</v>
      </c>
      <c r="U48" s="49"/>
    </row>
    <row r="49" spans="1:21">
      <c r="A49" s="50" t="s">
        <v>362</v>
      </c>
      <c r="B49" s="33" t="s">
        <v>1618</v>
      </c>
      <c r="C49" s="33">
        <v>100</v>
      </c>
      <c r="D49" s="33">
        <v>46</v>
      </c>
      <c r="E49" s="33">
        <v>88.6</v>
      </c>
      <c r="F49" s="48">
        <v>1.1000000000000001</v>
      </c>
      <c r="G49" s="48">
        <v>0.3</v>
      </c>
      <c r="H49" s="33">
        <v>0.1</v>
      </c>
      <c r="I49" s="48">
        <v>9.8000000000000007</v>
      </c>
      <c r="J49" s="32"/>
      <c r="K49" s="32"/>
      <c r="L49" s="33">
        <v>0.03</v>
      </c>
      <c r="M49" s="33">
        <v>0.2</v>
      </c>
      <c r="N49" s="32"/>
      <c r="O49" s="33">
        <v>2.8</v>
      </c>
      <c r="P49" s="33">
        <v>7</v>
      </c>
      <c r="Q49" s="33">
        <v>0.1</v>
      </c>
      <c r="R49" s="33" t="s">
        <v>315</v>
      </c>
      <c r="S49" s="32"/>
      <c r="T49" s="33">
        <v>25</v>
      </c>
      <c r="U49" s="49"/>
    </row>
    <row r="50" spans="1:21">
      <c r="A50" s="50" t="s">
        <v>363</v>
      </c>
      <c r="B50" s="33" t="s">
        <v>1630</v>
      </c>
      <c r="C50" s="33">
        <v>100</v>
      </c>
      <c r="D50" s="33">
        <v>348</v>
      </c>
      <c r="E50" s="33">
        <v>9.4</v>
      </c>
      <c r="F50" s="48">
        <v>10.6</v>
      </c>
      <c r="G50" s="48">
        <v>0.6</v>
      </c>
      <c r="H50" s="32"/>
      <c r="I50" s="48">
        <v>75.099999999999994</v>
      </c>
      <c r="J50" s="32"/>
      <c r="K50" s="33">
        <v>0.45</v>
      </c>
      <c r="L50" s="33">
        <v>0.18</v>
      </c>
      <c r="M50" s="33">
        <v>1.2</v>
      </c>
      <c r="N50" s="33">
        <v>3.5</v>
      </c>
      <c r="O50" s="33">
        <v>9.6</v>
      </c>
      <c r="P50" s="33">
        <v>99</v>
      </c>
      <c r="Q50" s="33">
        <v>5</v>
      </c>
      <c r="R50" s="33" t="s">
        <v>315</v>
      </c>
      <c r="S50" s="32"/>
      <c r="T50" s="33">
        <v>25</v>
      </c>
      <c r="U50" s="49"/>
    </row>
    <row r="51" spans="1:21">
      <c r="A51" s="50" t="s">
        <v>364</v>
      </c>
      <c r="B51" s="33" t="s">
        <v>1631</v>
      </c>
      <c r="C51" s="33">
        <v>100</v>
      </c>
      <c r="D51" s="33">
        <v>374</v>
      </c>
      <c r="E51" s="33">
        <v>7.6</v>
      </c>
      <c r="F51" s="48">
        <v>8.1</v>
      </c>
      <c r="G51" s="48">
        <v>2.6</v>
      </c>
      <c r="H51" s="33">
        <v>1</v>
      </c>
      <c r="I51" s="48">
        <v>79.5</v>
      </c>
      <c r="J51" s="32"/>
      <c r="K51" s="33">
        <v>0.28999999999999998</v>
      </c>
      <c r="L51" s="33">
        <v>0.04</v>
      </c>
      <c r="M51" s="33">
        <v>0.7</v>
      </c>
      <c r="N51" s="32"/>
      <c r="O51" s="33">
        <v>10.7</v>
      </c>
      <c r="P51" s="33">
        <v>12</v>
      </c>
      <c r="Q51" s="33">
        <v>14.3</v>
      </c>
      <c r="R51" s="33" t="s">
        <v>315</v>
      </c>
      <c r="S51" s="32"/>
      <c r="T51" s="33">
        <v>25</v>
      </c>
      <c r="U51" s="49"/>
    </row>
    <row r="52" spans="1:21">
      <c r="A52" s="50" t="s">
        <v>365</v>
      </c>
      <c r="B52" s="33" t="s">
        <v>1620</v>
      </c>
      <c r="C52" s="33">
        <v>100</v>
      </c>
      <c r="D52" s="33">
        <v>344</v>
      </c>
      <c r="E52" s="33">
        <v>14.2</v>
      </c>
      <c r="F52" s="48">
        <v>9</v>
      </c>
      <c r="G52" s="48">
        <v>1</v>
      </c>
      <c r="H52" s="33">
        <v>0.6</v>
      </c>
      <c r="I52" s="48">
        <v>74.7</v>
      </c>
      <c r="J52" s="32"/>
      <c r="K52" s="33">
        <v>0.1</v>
      </c>
      <c r="L52" s="33">
        <v>0.03</v>
      </c>
      <c r="M52" s="33">
        <v>1.9</v>
      </c>
      <c r="N52" s="33">
        <v>0.93</v>
      </c>
      <c r="O52" s="33">
        <v>1.2</v>
      </c>
      <c r="P52" s="33">
        <v>8</v>
      </c>
      <c r="Q52" s="33">
        <v>0.8</v>
      </c>
      <c r="R52" s="33" t="s">
        <v>315</v>
      </c>
      <c r="S52" s="32"/>
      <c r="T52" s="33">
        <v>25</v>
      </c>
      <c r="U52" s="49"/>
    </row>
    <row r="53" spans="1:21">
      <c r="A53" s="50" t="s">
        <v>366</v>
      </c>
      <c r="B53" s="32"/>
      <c r="C53" s="33">
        <v>100</v>
      </c>
      <c r="D53" s="33">
        <v>343</v>
      </c>
      <c r="E53" s="33">
        <v>13.8</v>
      </c>
      <c r="F53" s="48">
        <v>7.9</v>
      </c>
      <c r="G53" s="48">
        <v>0.8</v>
      </c>
      <c r="H53" s="33">
        <v>0.7</v>
      </c>
      <c r="I53" s="48">
        <v>76</v>
      </c>
      <c r="J53" s="32"/>
      <c r="K53" s="33">
        <v>0.2</v>
      </c>
      <c r="L53" s="33">
        <v>0.05</v>
      </c>
      <c r="M53" s="33">
        <v>1.7</v>
      </c>
      <c r="N53" s="33">
        <v>0.08</v>
      </c>
      <c r="O53" s="33">
        <v>2.8</v>
      </c>
      <c r="P53" s="33">
        <v>21</v>
      </c>
      <c r="Q53" s="33">
        <v>1.9</v>
      </c>
      <c r="R53" s="33" t="s">
        <v>315</v>
      </c>
      <c r="S53" s="32"/>
      <c r="T53" s="33">
        <v>25</v>
      </c>
      <c r="U53" s="49"/>
    </row>
    <row r="54" spans="1:21">
      <c r="A54" s="50" t="s">
        <v>367</v>
      </c>
      <c r="B54" s="32"/>
      <c r="C54" s="33">
        <v>100</v>
      </c>
      <c r="D54" s="33">
        <v>348</v>
      </c>
      <c r="E54" s="33">
        <v>12.6</v>
      </c>
      <c r="F54" s="48">
        <v>7.3</v>
      </c>
      <c r="G54" s="48">
        <v>1</v>
      </c>
      <c r="H54" s="33">
        <v>0.8</v>
      </c>
      <c r="I54" s="48">
        <v>77.5</v>
      </c>
      <c r="J54" s="32"/>
      <c r="K54" s="33">
        <v>0.11</v>
      </c>
      <c r="L54" s="33">
        <v>0.04</v>
      </c>
      <c r="M54" s="33">
        <v>2.2999999999999998</v>
      </c>
      <c r="N54" s="33">
        <v>1.29</v>
      </c>
      <c r="O54" s="33">
        <v>1.5</v>
      </c>
      <c r="P54" s="33">
        <v>26</v>
      </c>
      <c r="Q54" s="33">
        <v>1.4</v>
      </c>
      <c r="R54" s="33" t="s">
        <v>315</v>
      </c>
      <c r="S54" s="32"/>
      <c r="T54" s="33">
        <v>25</v>
      </c>
      <c r="U54" s="49"/>
    </row>
    <row r="55" spans="1:21">
      <c r="A55" s="50" t="s">
        <v>368</v>
      </c>
      <c r="B55" s="33" t="s">
        <v>1632</v>
      </c>
      <c r="C55" s="33">
        <v>100</v>
      </c>
      <c r="D55" s="33">
        <v>352</v>
      </c>
      <c r="E55" s="33">
        <v>12.3</v>
      </c>
      <c r="F55" s="48">
        <v>7.9</v>
      </c>
      <c r="G55" s="48">
        <v>1.1000000000000001</v>
      </c>
      <c r="H55" s="33">
        <v>0.5</v>
      </c>
      <c r="I55" s="48">
        <v>77.5</v>
      </c>
      <c r="J55" s="32"/>
      <c r="K55" s="33">
        <v>0.19</v>
      </c>
      <c r="L55" s="33">
        <v>0.04</v>
      </c>
      <c r="M55" s="33">
        <v>2.2999999999999998</v>
      </c>
      <c r="N55" s="32"/>
      <c r="O55" s="33">
        <v>1.9</v>
      </c>
      <c r="P55" s="33">
        <v>14</v>
      </c>
      <c r="Q55" s="33">
        <v>1.8</v>
      </c>
      <c r="R55" s="33" t="s">
        <v>315</v>
      </c>
      <c r="S55" s="32"/>
      <c r="T55" s="33">
        <v>25</v>
      </c>
      <c r="U55" s="49"/>
    </row>
    <row r="56" spans="1:21">
      <c r="A56" s="50" t="s">
        <v>369</v>
      </c>
      <c r="B56" s="33" t="s">
        <v>1633</v>
      </c>
      <c r="C56" s="33">
        <v>64</v>
      </c>
      <c r="D56" s="33">
        <v>344</v>
      </c>
      <c r="E56" s="33">
        <v>11.3</v>
      </c>
      <c r="F56" s="48">
        <v>7.1</v>
      </c>
      <c r="G56" s="51"/>
      <c r="H56" s="33">
        <v>1.2</v>
      </c>
      <c r="I56" s="48">
        <v>79</v>
      </c>
      <c r="J56" s="33">
        <v>7</v>
      </c>
      <c r="K56" s="33">
        <v>0.19</v>
      </c>
      <c r="L56" s="33">
        <v>0.04</v>
      </c>
      <c r="M56" s="33">
        <v>0.7</v>
      </c>
      <c r="N56" s="33">
        <v>0.13</v>
      </c>
      <c r="O56" s="33">
        <v>4.0999999999999996</v>
      </c>
      <c r="P56" s="33">
        <v>19</v>
      </c>
      <c r="Q56" s="33">
        <v>3</v>
      </c>
      <c r="R56" s="33" t="s">
        <v>315</v>
      </c>
      <c r="S56" s="32"/>
      <c r="T56" s="33">
        <v>25</v>
      </c>
      <c r="U56" s="49"/>
    </row>
    <row r="57" spans="1:21">
      <c r="A57" s="50" t="s">
        <v>370</v>
      </c>
      <c r="B57" s="33" t="s">
        <v>1627</v>
      </c>
      <c r="C57" s="33">
        <v>100</v>
      </c>
      <c r="D57" s="33">
        <v>343</v>
      </c>
      <c r="E57" s="33">
        <v>13.8</v>
      </c>
      <c r="F57" s="48">
        <v>8.3000000000000007</v>
      </c>
      <c r="G57" s="48">
        <v>1.7</v>
      </c>
      <c r="H57" s="33">
        <v>1.4</v>
      </c>
      <c r="I57" s="48">
        <v>73.7</v>
      </c>
      <c r="J57" s="32"/>
      <c r="K57" s="33">
        <v>0.31</v>
      </c>
      <c r="L57" s="33">
        <v>0.12</v>
      </c>
      <c r="M57" s="33">
        <v>4.2</v>
      </c>
      <c r="N57" s="33">
        <v>1.36</v>
      </c>
      <c r="O57" s="33">
        <v>4</v>
      </c>
      <c r="P57" s="33">
        <v>13</v>
      </c>
      <c r="Q57" s="33">
        <v>3.9</v>
      </c>
      <c r="R57" s="33" t="s">
        <v>315</v>
      </c>
      <c r="S57" s="32"/>
      <c r="T57" s="33">
        <v>25</v>
      </c>
      <c r="U57" s="49"/>
    </row>
    <row r="58" spans="1:21">
      <c r="A58" s="50" t="s">
        <v>371</v>
      </c>
      <c r="B58" s="32"/>
      <c r="C58" s="33">
        <v>100</v>
      </c>
      <c r="D58" s="33">
        <v>324</v>
      </c>
      <c r="E58" s="33">
        <v>13</v>
      </c>
      <c r="F58" s="48">
        <v>9.3000000000000007</v>
      </c>
      <c r="G58" s="48">
        <v>2.2999999999999998</v>
      </c>
      <c r="H58" s="33">
        <v>6.5</v>
      </c>
      <c r="I58" s="48">
        <v>66.5</v>
      </c>
      <c r="J58" s="33">
        <v>3</v>
      </c>
      <c r="K58" s="33">
        <v>0.28000000000000003</v>
      </c>
      <c r="L58" s="33">
        <v>0.16</v>
      </c>
      <c r="M58" s="33">
        <v>2.2000000000000002</v>
      </c>
      <c r="N58" s="33">
        <v>4.4000000000000004</v>
      </c>
      <c r="O58" s="33">
        <v>4.7</v>
      </c>
      <c r="P58" s="33">
        <v>47</v>
      </c>
      <c r="Q58" s="33">
        <v>6.2</v>
      </c>
      <c r="R58" s="33" t="s">
        <v>315</v>
      </c>
      <c r="S58" s="32"/>
      <c r="T58" s="33">
        <v>25</v>
      </c>
      <c r="U58" s="49"/>
    </row>
    <row r="59" spans="1:21">
      <c r="A59" s="50" t="s">
        <v>372</v>
      </c>
      <c r="B59" s="33" t="s">
        <v>1634</v>
      </c>
      <c r="C59" s="33">
        <v>100</v>
      </c>
      <c r="D59" s="33">
        <v>298</v>
      </c>
      <c r="E59" s="33">
        <v>12.1</v>
      </c>
      <c r="F59" s="48">
        <v>10.199999999999999</v>
      </c>
      <c r="G59" s="48">
        <v>1.2</v>
      </c>
      <c r="H59" s="33">
        <v>13.4</v>
      </c>
      <c r="I59" s="48">
        <v>61.6</v>
      </c>
      <c r="J59" s="32"/>
      <c r="K59" s="33">
        <v>0.32</v>
      </c>
      <c r="L59" s="33">
        <v>0.21</v>
      </c>
      <c r="M59" s="33">
        <v>3.6</v>
      </c>
      <c r="N59" s="33">
        <v>1.25</v>
      </c>
      <c r="O59" s="32"/>
      <c r="P59" s="32"/>
      <c r="Q59" s="32"/>
      <c r="R59" s="33" t="s">
        <v>315</v>
      </c>
      <c r="S59" s="32"/>
      <c r="T59" s="33">
        <v>25</v>
      </c>
      <c r="U59" s="49"/>
    </row>
    <row r="60" spans="1:21">
      <c r="A60" s="50" t="s">
        <v>373</v>
      </c>
      <c r="B60" s="33" t="s">
        <v>1625</v>
      </c>
      <c r="C60" s="33">
        <v>100</v>
      </c>
      <c r="D60" s="33">
        <v>302</v>
      </c>
      <c r="E60" s="33">
        <v>25.9</v>
      </c>
      <c r="F60" s="48">
        <v>8</v>
      </c>
      <c r="G60" s="48">
        <v>2.1</v>
      </c>
      <c r="H60" s="32"/>
      <c r="I60" s="48">
        <v>62.7</v>
      </c>
      <c r="J60" s="32"/>
      <c r="K60" s="32"/>
      <c r="L60" s="33">
        <v>0.01</v>
      </c>
      <c r="M60" s="33">
        <v>1.1000000000000001</v>
      </c>
      <c r="N60" s="33">
        <v>0.39</v>
      </c>
      <c r="O60" s="33">
        <v>62.5</v>
      </c>
      <c r="P60" s="33">
        <v>51</v>
      </c>
      <c r="Q60" s="33">
        <v>1.6</v>
      </c>
      <c r="R60" s="33" t="s">
        <v>315</v>
      </c>
      <c r="S60" s="32"/>
      <c r="T60" s="33">
        <v>25</v>
      </c>
      <c r="U60" s="49"/>
    </row>
    <row r="61" spans="1:21">
      <c r="A61" s="50" t="s">
        <v>374</v>
      </c>
      <c r="B61" s="33" t="s">
        <v>1624</v>
      </c>
      <c r="C61" s="33">
        <v>100</v>
      </c>
      <c r="D61" s="33">
        <v>362</v>
      </c>
      <c r="E61" s="33">
        <v>10.6</v>
      </c>
      <c r="F61" s="48">
        <v>9.9</v>
      </c>
      <c r="G61" s="48">
        <v>1.1000000000000001</v>
      </c>
      <c r="H61" s="32"/>
      <c r="I61" s="48">
        <v>78.2</v>
      </c>
      <c r="J61" s="32"/>
      <c r="K61" s="33">
        <v>0.01</v>
      </c>
      <c r="L61" s="33">
        <v>0.08</v>
      </c>
      <c r="M61" s="33">
        <v>1.1000000000000001</v>
      </c>
      <c r="N61" s="32"/>
      <c r="O61" s="32"/>
      <c r="P61" s="33">
        <v>19</v>
      </c>
      <c r="Q61" s="33">
        <v>0.9</v>
      </c>
      <c r="R61" s="33" t="s">
        <v>315</v>
      </c>
      <c r="S61" s="32"/>
      <c r="T61" s="33">
        <v>25</v>
      </c>
      <c r="U61" s="49"/>
    </row>
    <row r="62" spans="1:21">
      <c r="A62" s="50" t="s">
        <v>375</v>
      </c>
      <c r="B62" s="33" t="s">
        <v>1635</v>
      </c>
      <c r="C62" s="33">
        <v>100</v>
      </c>
      <c r="D62" s="33">
        <v>350</v>
      </c>
      <c r="E62" s="33">
        <v>11.8</v>
      </c>
      <c r="F62" s="48">
        <v>11.9</v>
      </c>
      <c r="G62" s="48">
        <v>0.1</v>
      </c>
      <c r="H62" s="33">
        <v>0.4</v>
      </c>
      <c r="I62" s="48">
        <v>75.400000000000006</v>
      </c>
      <c r="J62" s="32"/>
      <c r="K62" s="33">
        <v>0.12</v>
      </c>
      <c r="L62" s="33">
        <v>0.03</v>
      </c>
      <c r="M62" s="33">
        <v>1</v>
      </c>
      <c r="N62" s="32"/>
      <c r="O62" s="33">
        <v>35</v>
      </c>
      <c r="P62" s="33">
        <v>14</v>
      </c>
      <c r="Q62" s="33">
        <v>2.6</v>
      </c>
      <c r="R62" s="33" t="s">
        <v>315</v>
      </c>
      <c r="S62" s="32"/>
      <c r="T62" s="33">
        <v>25</v>
      </c>
      <c r="U62" s="49"/>
    </row>
    <row r="63" spans="1:21">
      <c r="A63" s="50" t="s">
        <v>376</v>
      </c>
      <c r="B63" s="33" t="s">
        <v>1636</v>
      </c>
      <c r="C63" s="33">
        <v>100</v>
      </c>
      <c r="D63" s="33">
        <v>377</v>
      </c>
      <c r="E63" s="33">
        <v>5.6</v>
      </c>
      <c r="F63" s="48">
        <v>9.9</v>
      </c>
      <c r="G63" s="48">
        <v>2.6</v>
      </c>
      <c r="H63" s="33">
        <v>0.5</v>
      </c>
      <c r="I63" s="48">
        <v>78.400000000000006</v>
      </c>
      <c r="J63" s="32"/>
      <c r="K63" s="33">
        <v>0.11</v>
      </c>
      <c r="L63" s="33">
        <v>0.19</v>
      </c>
      <c r="M63" s="32"/>
      <c r="N63" s="33">
        <v>2.31</v>
      </c>
      <c r="O63" s="33">
        <v>1</v>
      </c>
      <c r="P63" s="33">
        <v>2</v>
      </c>
      <c r="Q63" s="33">
        <v>0.5</v>
      </c>
      <c r="R63" s="33" t="s">
        <v>315</v>
      </c>
      <c r="S63" s="32"/>
      <c r="T63" s="33">
        <v>25</v>
      </c>
      <c r="U63" s="49"/>
    </row>
    <row r="64" spans="1:21">
      <c r="A64" s="50" t="s">
        <v>377</v>
      </c>
      <c r="B64" s="32"/>
      <c r="C64" s="33">
        <v>100</v>
      </c>
      <c r="D64" s="33">
        <v>352</v>
      </c>
      <c r="E64" s="32"/>
      <c r="F64" s="48">
        <v>12</v>
      </c>
      <c r="G64" s="51"/>
      <c r="H64" s="33">
        <v>10.199999999999999</v>
      </c>
      <c r="I64" s="48">
        <v>76.099999999999994</v>
      </c>
      <c r="J64" s="32"/>
      <c r="K64" s="33">
        <v>0.48</v>
      </c>
      <c r="L64" s="33">
        <v>0.14000000000000001</v>
      </c>
      <c r="M64" s="32"/>
      <c r="N64" s="33">
        <v>1.91</v>
      </c>
      <c r="O64" s="33">
        <v>107.4</v>
      </c>
      <c r="P64" s="32"/>
      <c r="Q64" s="33">
        <v>5.9</v>
      </c>
      <c r="R64" s="33" t="s">
        <v>315</v>
      </c>
      <c r="S64" s="32"/>
      <c r="T64" s="33">
        <v>25</v>
      </c>
      <c r="U64" s="49"/>
    </row>
    <row r="65" spans="1:21">
      <c r="A65" s="50" t="s">
        <v>378</v>
      </c>
      <c r="B65" s="32"/>
      <c r="C65" s="33">
        <v>100</v>
      </c>
      <c r="D65" s="33">
        <v>349</v>
      </c>
      <c r="E65" s="33">
        <v>12</v>
      </c>
      <c r="F65" s="48">
        <v>10.4</v>
      </c>
      <c r="G65" s="48">
        <v>1.1000000000000001</v>
      </c>
      <c r="H65" s="33">
        <v>1.6</v>
      </c>
      <c r="I65" s="48">
        <v>74.3</v>
      </c>
      <c r="J65" s="32"/>
      <c r="K65" s="33">
        <v>0.15</v>
      </c>
      <c r="L65" s="33">
        <v>0.11</v>
      </c>
      <c r="M65" s="33">
        <v>2</v>
      </c>
      <c r="N65" s="33">
        <v>1.25</v>
      </c>
      <c r="O65" s="33">
        <v>1.5</v>
      </c>
      <c r="P65" s="33">
        <v>30</v>
      </c>
      <c r="Q65" s="33">
        <v>3</v>
      </c>
      <c r="R65" s="33" t="s">
        <v>315</v>
      </c>
      <c r="S65" s="32"/>
      <c r="T65" s="33">
        <v>25</v>
      </c>
      <c r="U65" s="49"/>
    </row>
    <row r="66" spans="1:21">
      <c r="A66" s="50" t="s">
        <v>379</v>
      </c>
      <c r="B66" s="32"/>
      <c r="C66" s="33">
        <v>100</v>
      </c>
      <c r="D66" s="33">
        <v>344</v>
      </c>
      <c r="E66" s="33">
        <v>12.7</v>
      </c>
      <c r="F66" s="48">
        <v>11.2</v>
      </c>
      <c r="G66" s="48">
        <v>1.5</v>
      </c>
      <c r="H66" s="33">
        <v>2.1</v>
      </c>
      <c r="I66" s="48">
        <v>71.5</v>
      </c>
      <c r="J66" s="33">
        <v>0</v>
      </c>
      <c r="K66" s="33">
        <v>0.28000000000000003</v>
      </c>
      <c r="L66" s="33">
        <v>0.08</v>
      </c>
      <c r="M66" s="33">
        <v>2</v>
      </c>
      <c r="N66" s="33">
        <v>1.8</v>
      </c>
      <c r="O66" s="33">
        <v>3.1</v>
      </c>
      <c r="P66" s="33">
        <v>31</v>
      </c>
      <c r="Q66" s="33">
        <v>3.5</v>
      </c>
      <c r="R66" s="33" t="s">
        <v>315</v>
      </c>
      <c r="S66" s="32"/>
      <c r="T66" s="33">
        <v>25</v>
      </c>
      <c r="U66" s="49"/>
    </row>
    <row r="67" spans="1:21">
      <c r="A67" s="50" t="s">
        <v>380</v>
      </c>
      <c r="B67" s="32"/>
      <c r="C67" s="33">
        <v>100</v>
      </c>
      <c r="D67" s="33">
        <v>350</v>
      </c>
      <c r="E67" s="33">
        <v>12.7</v>
      </c>
      <c r="F67" s="48">
        <v>10.3</v>
      </c>
      <c r="G67" s="48">
        <v>1.1000000000000001</v>
      </c>
      <c r="H67" s="33">
        <v>0.6</v>
      </c>
      <c r="I67" s="48">
        <v>74.599999999999994</v>
      </c>
      <c r="J67" s="32"/>
      <c r="K67" s="33">
        <v>0.17</v>
      </c>
      <c r="L67" s="33">
        <v>0.06</v>
      </c>
      <c r="M67" s="33">
        <v>2</v>
      </c>
      <c r="N67" s="33">
        <v>0.73</v>
      </c>
      <c r="O67" s="33">
        <v>2.7</v>
      </c>
      <c r="P67" s="33">
        <v>27</v>
      </c>
      <c r="Q67" s="33">
        <v>2.7</v>
      </c>
      <c r="R67" s="33" t="s">
        <v>315</v>
      </c>
      <c r="S67" s="32"/>
      <c r="T67" s="33">
        <v>25</v>
      </c>
      <c r="U67" s="49"/>
    </row>
    <row r="68" spans="1:21">
      <c r="A68" s="50" t="s">
        <v>381</v>
      </c>
      <c r="B68" s="33" t="s">
        <v>1637</v>
      </c>
      <c r="C68" s="33">
        <v>100</v>
      </c>
      <c r="D68" s="33">
        <v>392</v>
      </c>
      <c r="E68" s="33">
        <v>4.3</v>
      </c>
      <c r="F68" s="48">
        <v>36.4</v>
      </c>
      <c r="G68" s="48">
        <v>10.1</v>
      </c>
      <c r="H68" s="33">
        <v>5.6</v>
      </c>
      <c r="I68" s="48">
        <v>38.9</v>
      </c>
      <c r="J68" s="32"/>
      <c r="K68" s="33">
        <v>3.5</v>
      </c>
      <c r="L68" s="33">
        <v>0.79</v>
      </c>
      <c r="M68" s="33">
        <v>3.7</v>
      </c>
      <c r="N68" s="33">
        <v>23.2</v>
      </c>
      <c r="O68" s="33">
        <v>4.5999999999999996</v>
      </c>
      <c r="P68" s="33">
        <v>85</v>
      </c>
      <c r="Q68" s="33">
        <v>0.6</v>
      </c>
      <c r="R68" s="33" t="s">
        <v>315</v>
      </c>
      <c r="S68" s="32"/>
      <c r="T68" s="33">
        <v>25</v>
      </c>
      <c r="U68" s="49"/>
    </row>
    <row r="69" spans="1:21">
      <c r="A69" s="50" t="s">
        <v>382</v>
      </c>
      <c r="B69" s="32"/>
      <c r="C69" s="33">
        <v>100</v>
      </c>
      <c r="D69" s="33">
        <v>358</v>
      </c>
      <c r="E69" s="33">
        <v>11.6</v>
      </c>
      <c r="F69" s="48">
        <v>9</v>
      </c>
      <c r="G69" s="48">
        <v>3.1</v>
      </c>
      <c r="H69" s="33">
        <v>1.6</v>
      </c>
      <c r="I69" s="48">
        <v>73.5</v>
      </c>
      <c r="J69" s="33">
        <v>17</v>
      </c>
      <c r="K69" s="33">
        <v>0.33</v>
      </c>
      <c r="L69" s="33">
        <v>0.1</v>
      </c>
      <c r="M69" s="33">
        <v>1.5</v>
      </c>
      <c r="N69" s="33">
        <v>3.63</v>
      </c>
      <c r="O69" s="33">
        <v>4.3</v>
      </c>
      <c r="P69" s="33">
        <v>41</v>
      </c>
      <c r="Q69" s="33">
        <v>5.0999999999999996</v>
      </c>
      <c r="R69" s="33" t="s">
        <v>315</v>
      </c>
      <c r="S69" s="32"/>
      <c r="T69" s="33">
        <v>25</v>
      </c>
      <c r="U69" s="49"/>
    </row>
    <row r="70" spans="1:21">
      <c r="A70" s="50" t="s">
        <v>383</v>
      </c>
      <c r="B70" s="33" t="s">
        <v>1618</v>
      </c>
      <c r="C70" s="33">
        <v>100</v>
      </c>
      <c r="D70" s="33">
        <v>46</v>
      </c>
      <c r="E70" s="33">
        <v>89.3</v>
      </c>
      <c r="F70" s="48">
        <v>1.4</v>
      </c>
      <c r="G70" s="48">
        <v>0.7</v>
      </c>
      <c r="H70" s="32"/>
      <c r="I70" s="48">
        <v>8.4</v>
      </c>
      <c r="J70" s="32"/>
      <c r="K70" s="33">
        <v>0.02</v>
      </c>
      <c r="L70" s="33">
        <v>7.0000000000000007E-2</v>
      </c>
      <c r="M70" s="33">
        <v>0.9</v>
      </c>
      <c r="N70" s="33">
        <v>0.26</v>
      </c>
      <c r="O70" s="33">
        <v>4.0999999999999996</v>
      </c>
      <c r="P70" s="33">
        <v>10</v>
      </c>
      <c r="Q70" s="33">
        <v>1</v>
      </c>
      <c r="R70" s="33" t="s">
        <v>315</v>
      </c>
      <c r="S70" s="32"/>
      <c r="T70" s="33">
        <v>25</v>
      </c>
      <c r="U70" s="49"/>
    </row>
    <row r="71" spans="1:21">
      <c r="A71" s="50" t="s">
        <v>384</v>
      </c>
      <c r="B71" s="32"/>
      <c r="C71" s="33">
        <v>100</v>
      </c>
      <c r="D71" s="33">
        <v>367</v>
      </c>
      <c r="E71" s="33">
        <v>9.1999999999999993</v>
      </c>
      <c r="F71" s="48">
        <v>15</v>
      </c>
      <c r="G71" s="48">
        <v>6.7</v>
      </c>
      <c r="H71" s="33">
        <v>5.3</v>
      </c>
      <c r="I71" s="48">
        <v>61.6</v>
      </c>
      <c r="J71" s="32"/>
      <c r="K71" s="33">
        <v>0.3</v>
      </c>
      <c r="L71" s="33">
        <v>0.13</v>
      </c>
      <c r="M71" s="33">
        <v>1.2</v>
      </c>
      <c r="N71" s="33">
        <v>3.07</v>
      </c>
      <c r="O71" s="33">
        <v>3.7</v>
      </c>
      <c r="P71" s="33">
        <v>186</v>
      </c>
      <c r="Q71" s="33">
        <v>7</v>
      </c>
      <c r="R71" s="33" t="s">
        <v>315</v>
      </c>
      <c r="S71" s="32"/>
      <c r="T71" s="33">
        <v>25</v>
      </c>
      <c r="U71" s="49"/>
    </row>
    <row r="72" spans="1:21">
      <c r="A72" s="50" t="s">
        <v>385</v>
      </c>
      <c r="B72" s="32"/>
      <c r="C72" s="33">
        <v>100</v>
      </c>
      <c r="D72" s="33">
        <v>357</v>
      </c>
      <c r="E72" s="33">
        <v>11.2</v>
      </c>
      <c r="F72" s="48">
        <v>12.8</v>
      </c>
      <c r="G72" s="48">
        <v>3.3</v>
      </c>
      <c r="H72" s="33">
        <v>2</v>
      </c>
      <c r="I72" s="48">
        <v>69.099999999999994</v>
      </c>
      <c r="J72" s="32"/>
      <c r="K72" s="33">
        <v>0.22</v>
      </c>
      <c r="L72" s="33">
        <v>0.15</v>
      </c>
      <c r="M72" s="33">
        <v>2</v>
      </c>
      <c r="N72" s="33">
        <v>2.08</v>
      </c>
      <c r="O72" s="33">
        <v>3.6</v>
      </c>
      <c r="P72" s="33">
        <v>42</v>
      </c>
      <c r="Q72" s="33">
        <v>3.6</v>
      </c>
      <c r="R72" s="33" t="s">
        <v>315</v>
      </c>
      <c r="S72" s="32"/>
      <c r="T72" s="33">
        <v>25</v>
      </c>
      <c r="U72" s="49"/>
    </row>
    <row r="73" spans="1:21">
      <c r="A73" s="50" t="s">
        <v>386</v>
      </c>
      <c r="B73" s="33" t="s">
        <v>1618</v>
      </c>
      <c r="C73" s="33">
        <v>100</v>
      </c>
      <c r="D73" s="33">
        <v>399</v>
      </c>
      <c r="E73" s="33">
        <v>24.8</v>
      </c>
      <c r="F73" s="48">
        <v>7.9</v>
      </c>
      <c r="G73" s="48">
        <v>22.9</v>
      </c>
      <c r="H73" s="33">
        <v>2</v>
      </c>
      <c r="I73" s="48">
        <v>40.4</v>
      </c>
      <c r="J73" s="32"/>
      <c r="K73" s="33">
        <v>0.11</v>
      </c>
      <c r="L73" s="33">
        <v>0.05</v>
      </c>
      <c r="M73" s="32"/>
      <c r="N73" s="32"/>
      <c r="O73" s="33">
        <v>572.5</v>
      </c>
      <c r="P73" s="33">
        <v>46</v>
      </c>
      <c r="Q73" s="33">
        <v>2.2999999999999998</v>
      </c>
      <c r="R73" s="33" t="s">
        <v>315</v>
      </c>
      <c r="S73" s="32"/>
      <c r="T73" s="33">
        <v>25</v>
      </c>
      <c r="U73" s="49"/>
    </row>
    <row r="74" spans="1:21">
      <c r="A74" s="50" t="s">
        <v>387</v>
      </c>
      <c r="B74" s="33" t="s">
        <v>1638</v>
      </c>
      <c r="C74" s="33">
        <v>100</v>
      </c>
      <c r="D74" s="33">
        <v>385</v>
      </c>
      <c r="E74" s="33">
        <v>11</v>
      </c>
      <c r="F74" s="48">
        <v>12.2</v>
      </c>
      <c r="G74" s="48">
        <v>7.2</v>
      </c>
      <c r="H74" s="32"/>
      <c r="I74" s="48">
        <v>67.8</v>
      </c>
      <c r="J74" s="33">
        <v>3</v>
      </c>
      <c r="K74" s="33">
        <v>0.39</v>
      </c>
      <c r="L74" s="33">
        <v>0.04</v>
      </c>
      <c r="M74" s="33">
        <v>3.9</v>
      </c>
      <c r="N74" s="33">
        <v>7.96</v>
      </c>
      <c r="O74" s="33">
        <v>2.2000000000000002</v>
      </c>
      <c r="P74" s="33">
        <v>27</v>
      </c>
      <c r="Q74" s="33">
        <v>13.6</v>
      </c>
      <c r="R74" s="33" t="s">
        <v>315</v>
      </c>
      <c r="S74" s="32"/>
      <c r="T74" s="33">
        <v>25</v>
      </c>
      <c r="U74" s="49"/>
    </row>
    <row r="75" spans="1:21">
      <c r="A75" s="50" t="s">
        <v>388</v>
      </c>
      <c r="B75" s="32"/>
      <c r="C75" s="33">
        <v>100</v>
      </c>
      <c r="D75" s="33">
        <v>386</v>
      </c>
      <c r="E75" s="33">
        <v>21.8</v>
      </c>
      <c r="F75" s="48">
        <v>6.9</v>
      </c>
      <c r="G75" s="48">
        <v>17.600000000000001</v>
      </c>
      <c r="H75" s="33">
        <v>0.9</v>
      </c>
      <c r="I75" s="48">
        <v>50.1</v>
      </c>
      <c r="J75" s="33">
        <v>0</v>
      </c>
      <c r="K75" s="33">
        <v>0.01</v>
      </c>
      <c r="L75" s="33">
        <v>7.0000000000000007E-2</v>
      </c>
      <c r="M75" s="33">
        <v>0.7</v>
      </c>
      <c r="N75" s="33">
        <v>3.19</v>
      </c>
      <c r="O75" s="33">
        <v>585.20000000000005</v>
      </c>
      <c r="P75" s="33">
        <v>6</v>
      </c>
      <c r="Q75" s="33">
        <v>1</v>
      </c>
      <c r="R75" s="33" t="s">
        <v>315</v>
      </c>
      <c r="S75" s="32"/>
      <c r="T75" s="33">
        <v>25</v>
      </c>
      <c r="U75" s="49"/>
    </row>
    <row r="76" spans="1:21">
      <c r="A76" s="50" t="s">
        <v>389</v>
      </c>
      <c r="B76" s="32"/>
      <c r="C76" s="33">
        <v>100</v>
      </c>
      <c r="D76" s="33">
        <v>336</v>
      </c>
      <c r="E76" s="33">
        <v>11.7</v>
      </c>
      <c r="F76" s="48">
        <v>8.8000000000000007</v>
      </c>
      <c r="G76" s="48">
        <v>3.8</v>
      </c>
      <c r="H76" s="33">
        <v>8</v>
      </c>
      <c r="I76" s="48">
        <v>66.7</v>
      </c>
      <c r="J76" s="32"/>
      <c r="K76" s="33">
        <v>0.27</v>
      </c>
      <c r="L76" s="33">
        <v>7.0000000000000007E-2</v>
      </c>
      <c r="M76" s="33">
        <v>2.2999999999999998</v>
      </c>
      <c r="N76" s="33">
        <v>8.23</v>
      </c>
      <c r="O76" s="33">
        <v>2.5</v>
      </c>
      <c r="P76" s="33">
        <v>10</v>
      </c>
      <c r="Q76" s="33">
        <v>2.2000000000000002</v>
      </c>
      <c r="R76" s="33" t="s">
        <v>315</v>
      </c>
      <c r="S76" s="32"/>
      <c r="T76" s="33">
        <v>25</v>
      </c>
      <c r="U76" s="49"/>
    </row>
    <row r="77" spans="1:21">
      <c r="A77" s="50" t="s">
        <v>390</v>
      </c>
      <c r="B77" s="32"/>
      <c r="C77" s="33">
        <v>100</v>
      </c>
      <c r="D77" s="33">
        <v>335</v>
      </c>
      <c r="E77" s="33">
        <v>13.2</v>
      </c>
      <c r="F77" s="48">
        <v>8.6999999999999993</v>
      </c>
      <c r="G77" s="48">
        <v>3.8</v>
      </c>
      <c r="H77" s="33">
        <v>6.4</v>
      </c>
      <c r="I77" s="48">
        <v>66.599999999999994</v>
      </c>
      <c r="J77" s="33">
        <v>17</v>
      </c>
      <c r="K77" s="33">
        <v>0.21</v>
      </c>
      <c r="L77" s="33">
        <v>0.13</v>
      </c>
      <c r="M77" s="33">
        <v>2.5</v>
      </c>
      <c r="N77" s="33">
        <v>3.89</v>
      </c>
      <c r="O77" s="33">
        <v>3.3</v>
      </c>
      <c r="P77" s="33">
        <v>14</v>
      </c>
      <c r="Q77" s="33">
        <v>2.4</v>
      </c>
      <c r="R77" s="33" t="s">
        <v>315</v>
      </c>
      <c r="S77" s="32"/>
      <c r="T77" s="33">
        <v>25</v>
      </c>
      <c r="U77" s="49"/>
    </row>
    <row r="78" spans="1:21">
      <c r="A78" s="50" t="s">
        <v>391</v>
      </c>
      <c r="B78" s="32"/>
      <c r="C78" s="33">
        <v>46</v>
      </c>
      <c r="D78" s="33">
        <v>106</v>
      </c>
      <c r="E78" s="33">
        <v>71.3</v>
      </c>
      <c r="F78" s="48">
        <v>4</v>
      </c>
      <c r="G78" s="48">
        <v>1.2</v>
      </c>
      <c r="H78" s="33">
        <v>2.9</v>
      </c>
      <c r="I78" s="48">
        <v>19.899999999999999</v>
      </c>
      <c r="J78" s="32"/>
      <c r="K78" s="33">
        <v>0.16</v>
      </c>
      <c r="L78" s="33">
        <v>0.11</v>
      </c>
      <c r="M78" s="33">
        <v>1.8</v>
      </c>
      <c r="N78" s="33">
        <v>0.46</v>
      </c>
      <c r="O78" s="33">
        <v>1.1000000000000001</v>
      </c>
      <c r="P78" s="32"/>
      <c r="Q78" s="33">
        <v>1.1000000000000001</v>
      </c>
      <c r="R78" s="33" t="s">
        <v>315</v>
      </c>
      <c r="S78" s="32"/>
      <c r="T78" s="33">
        <v>25</v>
      </c>
      <c r="U78" s="49"/>
    </row>
    <row r="79" spans="1:21">
      <c r="A79" s="50" t="s">
        <v>392</v>
      </c>
      <c r="B79" s="33" t="s">
        <v>1639</v>
      </c>
      <c r="C79" s="33">
        <v>100</v>
      </c>
      <c r="D79" s="33">
        <v>4</v>
      </c>
      <c r="E79" s="33">
        <v>93</v>
      </c>
      <c r="F79" s="48">
        <v>1.1000000000000001</v>
      </c>
      <c r="G79" s="48">
        <v>0.2</v>
      </c>
      <c r="H79" s="33">
        <v>4.9000000000000004</v>
      </c>
      <c r="I79" s="48">
        <v>0</v>
      </c>
      <c r="J79" s="33">
        <v>7</v>
      </c>
      <c r="K79" s="32"/>
      <c r="L79" s="32"/>
      <c r="M79" s="32"/>
      <c r="N79" s="32"/>
      <c r="O79" s="33">
        <v>170.9</v>
      </c>
      <c r="P79" s="33">
        <v>6</v>
      </c>
      <c r="Q79" s="33">
        <v>0.1</v>
      </c>
      <c r="R79" s="33" t="s">
        <v>315</v>
      </c>
      <c r="S79" s="32"/>
      <c r="T79" s="33">
        <v>25</v>
      </c>
      <c r="U79" s="49"/>
    </row>
    <row r="80" spans="1:21">
      <c r="A80" s="50" t="s">
        <v>393</v>
      </c>
      <c r="B80" s="33" t="s">
        <v>1618</v>
      </c>
      <c r="C80" s="33">
        <v>100</v>
      </c>
      <c r="D80" s="33">
        <v>340</v>
      </c>
      <c r="E80" s="33">
        <v>13.4</v>
      </c>
      <c r="F80" s="48">
        <v>8</v>
      </c>
      <c r="G80" s="48">
        <v>4.5</v>
      </c>
      <c r="H80" s="33">
        <v>6.2</v>
      </c>
      <c r="I80" s="48">
        <v>66.900000000000006</v>
      </c>
      <c r="J80" s="32"/>
      <c r="K80" s="33">
        <v>0.34</v>
      </c>
      <c r="L80" s="33">
        <v>0.06</v>
      </c>
      <c r="M80" s="33">
        <v>3</v>
      </c>
      <c r="N80" s="33">
        <v>6.89</v>
      </c>
      <c r="O80" s="33">
        <v>0.5</v>
      </c>
      <c r="P80" s="33">
        <v>12</v>
      </c>
      <c r="Q80" s="33">
        <v>1.3</v>
      </c>
      <c r="R80" s="33" t="s">
        <v>315</v>
      </c>
      <c r="S80" s="32"/>
      <c r="T80" s="33">
        <v>25</v>
      </c>
      <c r="U80" s="49"/>
    </row>
    <row r="81" spans="1:21">
      <c r="A81" s="50" t="s">
        <v>394</v>
      </c>
      <c r="B81" s="32"/>
      <c r="C81" s="33">
        <v>100</v>
      </c>
      <c r="D81" s="33">
        <v>340</v>
      </c>
      <c r="E81" s="33">
        <v>12.1</v>
      </c>
      <c r="F81" s="48">
        <v>8.1</v>
      </c>
      <c r="G81" s="48">
        <v>3.3</v>
      </c>
      <c r="H81" s="33">
        <v>5.6</v>
      </c>
      <c r="I81" s="48">
        <v>69.599999999999994</v>
      </c>
      <c r="J81" s="33">
        <v>7</v>
      </c>
      <c r="K81" s="33">
        <v>0.26</v>
      </c>
      <c r="L81" s="33">
        <v>0.09</v>
      </c>
      <c r="M81" s="33">
        <v>2.2999999999999998</v>
      </c>
      <c r="N81" s="33">
        <v>3.8</v>
      </c>
      <c r="O81" s="33">
        <v>2.2999999999999998</v>
      </c>
      <c r="P81" s="33">
        <v>22</v>
      </c>
      <c r="Q81" s="33">
        <v>3.2</v>
      </c>
      <c r="R81" s="33" t="s">
        <v>315</v>
      </c>
      <c r="S81" s="32"/>
      <c r="T81" s="33">
        <v>25</v>
      </c>
      <c r="U81" s="49"/>
    </row>
    <row r="82" spans="1:21">
      <c r="A82" s="50" t="s">
        <v>395</v>
      </c>
      <c r="B82" s="33" t="s">
        <v>1618</v>
      </c>
      <c r="C82" s="33">
        <v>100</v>
      </c>
      <c r="D82" s="33">
        <v>339</v>
      </c>
      <c r="E82" s="33">
        <v>13.6</v>
      </c>
      <c r="F82" s="48">
        <v>11.8</v>
      </c>
      <c r="G82" s="48">
        <v>4.9000000000000004</v>
      </c>
      <c r="H82" s="33">
        <v>6.4</v>
      </c>
      <c r="I82" s="48">
        <v>61.9</v>
      </c>
      <c r="J82" s="32"/>
      <c r="K82" s="33">
        <v>0.21</v>
      </c>
      <c r="L82" s="33">
        <v>0.04</v>
      </c>
      <c r="M82" s="33">
        <v>3.1</v>
      </c>
      <c r="N82" s="33">
        <v>7.13</v>
      </c>
      <c r="O82" s="33">
        <v>1.6</v>
      </c>
      <c r="P82" s="33">
        <v>18</v>
      </c>
      <c r="Q82" s="33">
        <v>3.4</v>
      </c>
      <c r="R82" s="33" t="s">
        <v>315</v>
      </c>
      <c r="S82" s="32"/>
      <c r="T82" s="33">
        <v>25</v>
      </c>
      <c r="U82" s="49"/>
    </row>
    <row r="83" spans="1:21">
      <c r="A83" s="50" t="s">
        <v>396</v>
      </c>
      <c r="B83" s="32"/>
      <c r="C83" s="33">
        <v>100</v>
      </c>
      <c r="D83" s="33">
        <v>347</v>
      </c>
      <c r="E83" s="33">
        <v>12.8</v>
      </c>
      <c r="F83" s="48">
        <v>7.9</v>
      </c>
      <c r="G83" s="48">
        <v>3</v>
      </c>
      <c r="H83" s="33">
        <v>3.6</v>
      </c>
      <c r="I83" s="48">
        <v>72</v>
      </c>
      <c r="J83" s="33">
        <v>0</v>
      </c>
      <c r="K83" s="33">
        <v>0.1</v>
      </c>
      <c r="L83" s="33">
        <v>0.08</v>
      </c>
      <c r="M83" s="33">
        <v>1.2</v>
      </c>
      <c r="N83" s="33">
        <v>0.56999999999999995</v>
      </c>
      <c r="O83" s="33">
        <v>1.7</v>
      </c>
      <c r="P83" s="33">
        <v>49</v>
      </c>
      <c r="Q83" s="33">
        <v>2.4</v>
      </c>
      <c r="R83" s="33" t="s">
        <v>315</v>
      </c>
      <c r="S83" s="32"/>
      <c r="T83" s="33">
        <v>25</v>
      </c>
      <c r="U83" s="49"/>
    </row>
    <row r="84" spans="1:21">
      <c r="A84" s="50" t="s">
        <v>397</v>
      </c>
      <c r="B84" s="33" t="s">
        <v>1618</v>
      </c>
      <c r="C84" s="33">
        <v>100</v>
      </c>
      <c r="D84" s="33">
        <v>390</v>
      </c>
      <c r="E84" s="33">
        <v>6.3</v>
      </c>
      <c r="F84" s="48">
        <v>7.2</v>
      </c>
      <c r="G84" s="48">
        <v>3.7</v>
      </c>
      <c r="H84" s="33">
        <v>0.4</v>
      </c>
      <c r="I84" s="48">
        <v>81.900000000000006</v>
      </c>
      <c r="J84" s="32"/>
      <c r="K84" s="33">
        <v>0.02</v>
      </c>
      <c r="L84" s="33">
        <v>0.03</v>
      </c>
      <c r="M84" s="33">
        <v>2.2000000000000002</v>
      </c>
      <c r="N84" s="33">
        <v>0.08</v>
      </c>
      <c r="O84" s="33">
        <v>1.7</v>
      </c>
      <c r="P84" s="33">
        <v>11</v>
      </c>
      <c r="Q84" s="33">
        <v>9</v>
      </c>
      <c r="R84" s="33" t="s">
        <v>315</v>
      </c>
      <c r="S84" s="32"/>
      <c r="T84" s="33">
        <v>25</v>
      </c>
      <c r="U84" s="49"/>
    </row>
    <row r="85" spans="1:21">
      <c r="A85" s="50" t="s">
        <v>398</v>
      </c>
      <c r="B85" s="33" t="s">
        <v>1640</v>
      </c>
      <c r="C85" s="33">
        <v>100</v>
      </c>
      <c r="D85" s="33">
        <v>257</v>
      </c>
      <c r="E85" s="33">
        <v>49.3</v>
      </c>
      <c r="F85" s="48">
        <v>4.0999999999999996</v>
      </c>
      <c r="G85" s="48">
        <v>13.1</v>
      </c>
      <c r="H85" s="33">
        <v>1.8</v>
      </c>
      <c r="I85" s="48">
        <v>30.7</v>
      </c>
      <c r="J85" s="32"/>
      <c r="K85" s="33">
        <v>0.05</v>
      </c>
      <c r="L85" s="33">
        <v>0.15</v>
      </c>
      <c r="M85" s="33">
        <v>1.9</v>
      </c>
      <c r="N85" s="33">
        <v>2.68</v>
      </c>
      <c r="O85" s="33">
        <v>8.9</v>
      </c>
      <c r="P85" s="33">
        <v>71</v>
      </c>
      <c r="Q85" s="33">
        <v>13.9</v>
      </c>
      <c r="R85" s="33" t="s">
        <v>315</v>
      </c>
      <c r="S85" s="32"/>
      <c r="T85" s="33">
        <v>25</v>
      </c>
      <c r="U85" s="49"/>
    </row>
    <row r="86" spans="1:21">
      <c r="A86" s="50" t="s">
        <v>399</v>
      </c>
      <c r="B86" s="33" t="s">
        <v>1641</v>
      </c>
      <c r="C86" s="33">
        <v>100</v>
      </c>
      <c r="D86" s="33">
        <v>326</v>
      </c>
      <c r="E86" s="33">
        <v>9.9</v>
      </c>
      <c r="F86" s="48">
        <v>25.3</v>
      </c>
      <c r="G86" s="48">
        <v>0.4</v>
      </c>
      <c r="H86" s="33">
        <v>6.5</v>
      </c>
      <c r="I86" s="48">
        <v>55.4</v>
      </c>
      <c r="J86" s="33">
        <v>5</v>
      </c>
      <c r="K86" s="33">
        <v>0.26</v>
      </c>
      <c r="L86" s="33">
        <v>0.45</v>
      </c>
      <c r="M86" s="33">
        <v>2.6</v>
      </c>
      <c r="N86" s="33">
        <v>1.86</v>
      </c>
      <c r="O86" s="33">
        <v>2.2999999999999998</v>
      </c>
      <c r="P86" s="33">
        <v>137</v>
      </c>
      <c r="Q86" s="33">
        <v>19.2</v>
      </c>
      <c r="R86" s="33" t="s">
        <v>400</v>
      </c>
      <c r="S86" s="32"/>
      <c r="T86" s="33">
        <v>5</v>
      </c>
      <c r="U86" s="49"/>
    </row>
    <row r="87" spans="1:21">
      <c r="A87" s="50" t="s">
        <v>401</v>
      </c>
      <c r="B87" s="33" t="s">
        <v>1627</v>
      </c>
      <c r="C87" s="33">
        <v>100</v>
      </c>
      <c r="D87" s="33">
        <v>256</v>
      </c>
      <c r="E87" s="33">
        <v>19.399999999999999</v>
      </c>
      <c r="F87" s="48">
        <v>19</v>
      </c>
      <c r="G87" s="48">
        <v>1.3</v>
      </c>
      <c r="H87" s="33">
        <v>13.4</v>
      </c>
      <c r="I87" s="48">
        <v>42.2</v>
      </c>
      <c r="J87" s="32"/>
      <c r="K87" s="33">
        <v>0.33</v>
      </c>
      <c r="L87" s="33">
        <v>0.11</v>
      </c>
      <c r="M87" s="33">
        <v>1.2</v>
      </c>
      <c r="N87" s="33">
        <v>0.89</v>
      </c>
      <c r="O87" s="33">
        <v>1</v>
      </c>
      <c r="P87" s="33">
        <v>68</v>
      </c>
      <c r="Q87" s="33">
        <v>4</v>
      </c>
      <c r="R87" s="33" t="s">
        <v>400</v>
      </c>
      <c r="S87" s="32"/>
      <c r="T87" s="33">
        <v>5</v>
      </c>
      <c r="U87" s="49"/>
    </row>
    <row r="88" spans="1:21">
      <c r="A88" s="50" t="s">
        <v>402</v>
      </c>
      <c r="B88" s="32"/>
      <c r="C88" s="33">
        <v>100</v>
      </c>
      <c r="D88" s="33">
        <v>304</v>
      </c>
      <c r="E88" s="33">
        <v>11.5</v>
      </c>
      <c r="F88" s="48">
        <v>24.6</v>
      </c>
      <c r="G88" s="48">
        <v>1.1000000000000001</v>
      </c>
      <c r="H88" s="33">
        <v>10.9</v>
      </c>
      <c r="I88" s="48">
        <v>49</v>
      </c>
      <c r="J88" s="33">
        <v>8</v>
      </c>
      <c r="K88" s="33">
        <v>0.13</v>
      </c>
      <c r="L88" s="33">
        <v>0.23</v>
      </c>
      <c r="M88" s="33">
        <v>2.2000000000000002</v>
      </c>
      <c r="N88" s="33">
        <v>4.9000000000000004</v>
      </c>
      <c r="O88" s="33">
        <v>21.2</v>
      </c>
      <c r="P88" s="33">
        <v>49</v>
      </c>
      <c r="Q88" s="33">
        <v>2.9</v>
      </c>
      <c r="R88" s="33" t="s">
        <v>400</v>
      </c>
      <c r="S88" s="32"/>
      <c r="T88" s="33">
        <v>5</v>
      </c>
      <c r="U88" s="49"/>
    </row>
    <row r="89" spans="1:21">
      <c r="A89" s="50" t="s">
        <v>403</v>
      </c>
      <c r="B89" s="32"/>
      <c r="C89" s="33">
        <v>93</v>
      </c>
      <c r="D89" s="33">
        <v>342</v>
      </c>
      <c r="E89" s="33">
        <v>11.3</v>
      </c>
      <c r="F89" s="48">
        <v>25.4</v>
      </c>
      <c r="G89" s="48">
        <v>1.6</v>
      </c>
      <c r="H89" s="33">
        <v>2.5</v>
      </c>
      <c r="I89" s="48">
        <v>56.4</v>
      </c>
      <c r="J89" s="33">
        <v>50</v>
      </c>
      <c r="K89" s="33">
        <v>0.2</v>
      </c>
      <c r="L89" s="33">
        <v>0.2</v>
      </c>
      <c r="M89" s="33">
        <v>2.5</v>
      </c>
      <c r="N89" s="33">
        <v>6.68</v>
      </c>
      <c r="O89" s="33">
        <v>2.2000000000000002</v>
      </c>
      <c r="P89" s="33">
        <v>54</v>
      </c>
      <c r="Q89" s="33">
        <v>2.5</v>
      </c>
      <c r="R89" s="33" t="s">
        <v>400</v>
      </c>
      <c r="S89" s="32"/>
      <c r="T89" s="33">
        <v>5</v>
      </c>
      <c r="U89" s="49"/>
    </row>
    <row r="90" spans="1:21">
      <c r="A90" s="50" t="s">
        <v>404</v>
      </c>
      <c r="B90" s="32"/>
      <c r="C90" s="33">
        <v>100</v>
      </c>
      <c r="D90" s="33">
        <v>99</v>
      </c>
      <c r="E90" s="33">
        <v>77.900000000000006</v>
      </c>
      <c r="F90" s="48">
        <v>10.199999999999999</v>
      </c>
      <c r="G90" s="48">
        <v>4.5999999999999996</v>
      </c>
      <c r="H90" s="33">
        <v>0.4</v>
      </c>
      <c r="I90" s="48">
        <v>4.0999999999999996</v>
      </c>
      <c r="J90" s="32"/>
      <c r="K90" s="33">
        <v>0.02</v>
      </c>
      <c r="L90" s="33">
        <v>0.11</v>
      </c>
      <c r="M90" s="33">
        <v>0.1</v>
      </c>
      <c r="N90" s="32"/>
      <c r="O90" s="33">
        <v>33.799999999999997</v>
      </c>
      <c r="P90" s="33">
        <v>720</v>
      </c>
      <c r="Q90" s="33">
        <v>4.2</v>
      </c>
      <c r="R90" s="33" t="s">
        <v>400</v>
      </c>
      <c r="S90" s="32"/>
      <c r="T90" s="33">
        <v>5</v>
      </c>
      <c r="U90" s="49"/>
    </row>
    <row r="91" spans="1:21">
      <c r="A91" s="50" t="s">
        <v>405</v>
      </c>
      <c r="B91" s="33" t="s">
        <v>1642</v>
      </c>
      <c r="C91" s="33">
        <v>100</v>
      </c>
      <c r="D91" s="33">
        <v>310</v>
      </c>
      <c r="E91" s="33">
        <v>11.5</v>
      </c>
      <c r="F91" s="48">
        <v>42.6</v>
      </c>
      <c r="G91" s="48">
        <v>2.1</v>
      </c>
      <c r="H91" s="33">
        <v>7.6</v>
      </c>
      <c r="I91" s="48">
        <v>30.2</v>
      </c>
      <c r="J91" s="32"/>
      <c r="K91" s="33">
        <v>0.49</v>
      </c>
      <c r="L91" s="33">
        <v>0.2</v>
      </c>
      <c r="M91" s="33">
        <v>2.5</v>
      </c>
      <c r="N91" s="33">
        <v>5.81</v>
      </c>
      <c r="O91" s="33">
        <v>76</v>
      </c>
      <c r="P91" s="33">
        <v>154</v>
      </c>
      <c r="Q91" s="33">
        <v>14.9</v>
      </c>
      <c r="R91" s="33" t="s">
        <v>400</v>
      </c>
      <c r="S91" s="32"/>
      <c r="T91" s="33">
        <v>5</v>
      </c>
      <c r="U91" s="49"/>
    </row>
    <row r="92" spans="1:21">
      <c r="A92" s="50" t="s">
        <v>406</v>
      </c>
      <c r="B92" s="32"/>
      <c r="C92" s="33">
        <v>100</v>
      </c>
      <c r="D92" s="33">
        <v>81</v>
      </c>
      <c r="E92" s="33">
        <v>82.8</v>
      </c>
      <c r="F92" s="48">
        <v>8.1</v>
      </c>
      <c r="G92" s="48">
        <v>3.7</v>
      </c>
      <c r="H92" s="33">
        <v>0.4</v>
      </c>
      <c r="I92" s="48">
        <v>3.8</v>
      </c>
      <c r="J92" s="32"/>
      <c r="K92" s="33">
        <v>0.04</v>
      </c>
      <c r="L92" s="33">
        <v>0.03</v>
      </c>
      <c r="M92" s="33">
        <v>0.2</v>
      </c>
      <c r="N92" s="33">
        <v>2.71</v>
      </c>
      <c r="O92" s="33">
        <v>7.2</v>
      </c>
      <c r="P92" s="33">
        <v>164</v>
      </c>
      <c r="Q92" s="33">
        <v>1.9</v>
      </c>
      <c r="R92" s="33" t="s">
        <v>400</v>
      </c>
      <c r="S92" s="32"/>
      <c r="T92" s="33">
        <v>25</v>
      </c>
      <c r="U92" s="49"/>
    </row>
    <row r="93" spans="1:21">
      <c r="A93" s="50" t="s">
        <v>407</v>
      </c>
      <c r="B93" s="32"/>
      <c r="C93" s="33">
        <v>100</v>
      </c>
      <c r="D93" s="33">
        <v>49</v>
      </c>
      <c r="E93" s="33">
        <v>89.2</v>
      </c>
      <c r="F93" s="48">
        <v>5</v>
      </c>
      <c r="G93" s="48">
        <v>1.9</v>
      </c>
      <c r="H93" s="33">
        <v>0.4</v>
      </c>
      <c r="I93" s="48">
        <v>2.9</v>
      </c>
      <c r="J93" s="32"/>
      <c r="K93" s="33">
        <v>0.06</v>
      </c>
      <c r="L93" s="33">
        <v>0.03</v>
      </c>
      <c r="M93" s="33">
        <v>0.3</v>
      </c>
      <c r="N93" s="33">
        <v>3.26</v>
      </c>
      <c r="O93" s="33">
        <v>6.4</v>
      </c>
      <c r="P93" s="33">
        <v>17</v>
      </c>
      <c r="Q93" s="33">
        <v>0.8</v>
      </c>
      <c r="R93" s="33" t="s">
        <v>400</v>
      </c>
      <c r="S93" s="32"/>
      <c r="T93" s="33">
        <v>25</v>
      </c>
      <c r="U93" s="49"/>
    </row>
    <row r="94" spans="1:21">
      <c r="A94" s="50" t="s">
        <v>408</v>
      </c>
      <c r="B94" s="32"/>
      <c r="C94" s="33">
        <v>100</v>
      </c>
      <c r="D94" s="33">
        <v>57</v>
      </c>
      <c r="E94" s="33">
        <v>87.9</v>
      </c>
      <c r="F94" s="48">
        <v>6.2</v>
      </c>
      <c r="G94" s="48">
        <v>2.5</v>
      </c>
      <c r="H94" s="33">
        <v>0.2</v>
      </c>
      <c r="I94" s="48">
        <v>2.4</v>
      </c>
      <c r="J94" s="32"/>
      <c r="K94" s="33">
        <v>0.02</v>
      </c>
      <c r="L94" s="33">
        <v>0.04</v>
      </c>
      <c r="M94" s="33">
        <v>1</v>
      </c>
      <c r="N94" s="33">
        <v>3.62</v>
      </c>
      <c r="O94" s="33">
        <v>3.1</v>
      </c>
      <c r="P94" s="33">
        <v>116</v>
      </c>
      <c r="Q94" s="33">
        <v>1.5</v>
      </c>
      <c r="R94" s="33" t="s">
        <v>400</v>
      </c>
      <c r="S94" s="32"/>
      <c r="T94" s="33">
        <v>5</v>
      </c>
      <c r="U94" s="49"/>
    </row>
    <row r="95" spans="1:21">
      <c r="A95" s="50" t="s">
        <v>409</v>
      </c>
      <c r="B95" s="32"/>
      <c r="C95" s="33">
        <v>100</v>
      </c>
      <c r="D95" s="33">
        <v>98</v>
      </c>
      <c r="E95" s="33">
        <v>80</v>
      </c>
      <c r="F95" s="48">
        <v>12.2</v>
      </c>
      <c r="G95" s="48">
        <v>4.8</v>
      </c>
      <c r="H95" s="33">
        <v>0.5</v>
      </c>
      <c r="I95" s="48">
        <v>1.5</v>
      </c>
      <c r="J95" s="33">
        <v>5</v>
      </c>
      <c r="K95" s="33">
        <v>0.05</v>
      </c>
      <c r="L95" s="33">
        <v>0.03</v>
      </c>
      <c r="M95" s="33">
        <v>0.3</v>
      </c>
      <c r="N95" s="33">
        <v>6.7</v>
      </c>
      <c r="O95" s="33">
        <v>7.3</v>
      </c>
      <c r="P95" s="33">
        <v>138</v>
      </c>
      <c r="Q95" s="33">
        <v>2.5</v>
      </c>
      <c r="R95" s="33" t="s">
        <v>400</v>
      </c>
      <c r="S95" s="32"/>
      <c r="T95" s="33">
        <v>25</v>
      </c>
      <c r="U95" s="49"/>
    </row>
    <row r="96" spans="1:21">
      <c r="A96" s="50" t="s">
        <v>410</v>
      </c>
      <c r="B96" s="32"/>
      <c r="C96" s="33">
        <v>100</v>
      </c>
      <c r="D96" s="33">
        <v>140</v>
      </c>
      <c r="E96" s="33">
        <v>65.2</v>
      </c>
      <c r="F96" s="48">
        <v>16.2</v>
      </c>
      <c r="G96" s="48">
        <v>3.6</v>
      </c>
      <c r="H96" s="33">
        <v>0.8</v>
      </c>
      <c r="I96" s="48">
        <v>10.7</v>
      </c>
      <c r="J96" s="32"/>
      <c r="K96" s="33">
        <v>0.03</v>
      </c>
      <c r="L96" s="33">
        <v>7.0000000000000007E-2</v>
      </c>
      <c r="M96" s="33">
        <v>0.3</v>
      </c>
      <c r="N96" s="32"/>
      <c r="O96" s="33">
        <v>76.5</v>
      </c>
      <c r="P96" s="33">
        <v>308</v>
      </c>
      <c r="Q96" s="33">
        <v>4.9000000000000004</v>
      </c>
      <c r="R96" s="33" t="s">
        <v>400</v>
      </c>
      <c r="S96" s="32"/>
      <c r="T96" s="33">
        <v>5</v>
      </c>
      <c r="U96" s="49"/>
    </row>
    <row r="97" spans="1:21">
      <c r="A97" s="50" t="s">
        <v>411</v>
      </c>
      <c r="B97" s="32"/>
      <c r="C97" s="33">
        <v>100</v>
      </c>
      <c r="D97" s="33">
        <v>147</v>
      </c>
      <c r="E97" s="33">
        <v>69.2</v>
      </c>
      <c r="F97" s="48">
        <v>15.8</v>
      </c>
      <c r="G97" s="48">
        <v>7.8</v>
      </c>
      <c r="H97" s="33">
        <v>1.8</v>
      </c>
      <c r="I97" s="48">
        <v>3.3</v>
      </c>
      <c r="J97" s="33">
        <v>7</v>
      </c>
      <c r="K97" s="33">
        <v>0.04</v>
      </c>
      <c r="L97" s="33">
        <v>0.03</v>
      </c>
      <c r="M97" s="33">
        <v>0.3</v>
      </c>
      <c r="N97" s="33">
        <v>15.85</v>
      </c>
      <c r="O97" s="33">
        <v>4.0999999999999996</v>
      </c>
      <c r="P97" s="33">
        <v>299</v>
      </c>
      <c r="Q97" s="33">
        <v>5.7</v>
      </c>
      <c r="R97" s="33" t="s">
        <v>400</v>
      </c>
      <c r="S97" s="32"/>
      <c r="T97" s="33">
        <v>5</v>
      </c>
      <c r="U97" s="49"/>
    </row>
    <row r="98" spans="1:21">
      <c r="A98" s="50" t="s">
        <v>412</v>
      </c>
      <c r="B98" s="33" t="s">
        <v>1618</v>
      </c>
      <c r="C98" s="33">
        <v>100</v>
      </c>
      <c r="D98" s="33">
        <v>136</v>
      </c>
      <c r="E98" s="33">
        <v>71.3</v>
      </c>
      <c r="F98" s="48">
        <v>13.4</v>
      </c>
      <c r="G98" s="48">
        <v>7.1</v>
      </c>
      <c r="H98" s="33">
        <v>0.3</v>
      </c>
      <c r="I98" s="48">
        <v>4.7</v>
      </c>
      <c r="J98" s="32"/>
      <c r="K98" s="33">
        <v>0.01</v>
      </c>
      <c r="L98" s="33">
        <v>0.01</v>
      </c>
      <c r="M98" s="33">
        <v>0.3</v>
      </c>
      <c r="N98" s="33">
        <v>0.62</v>
      </c>
      <c r="O98" s="33">
        <v>633.6</v>
      </c>
      <c r="P98" s="33">
        <v>179</v>
      </c>
      <c r="Q98" s="33">
        <v>3</v>
      </c>
      <c r="R98" s="33" t="s">
        <v>400</v>
      </c>
      <c r="S98" s="32"/>
      <c r="T98" s="33">
        <v>5</v>
      </c>
      <c r="U98" s="49"/>
    </row>
    <row r="99" spans="1:21">
      <c r="A99" s="50" t="s">
        <v>413</v>
      </c>
      <c r="B99" s="33" t="s">
        <v>1643</v>
      </c>
      <c r="C99" s="33">
        <v>100</v>
      </c>
      <c r="D99" s="33">
        <v>158</v>
      </c>
      <c r="E99" s="33">
        <v>70.2</v>
      </c>
      <c r="F99" s="48">
        <v>14.9</v>
      </c>
      <c r="G99" s="48">
        <v>9.1</v>
      </c>
      <c r="H99" s="32"/>
      <c r="I99" s="48">
        <v>4</v>
      </c>
      <c r="J99" s="32"/>
      <c r="K99" s="33">
        <v>0.02</v>
      </c>
      <c r="L99" s="33">
        <v>0.03</v>
      </c>
      <c r="M99" s="32"/>
      <c r="N99" s="33">
        <v>16.41</v>
      </c>
      <c r="O99" s="33">
        <v>90.3</v>
      </c>
      <c r="P99" s="33">
        <v>413</v>
      </c>
      <c r="Q99" s="33">
        <v>5.9</v>
      </c>
      <c r="R99" s="33" t="s">
        <v>400</v>
      </c>
      <c r="S99" s="32"/>
      <c r="T99" s="33">
        <v>5</v>
      </c>
      <c r="U99" s="49"/>
    </row>
    <row r="100" spans="1:21">
      <c r="A100" s="50" t="s">
        <v>414</v>
      </c>
      <c r="B100" s="33" t="s">
        <v>1644</v>
      </c>
      <c r="C100" s="33">
        <v>100</v>
      </c>
      <c r="D100" s="33">
        <v>174</v>
      </c>
      <c r="E100" s="33">
        <v>61</v>
      </c>
      <c r="F100" s="48">
        <v>17.899999999999999</v>
      </c>
      <c r="G100" s="48">
        <v>9.1</v>
      </c>
      <c r="H100" s="33">
        <v>0.4</v>
      </c>
      <c r="I100" s="48">
        <v>5</v>
      </c>
      <c r="J100" s="32"/>
      <c r="K100" s="33">
        <v>0.03</v>
      </c>
      <c r="L100" s="33">
        <v>7.0000000000000007E-2</v>
      </c>
      <c r="M100" s="32"/>
      <c r="N100" s="33">
        <v>7.39</v>
      </c>
      <c r="O100" s="33">
        <v>372.3</v>
      </c>
      <c r="P100" s="33">
        <v>1019</v>
      </c>
      <c r="Q100" s="33">
        <v>23.3</v>
      </c>
      <c r="R100" s="33" t="s">
        <v>400</v>
      </c>
      <c r="S100" s="32"/>
      <c r="T100" s="33">
        <v>5</v>
      </c>
      <c r="U100" s="49"/>
    </row>
    <row r="101" spans="1:21">
      <c r="A101" s="50" t="s">
        <v>415</v>
      </c>
      <c r="B101" s="33" t="s">
        <v>1618</v>
      </c>
      <c r="C101" s="33">
        <v>100</v>
      </c>
      <c r="D101" s="33">
        <v>153</v>
      </c>
      <c r="E101" s="33">
        <v>67.5</v>
      </c>
      <c r="F101" s="48">
        <v>15.8</v>
      </c>
      <c r="G101" s="48">
        <v>6.2</v>
      </c>
      <c r="H101" s="33">
        <v>0.3</v>
      </c>
      <c r="I101" s="48">
        <v>8.5</v>
      </c>
      <c r="J101" s="33">
        <v>2</v>
      </c>
      <c r="K101" s="33">
        <v>0.03</v>
      </c>
      <c r="L101" s="33">
        <v>0.01</v>
      </c>
      <c r="M101" s="33">
        <v>1</v>
      </c>
      <c r="N101" s="33">
        <v>7.03</v>
      </c>
      <c r="O101" s="33">
        <v>232.7</v>
      </c>
      <c r="P101" s="33">
        <v>173</v>
      </c>
      <c r="Q101" s="33">
        <v>3.9</v>
      </c>
      <c r="R101" s="33" t="s">
        <v>400</v>
      </c>
      <c r="S101" s="32"/>
      <c r="T101" s="33">
        <v>5</v>
      </c>
      <c r="U101" s="49"/>
    </row>
    <row r="102" spans="1:21">
      <c r="A102" s="50" t="s">
        <v>416</v>
      </c>
      <c r="B102" s="33" t="s">
        <v>1618</v>
      </c>
      <c r="C102" s="33">
        <v>100</v>
      </c>
      <c r="D102" s="33">
        <v>401</v>
      </c>
      <c r="E102" s="33">
        <v>1.6</v>
      </c>
      <c r="F102" s="48">
        <v>10</v>
      </c>
      <c r="G102" s="48">
        <v>2.6</v>
      </c>
      <c r="H102" s="32"/>
      <c r="I102" s="48">
        <v>84.3</v>
      </c>
      <c r="J102" s="33">
        <v>42</v>
      </c>
      <c r="K102" s="33">
        <v>0.02</v>
      </c>
      <c r="L102" s="33">
        <v>0.03</v>
      </c>
      <c r="M102" s="33">
        <v>0.4</v>
      </c>
      <c r="N102" s="33">
        <v>5</v>
      </c>
      <c r="O102" s="32"/>
      <c r="P102" s="33">
        <v>175</v>
      </c>
      <c r="Q102" s="33">
        <v>3.3</v>
      </c>
      <c r="R102" s="33" t="s">
        <v>400</v>
      </c>
      <c r="S102" s="32"/>
      <c r="T102" s="33">
        <v>5</v>
      </c>
      <c r="U102" s="49"/>
    </row>
    <row r="103" spans="1:21">
      <c r="A103" s="50" t="s">
        <v>417</v>
      </c>
      <c r="B103" s="33" t="s">
        <v>1637</v>
      </c>
      <c r="C103" s="33">
        <v>100</v>
      </c>
      <c r="D103" s="33">
        <v>200</v>
      </c>
      <c r="E103" s="33">
        <v>59.2</v>
      </c>
      <c r="F103" s="48">
        <v>17.8</v>
      </c>
      <c r="G103" s="48">
        <v>13.9</v>
      </c>
      <c r="H103" s="33">
        <v>4.5</v>
      </c>
      <c r="I103" s="48">
        <v>1</v>
      </c>
      <c r="J103" s="32"/>
      <c r="K103" s="33">
        <v>0.02</v>
      </c>
      <c r="L103" s="33">
        <v>0.04</v>
      </c>
      <c r="M103" s="33">
        <v>0.2</v>
      </c>
      <c r="N103" s="33">
        <v>46.66</v>
      </c>
      <c r="O103" s="33">
        <v>537.20000000000005</v>
      </c>
      <c r="P103" s="33">
        <v>6</v>
      </c>
      <c r="Q103" s="33">
        <v>6.2</v>
      </c>
      <c r="R103" s="33" t="s">
        <v>400</v>
      </c>
      <c r="S103" s="32"/>
      <c r="T103" s="33">
        <v>5</v>
      </c>
      <c r="U103" s="49"/>
    </row>
    <row r="104" spans="1:21">
      <c r="A104" s="50" t="s">
        <v>418</v>
      </c>
      <c r="B104" s="32"/>
      <c r="C104" s="33">
        <v>100</v>
      </c>
      <c r="D104" s="33">
        <v>201</v>
      </c>
      <c r="E104" s="33">
        <v>61.6</v>
      </c>
      <c r="F104" s="48">
        <v>17.899999999999999</v>
      </c>
      <c r="G104" s="48">
        <v>11.6</v>
      </c>
      <c r="H104" s="33">
        <v>1</v>
      </c>
      <c r="I104" s="48">
        <v>6.2</v>
      </c>
      <c r="J104" s="33">
        <v>30</v>
      </c>
      <c r="K104" s="33">
        <v>0.02</v>
      </c>
      <c r="L104" s="33">
        <v>0.04</v>
      </c>
      <c r="M104" s="33">
        <v>0.4</v>
      </c>
      <c r="N104" s="33">
        <v>27.63</v>
      </c>
      <c r="O104" s="32"/>
      <c r="P104" s="33">
        <v>156</v>
      </c>
      <c r="Q104" s="33">
        <v>6.1</v>
      </c>
      <c r="R104" s="33" t="s">
        <v>400</v>
      </c>
      <c r="S104" s="32"/>
      <c r="T104" s="33">
        <v>5</v>
      </c>
      <c r="U104" s="49"/>
    </row>
    <row r="105" spans="1:21">
      <c r="A105" s="50" t="s">
        <v>419</v>
      </c>
      <c r="B105" s="33" t="s">
        <v>1645</v>
      </c>
      <c r="C105" s="33">
        <v>100</v>
      </c>
      <c r="D105" s="33">
        <v>10</v>
      </c>
      <c r="E105" s="33">
        <v>97.8</v>
      </c>
      <c r="F105" s="48">
        <v>1.9</v>
      </c>
      <c r="G105" s="48">
        <v>0.8</v>
      </c>
      <c r="H105" s="32"/>
      <c r="I105" s="48">
        <v>0</v>
      </c>
      <c r="J105" s="33">
        <v>6</v>
      </c>
      <c r="K105" s="33">
        <v>0.04</v>
      </c>
      <c r="L105" s="33">
        <v>0.02</v>
      </c>
      <c r="M105" s="33">
        <v>0.4</v>
      </c>
      <c r="N105" s="33">
        <v>10.46</v>
      </c>
      <c r="O105" s="33">
        <v>2.8</v>
      </c>
      <c r="P105" s="33">
        <v>18</v>
      </c>
      <c r="Q105" s="33">
        <v>0.9</v>
      </c>
      <c r="R105" s="33" t="s">
        <v>400</v>
      </c>
      <c r="S105" s="32"/>
      <c r="T105" s="33">
        <v>50</v>
      </c>
      <c r="U105" s="49"/>
    </row>
    <row r="106" spans="1:21">
      <c r="A106" s="50" t="s">
        <v>420</v>
      </c>
      <c r="B106" s="32"/>
      <c r="C106" s="33">
        <v>100</v>
      </c>
      <c r="D106" s="33">
        <v>409</v>
      </c>
      <c r="E106" s="33">
        <v>16.5</v>
      </c>
      <c r="F106" s="48">
        <v>44.6</v>
      </c>
      <c r="G106" s="48">
        <v>17.399999999999999</v>
      </c>
      <c r="H106" s="33">
        <v>0.2</v>
      </c>
      <c r="I106" s="48">
        <v>18.600000000000001</v>
      </c>
      <c r="J106" s="32"/>
      <c r="K106" s="33">
        <v>0.31</v>
      </c>
      <c r="L106" s="33">
        <v>0.11</v>
      </c>
      <c r="M106" s="33">
        <v>1.5</v>
      </c>
      <c r="N106" s="33">
        <v>20.63</v>
      </c>
      <c r="O106" s="33">
        <v>9.4</v>
      </c>
      <c r="P106" s="33">
        <v>116</v>
      </c>
      <c r="Q106" s="33">
        <v>30.8</v>
      </c>
      <c r="R106" s="33" t="s">
        <v>400</v>
      </c>
      <c r="S106" s="32"/>
      <c r="T106" s="33">
        <v>5</v>
      </c>
      <c r="U106" s="49"/>
    </row>
    <row r="107" spans="1:21">
      <c r="A107" s="50" t="s">
        <v>421</v>
      </c>
      <c r="B107" s="32"/>
      <c r="C107" s="33">
        <v>100</v>
      </c>
      <c r="D107" s="33">
        <v>201</v>
      </c>
      <c r="E107" s="33">
        <v>58.4</v>
      </c>
      <c r="F107" s="48">
        <v>21.5</v>
      </c>
      <c r="G107" s="48">
        <v>10.5</v>
      </c>
      <c r="H107" s="33">
        <v>1.1000000000000001</v>
      </c>
      <c r="I107" s="48">
        <v>5.0999999999999996</v>
      </c>
      <c r="J107" s="33">
        <v>5</v>
      </c>
      <c r="K107" s="33">
        <v>0.04</v>
      </c>
      <c r="L107" s="33">
        <v>0.12</v>
      </c>
      <c r="M107" s="33">
        <v>0.5</v>
      </c>
      <c r="N107" s="33">
        <v>9.76</v>
      </c>
      <c r="O107" s="33">
        <v>20.6</v>
      </c>
      <c r="P107" s="33">
        <v>204</v>
      </c>
      <c r="Q107" s="33">
        <v>9.1</v>
      </c>
      <c r="R107" s="33" t="s">
        <v>400</v>
      </c>
      <c r="S107" s="32"/>
      <c r="T107" s="33">
        <v>5</v>
      </c>
      <c r="U107" s="49"/>
    </row>
    <row r="108" spans="1:21">
      <c r="A108" s="50" t="s">
        <v>422</v>
      </c>
      <c r="B108" s="33" t="s">
        <v>1646</v>
      </c>
      <c r="C108" s="33">
        <v>100</v>
      </c>
      <c r="D108" s="33">
        <v>451</v>
      </c>
      <c r="E108" s="33">
        <v>7.4</v>
      </c>
      <c r="F108" s="48">
        <v>57.8</v>
      </c>
      <c r="G108" s="48">
        <v>22.8</v>
      </c>
      <c r="H108" s="32"/>
      <c r="I108" s="48">
        <v>3.6</v>
      </c>
      <c r="J108" s="32"/>
      <c r="K108" s="33">
        <v>0.3</v>
      </c>
      <c r="L108" s="33">
        <v>0.6</v>
      </c>
      <c r="M108" s="32"/>
      <c r="N108" s="33">
        <v>7.8</v>
      </c>
      <c r="O108" s="33">
        <v>110</v>
      </c>
      <c r="P108" s="33">
        <v>5</v>
      </c>
      <c r="Q108" s="33">
        <v>1.3</v>
      </c>
      <c r="R108" s="33" t="s">
        <v>400</v>
      </c>
      <c r="S108" s="32"/>
      <c r="T108" s="33">
        <v>5</v>
      </c>
      <c r="U108" s="49"/>
    </row>
    <row r="109" spans="1:21">
      <c r="A109" s="50" t="s">
        <v>423</v>
      </c>
      <c r="B109" s="33" t="s">
        <v>1618</v>
      </c>
      <c r="C109" s="33">
        <v>100</v>
      </c>
      <c r="D109" s="33">
        <v>300</v>
      </c>
      <c r="E109" s="33">
        <v>38.200000000000003</v>
      </c>
      <c r="F109" s="48">
        <v>24.2</v>
      </c>
      <c r="G109" s="48">
        <v>17.100000000000001</v>
      </c>
      <c r="H109" s="33">
        <v>2.2000000000000002</v>
      </c>
      <c r="I109" s="48">
        <v>12.3</v>
      </c>
      <c r="J109" s="33">
        <v>3</v>
      </c>
      <c r="K109" s="33">
        <v>0.02</v>
      </c>
      <c r="L109" s="33">
        <v>0.09</v>
      </c>
      <c r="M109" s="33">
        <v>1.8</v>
      </c>
      <c r="N109" s="33">
        <v>17.8</v>
      </c>
      <c r="O109" s="33">
        <v>769.4</v>
      </c>
      <c r="P109" s="33">
        <v>152</v>
      </c>
      <c r="Q109" s="33">
        <v>5</v>
      </c>
      <c r="R109" s="33" t="s">
        <v>400</v>
      </c>
      <c r="S109" s="32"/>
      <c r="T109" s="33">
        <v>5</v>
      </c>
      <c r="U109" s="49"/>
    </row>
    <row r="110" spans="1:21">
      <c r="A110" s="50" t="s">
        <v>424</v>
      </c>
      <c r="B110" s="33" t="s">
        <v>1647</v>
      </c>
      <c r="C110" s="33">
        <v>100</v>
      </c>
      <c r="D110" s="33">
        <v>35</v>
      </c>
      <c r="E110" s="33">
        <v>89.2</v>
      </c>
      <c r="F110" s="48">
        <v>3.2</v>
      </c>
      <c r="G110" s="48">
        <v>0.8</v>
      </c>
      <c r="H110" s="33">
        <v>2.6</v>
      </c>
      <c r="I110" s="48">
        <v>3.7</v>
      </c>
      <c r="J110" s="32"/>
      <c r="K110" s="32"/>
      <c r="L110" s="32"/>
      <c r="M110" s="32"/>
      <c r="N110" s="32"/>
      <c r="O110" s="32"/>
      <c r="P110" s="32"/>
      <c r="Q110" s="32"/>
      <c r="R110" s="33" t="s">
        <v>400</v>
      </c>
      <c r="S110" s="32"/>
      <c r="T110" s="33">
        <v>5</v>
      </c>
      <c r="U110" s="49"/>
    </row>
    <row r="111" spans="1:21">
      <c r="A111" s="50" t="s">
        <v>425</v>
      </c>
      <c r="B111" s="33" t="s">
        <v>1637</v>
      </c>
      <c r="C111" s="33">
        <v>100</v>
      </c>
      <c r="D111" s="33">
        <v>192</v>
      </c>
      <c r="E111" s="33">
        <v>57.6</v>
      </c>
      <c r="F111" s="48">
        <v>17.2</v>
      </c>
      <c r="G111" s="48">
        <v>12</v>
      </c>
      <c r="H111" s="33">
        <v>5.7</v>
      </c>
      <c r="I111" s="48">
        <v>3.7</v>
      </c>
      <c r="J111" s="32"/>
      <c r="K111" s="33">
        <v>0.01</v>
      </c>
      <c r="L111" s="33">
        <v>0.06</v>
      </c>
      <c r="M111" s="33">
        <v>0.1</v>
      </c>
      <c r="N111" s="33">
        <v>37.58</v>
      </c>
      <c r="O111" s="33">
        <v>614.5</v>
      </c>
      <c r="P111" s="33">
        <v>5</v>
      </c>
      <c r="Q111" s="33">
        <v>7.4</v>
      </c>
      <c r="R111" s="33" t="s">
        <v>400</v>
      </c>
      <c r="S111" s="32"/>
      <c r="T111" s="33">
        <v>5</v>
      </c>
      <c r="U111" s="49"/>
    </row>
    <row r="112" spans="1:21">
      <c r="A112" s="50" t="s">
        <v>426</v>
      </c>
      <c r="B112" s="32"/>
      <c r="C112" s="33">
        <v>100</v>
      </c>
      <c r="D112" s="33">
        <v>13</v>
      </c>
      <c r="E112" s="33">
        <v>96.4</v>
      </c>
      <c r="F112" s="48">
        <v>1.8</v>
      </c>
      <c r="G112" s="48">
        <v>0.7</v>
      </c>
      <c r="H112" s="33">
        <v>1.1000000000000001</v>
      </c>
      <c r="I112" s="48">
        <v>0</v>
      </c>
      <c r="J112" s="33">
        <v>15</v>
      </c>
      <c r="K112" s="33">
        <v>0.02</v>
      </c>
      <c r="L112" s="33">
        <v>0.02</v>
      </c>
      <c r="M112" s="33">
        <v>0.1</v>
      </c>
      <c r="N112" s="33">
        <v>0.8</v>
      </c>
      <c r="O112" s="33">
        <v>3</v>
      </c>
      <c r="P112" s="33">
        <v>10</v>
      </c>
      <c r="Q112" s="33">
        <v>0.5</v>
      </c>
      <c r="R112" s="33" t="s">
        <v>400</v>
      </c>
      <c r="S112" s="32"/>
      <c r="T112" s="33">
        <v>50</v>
      </c>
      <c r="U112" s="49"/>
    </row>
    <row r="113" spans="1:21">
      <c r="A113" s="50" t="s">
        <v>427</v>
      </c>
      <c r="B113" s="33" t="s">
        <v>1632</v>
      </c>
      <c r="C113" s="33">
        <v>100</v>
      </c>
      <c r="D113" s="33">
        <v>422</v>
      </c>
      <c r="E113" s="33">
        <v>1.5</v>
      </c>
      <c r="F113" s="48">
        <v>19.7</v>
      </c>
      <c r="G113" s="48">
        <v>9.4</v>
      </c>
      <c r="H113" s="33">
        <v>2.2000000000000002</v>
      </c>
      <c r="I113" s="48">
        <v>64.599999999999994</v>
      </c>
      <c r="J113" s="32"/>
      <c r="K113" s="33">
        <v>7.0000000000000007E-2</v>
      </c>
      <c r="L113" s="33">
        <v>0.05</v>
      </c>
      <c r="M113" s="33">
        <v>0.7</v>
      </c>
      <c r="N113" s="33">
        <v>17.989999999999998</v>
      </c>
      <c r="O113" s="33">
        <v>26.4</v>
      </c>
      <c r="P113" s="33">
        <v>101</v>
      </c>
      <c r="Q113" s="33">
        <v>3.7</v>
      </c>
      <c r="R113" s="33" t="s">
        <v>400</v>
      </c>
      <c r="S113" s="32"/>
      <c r="T113" s="33">
        <v>5</v>
      </c>
      <c r="U113" s="49"/>
    </row>
    <row r="114" spans="1:21">
      <c r="A114" s="50" t="s">
        <v>428</v>
      </c>
      <c r="B114" s="32"/>
      <c r="C114" s="33">
        <v>100</v>
      </c>
      <c r="D114" s="33">
        <v>30</v>
      </c>
      <c r="E114" s="33">
        <v>94</v>
      </c>
      <c r="F114" s="48">
        <v>2.4</v>
      </c>
      <c r="G114" s="48">
        <v>1.5</v>
      </c>
      <c r="H114" s="32"/>
      <c r="I114" s="48">
        <v>1.8</v>
      </c>
      <c r="J114" s="32"/>
      <c r="K114" s="33">
        <v>0.02</v>
      </c>
      <c r="L114" s="33">
        <v>0.06</v>
      </c>
      <c r="M114" s="33">
        <v>0.3</v>
      </c>
      <c r="N114" s="33">
        <v>4.5</v>
      </c>
      <c r="O114" s="33">
        <v>3.2</v>
      </c>
      <c r="P114" s="33">
        <v>23</v>
      </c>
      <c r="Q114" s="33">
        <v>0.6</v>
      </c>
      <c r="R114" s="33" t="s">
        <v>400</v>
      </c>
      <c r="S114" s="32"/>
      <c r="T114" s="33">
        <v>50</v>
      </c>
      <c r="U114" s="49"/>
    </row>
    <row r="115" spans="1:21">
      <c r="A115" s="50" t="s">
        <v>429</v>
      </c>
      <c r="B115" s="33" t="s">
        <v>1627</v>
      </c>
      <c r="C115" s="33">
        <v>100</v>
      </c>
      <c r="D115" s="33">
        <v>243</v>
      </c>
      <c r="E115" s="33">
        <v>39.200000000000003</v>
      </c>
      <c r="F115" s="48">
        <v>5.5</v>
      </c>
      <c r="G115" s="48">
        <v>1.9</v>
      </c>
      <c r="H115" s="33">
        <v>1.7</v>
      </c>
      <c r="I115" s="48">
        <v>51</v>
      </c>
      <c r="J115" s="32"/>
      <c r="K115" s="33">
        <v>0.03</v>
      </c>
      <c r="L115" s="33">
        <v>0.05</v>
      </c>
      <c r="M115" s="33">
        <v>0.3</v>
      </c>
      <c r="N115" s="33">
        <v>4.37</v>
      </c>
      <c r="O115" s="33">
        <v>23.5</v>
      </c>
      <c r="P115" s="33">
        <v>42</v>
      </c>
      <c r="Q115" s="33">
        <v>8</v>
      </c>
      <c r="R115" s="33" t="s">
        <v>400</v>
      </c>
      <c r="S115" s="32"/>
      <c r="T115" s="33">
        <v>5</v>
      </c>
      <c r="U115" s="49"/>
    </row>
    <row r="116" spans="1:21">
      <c r="A116" s="50" t="s">
        <v>430</v>
      </c>
      <c r="B116" s="33" t="s">
        <v>1618</v>
      </c>
      <c r="C116" s="33">
        <v>100</v>
      </c>
      <c r="D116" s="33">
        <v>133</v>
      </c>
      <c r="E116" s="33">
        <v>68.3</v>
      </c>
      <c r="F116" s="48">
        <v>10.9</v>
      </c>
      <c r="G116" s="48">
        <v>8.1999999999999993</v>
      </c>
      <c r="H116" s="33">
        <v>0.9</v>
      </c>
      <c r="I116" s="48">
        <v>3.9</v>
      </c>
      <c r="J116" s="33">
        <v>22</v>
      </c>
      <c r="K116" s="33">
        <v>0.03</v>
      </c>
      <c r="L116" s="33">
        <v>0.04</v>
      </c>
      <c r="M116" s="33">
        <v>1</v>
      </c>
      <c r="N116" s="33">
        <v>8.4</v>
      </c>
      <c r="O116" s="33">
        <v>2460</v>
      </c>
      <c r="P116" s="33">
        <v>61</v>
      </c>
      <c r="Q116" s="33">
        <v>3.8</v>
      </c>
      <c r="R116" s="33" t="s">
        <v>400</v>
      </c>
      <c r="S116" s="32"/>
      <c r="T116" s="33">
        <v>5</v>
      </c>
      <c r="U116" s="49"/>
    </row>
    <row r="117" spans="1:21">
      <c r="A117" s="50" t="s">
        <v>431</v>
      </c>
      <c r="B117" s="32"/>
      <c r="C117" s="33">
        <v>100</v>
      </c>
      <c r="D117" s="33">
        <v>130</v>
      </c>
      <c r="E117" s="33">
        <v>66.400000000000006</v>
      </c>
      <c r="F117" s="48">
        <v>11.6</v>
      </c>
      <c r="G117" s="48">
        <v>7.9</v>
      </c>
      <c r="H117" s="33">
        <v>0.8</v>
      </c>
      <c r="I117" s="48">
        <v>3.1</v>
      </c>
      <c r="J117" s="33">
        <v>20</v>
      </c>
      <c r="K117" s="33">
        <v>0.02</v>
      </c>
      <c r="L117" s="33">
        <v>0.09</v>
      </c>
      <c r="M117" s="33">
        <v>0.6</v>
      </c>
      <c r="N117" s="33">
        <v>9.18</v>
      </c>
      <c r="O117" s="33">
        <v>2012.3</v>
      </c>
      <c r="P117" s="33">
        <v>75</v>
      </c>
      <c r="Q117" s="33">
        <v>6.9</v>
      </c>
      <c r="R117" s="33" t="s">
        <v>400</v>
      </c>
      <c r="S117" s="32"/>
      <c r="T117" s="33">
        <v>5</v>
      </c>
      <c r="U117" s="49"/>
    </row>
    <row r="118" spans="1:21">
      <c r="A118" s="50" t="s">
        <v>432</v>
      </c>
      <c r="B118" s="33" t="s">
        <v>1618</v>
      </c>
      <c r="C118" s="33">
        <v>100</v>
      </c>
      <c r="D118" s="33">
        <v>204</v>
      </c>
      <c r="E118" s="33">
        <v>60.1</v>
      </c>
      <c r="F118" s="48">
        <v>7.3</v>
      </c>
      <c r="G118" s="48">
        <v>11.3</v>
      </c>
      <c r="H118" s="33">
        <v>1</v>
      </c>
      <c r="I118" s="48">
        <v>18.2</v>
      </c>
      <c r="J118" s="33">
        <v>22</v>
      </c>
      <c r="K118" s="33">
        <v>0.03</v>
      </c>
      <c r="L118" s="33">
        <v>0.06</v>
      </c>
      <c r="M118" s="33">
        <v>0.4</v>
      </c>
      <c r="N118" s="33">
        <v>13.22</v>
      </c>
      <c r="O118" s="33">
        <v>3000</v>
      </c>
      <c r="P118" s="33">
        <v>302</v>
      </c>
      <c r="Q118" s="33">
        <v>10.199999999999999</v>
      </c>
      <c r="R118" s="33" t="s">
        <v>400</v>
      </c>
      <c r="S118" s="32"/>
      <c r="T118" s="33">
        <v>5</v>
      </c>
      <c r="U118" s="49"/>
    </row>
    <row r="119" spans="1:21">
      <c r="A119" s="50" t="s">
        <v>433</v>
      </c>
      <c r="B119" s="32"/>
      <c r="C119" s="33">
        <v>100</v>
      </c>
      <c r="D119" s="33">
        <v>151</v>
      </c>
      <c r="E119" s="33">
        <v>61.2</v>
      </c>
      <c r="F119" s="48">
        <v>12</v>
      </c>
      <c r="G119" s="48">
        <v>8.1</v>
      </c>
      <c r="H119" s="33">
        <v>0.6</v>
      </c>
      <c r="I119" s="48">
        <v>7.6</v>
      </c>
      <c r="J119" s="33">
        <v>15</v>
      </c>
      <c r="K119" s="33">
        <v>0.02</v>
      </c>
      <c r="L119" s="33">
        <v>0.21</v>
      </c>
      <c r="M119" s="33">
        <v>0.5</v>
      </c>
      <c r="N119" s="33">
        <v>7.24</v>
      </c>
      <c r="O119" s="33">
        <v>3091.3</v>
      </c>
      <c r="P119" s="33">
        <v>87</v>
      </c>
      <c r="Q119" s="33">
        <v>11.5</v>
      </c>
      <c r="R119" s="33" t="s">
        <v>400</v>
      </c>
      <c r="S119" s="32"/>
      <c r="T119" s="33">
        <v>5</v>
      </c>
      <c r="U119" s="49"/>
    </row>
    <row r="120" spans="1:21">
      <c r="A120" s="50" t="s">
        <v>434</v>
      </c>
      <c r="B120" s="33" t="s">
        <v>1627</v>
      </c>
      <c r="C120" s="33">
        <v>100</v>
      </c>
      <c r="D120" s="33">
        <v>138</v>
      </c>
      <c r="E120" s="33">
        <v>64</v>
      </c>
      <c r="F120" s="48">
        <v>9.9</v>
      </c>
      <c r="G120" s="48">
        <v>8.1</v>
      </c>
      <c r="H120" s="32"/>
      <c r="I120" s="48">
        <v>6.4</v>
      </c>
      <c r="J120" s="32"/>
      <c r="K120" s="33">
        <v>0.04</v>
      </c>
      <c r="L120" s="33">
        <v>0.12</v>
      </c>
      <c r="M120" s="33">
        <v>0.8</v>
      </c>
      <c r="N120" s="33">
        <v>7.75</v>
      </c>
      <c r="O120" s="33">
        <v>2110.4</v>
      </c>
      <c r="P120" s="33">
        <v>142</v>
      </c>
      <c r="Q120" s="33">
        <v>2.9</v>
      </c>
      <c r="R120" s="33" t="s">
        <v>400</v>
      </c>
      <c r="S120" s="32"/>
      <c r="T120" s="33">
        <v>5</v>
      </c>
      <c r="U120" s="49"/>
    </row>
    <row r="121" spans="1:21">
      <c r="A121" s="50" t="s">
        <v>435</v>
      </c>
      <c r="B121" s="33" t="s">
        <v>1643</v>
      </c>
      <c r="C121" s="33">
        <v>100</v>
      </c>
      <c r="D121" s="33">
        <v>158</v>
      </c>
      <c r="E121" s="33">
        <v>57.5</v>
      </c>
      <c r="F121" s="48">
        <v>11.7</v>
      </c>
      <c r="G121" s="48">
        <v>7.4</v>
      </c>
      <c r="H121" s="32"/>
      <c r="I121" s="48">
        <v>11.2</v>
      </c>
      <c r="J121" s="32"/>
      <c r="K121" s="33">
        <v>0.02</v>
      </c>
      <c r="L121" s="33">
        <v>0.02</v>
      </c>
      <c r="M121" s="32"/>
      <c r="N121" s="33">
        <v>8.99</v>
      </c>
      <c r="O121" s="33">
        <v>7410.3</v>
      </c>
      <c r="P121" s="33">
        <v>62</v>
      </c>
      <c r="Q121" s="33">
        <v>22.5</v>
      </c>
      <c r="R121" s="33" t="s">
        <v>400</v>
      </c>
      <c r="S121" s="32"/>
      <c r="T121" s="33">
        <v>5</v>
      </c>
      <c r="U121" s="49"/>
    </row>
    <row r="122" spans="1:21">
      <c r="A122" s="50" t="s">
        <v>436</v>
      </c>
      <c r="B122" s="32"/>
      <c r="C122" s="33">
        <v>100</v>
      </c>
      <c r="D122" s="33">
        <v>459</v>
      </c>
      <c r="E122" s="33">
        <v>7.9</v>
      </c>
      <c r="F122" s="48">
        <v>44.6</v>
      </c>
      <c r="G122" s="48">
        <v>21.7</v>
      </c>
      <c r="H122" s="33">
        <v>1</v>
      </c>
      <c r="I122" s="48">
        <v>21.3</v>
      </c>
      <c r="J122" s="32"/>
      <c r="K122" s="33">
        <v>0.13</v>
      </c>
      <c r="L122" s="33">
        <v>7.0000000000000007E-2</v>
      </c>
      <c r="M122" s="33">
        <v>0.8</v>
      </c>
      <c r="N122" s="33">
        <v>27.84</v>
      </c>
      <c r="O122" s="33">
        <v>26.5</v>
      </c>
      <c r="P122" s="33">
        <v>77</v>
      </c>
      <c r="Q122" s="33">
        <v>16.5</v>
      </c>
      <c r="R122" s="33" t="s">
        <v>400</v>
      </c>
      <c r="S122" s="32"/>
      <c r="T122" s="33">
        <v>5</v>
      </c>
      <c r="U122" s="49"/>
    </row>
    <row r="123" spans="1:21">
      <c r="A123" s="50" t="s">
        <v>437</v>
      </c>
      <c r="B123" s="33" t="s">
        <v>1643</v>
      </c>
      <c r="C123" s="33">
        <v>100</v>
      </c>
      <c r="D123" s="33">
        <v>489</v>
      </c>
      <c r="E123" s="33">
        <v>8.1999999999999993</v>
      </c>
      <c r="F123" s="48">
        <v>56.6</v>
      </c>
      <c r="G123" s="48">
        <v>26.3</v>
      </c>
      <c r="H123" s="32"/>
      <c r="I123" s="48">
        <v>6.5</v>
      </c>
      <c r="J123" s="32"/>
      <c r="K123" s="33">
        <v>0.13</v>
      </c>
      <c r="L123" s="33">
        <v>0.04</v>
      </c>
      <c r="M123" s="32"/>
      <c r="N123" s="33">
        <v>18</v>
      </c>
      <c r="O123" s="33">
        <v>119</v>
      </c>
      <c r="P123" s="33">
        <v>48</v>
      </c>
      <c r="Q123" s="33">
        <v>11.2</v>
      </c>
      <c r="R123" s="33" t="s">
        <v>400</v>
      </c>
      <c r="S123" s="32"/>
      <c r="T123" s="33">
        <v>5</v>
      </c>
      <c r="U123" s="49"/>
    </row>
    <row r="124" spans="1:21">
      <c r="A124" s="50" t="s">
        <v>438</v>
      </c>
      <c r="B124" s="33" t="s">
        <v>1648</v>
      </c>
      <c r="C124" s="33">
        <v>100</v>
      </c>
      <c r="D124" s="33">
        <v>414</v>
      </c>
      <c r="E124" s="33">
        <v>2</v>
      </c>
      <c r="F124" s="48">
        <v>16.5</v>
      </c>
      <c r="G124" s="48">
        <v>7.1</v>
      </c>
      <c r="H124" s="32"/>
      <c r="I124" s="48">
        <v>71</v>
      </c>
      <c r="J124" s="32"/>
      <c r="K124" s="33">
        <v>1.1000000000000001</v>
      </c>
      <c r="L124" s="33">
        <v>0.68</v>
      </c>
      <c r="M124" s="32"/>
      <c r="N124" s="32"/>
      <c r="O124" s="32"/>
      <c r="P124" s="32"/>
      <c r="Q124" s="32"/>
      <c r="R124" s="33" t="s">
        <v>400</v>
      </c>
      <c r="S124" s="32"/>
      <c r="T124" s="33">
        <v>5</v>
      </c>
      <c r="U124" s="49"/>
    </row>
    <row r="125" spans="1:21">
      <c r="A125" s="50" t="s">
        <v>439</v>
      </c>
      <c r="B125" s="32"/>
      <c r="C125" s="33">
        <v>100</v>
      </c>
      <c r="D125" s="33">
        <v>381</v>
      </c>
      <c r="E125" s="33">
        <v>9.9</v>
      </c>
      <c r="F125" s="48">
        <v>36.1</v>
      </c>
      <c r="G125" s="48">
        <v>15.9</v>
      </c>
      <c r="H125" s="33">
        <v>10.199999999999999</v>
      </c>
      <c r="I125" s="48">
        <v>23.3</v>
      </c>
      <c r="J125" s="33">
        <v>5</v>
      </c>
      <c r="K125" s="33">
        <v>0.2</v>
      </c>
      <c r="L125" s="33">
        <v>0.33</v>
      </c>
      <c r="M125" s="33">
        <v>2</v>
      </c>
      <c r="N125" s="33">
        <v>17.36</v>
      </c>
      <c r="O125" s="33">
        <v>3</v>
      </c>
      <c r="P125" s="33">
        <v>224</v>
      </c>
      <c r="Q125" s="33">
        <v>7</v>
      </c>
      <c r="R125" s="33" t="s">
        <v>400</v>
      </c>
      <c r="S125" s="32"/>
      <c r="T125" s="33">
        <v>5</v>
      </c>
      <c r="U125" s="49"/>
    </row>
    <row r="126" spans="1:21">
      <c r="A126" s="50" t="s">
        <v>440</v>
      </c>
      <c r="B126" s="33" t="s">
        <v>1637</v>
      </c>
      <c r="C126" s="33">
        <v>100</v>
      </c>
      <c r="D126" s="33">
        <v>240</v>
      </c>
      <c r="E126" s="33">
        <v>35.9</v>
      </c>
      <c r="F126" s="48">
        <v>4.8</v>
      </c>
      <c r="G126" s="48">
        <v>3.6</v>
      </c>
      <c r="H126" s="33">
        <v>7.9</v>
      </c>
      <c r="I126" s="48">
        <v>47.2</v>
      </c>
      <c r="J126" s="32"/>
      <c r="K126" s="33">
        <v>0.04</v>
      </c>
      <c r="L126" s="33">
        <v>0.05</v>
      </c>
      <c r="M126" s="33">
        <v>1.7</v>
      </c>
      <c r="N126" s="33">
        <v>9.17</v>
      </c>
      <c r="O126" s="33">
        <v>3.3</v>
      </c>
      <c r="P126" s="33">
        <v>2</v>
      </c>
      <c r="Q126" s="33">
        <v>1</v>
      </c>
      <c r="R126" s="33" t="s">
        <v>400</v>
      </c>
      <c r="S126" s="32"/>
      <c r="T126" s="33">
        <v>5</v>
      </c>
      <c r="U126" s="49"/>
    </row>
    <row r="127" spans="1:21">
      <c r="A127" s="50" t="s">
        <v>441</v>
      </c>
      <c r="B127" s="33" t="s">
        <v>1647</v>
      </c>
      <c r="C127" s="33">
        <v>100</v>
      </c>
      <c r="D127" s="33">
        <v>317</v>
      </c>
      <c r="E127" s="33">
        <v>14.8</v>
      </c>
      <c r="F127" s="48">
        <v>19.100000000000001</v>
      </c>
      <c r="G127" s="48">
        <v>1.3</v>
      </c>
      <c r="H127" s="33">
        <v>5.5</v>
      </c>
      <c r="I127" s="48">
        <v>57.2</v>
      </c>
      <c r="J127" s="33">
        <v>72</v>
      </c>
      <c r="K127" s="33">
        <v>0.25</v>
      </c>
      <c r="L127" s="32"/>
      <c r="M127" s="33">
        <v>3</v>
      </c>
      <c r="N127" s="33">
        <v>6.13</v>
      </c>
      <c r="O127" s="33">
        <v>12.5</v>
      </c>
      <c r="P127" s="33">
        <v>38</v>
      </c>
      <c r="Q127" s="33">
        <v>0.3</v>
      </c>
      <c r="R127" s="33" t="s">
        <v>400</v>
      </c>
      <c r="S127" s="32"/>
      <c r="T127" s="33">
        <v>5</v>
      </c>
      <c r="U127" s="49"/>
    </row>
    <row r="128" spans="1:21">
      <c r="A128" s="50" t="s">
        <v>442</v>
      </c>
      <c r="B128" s="33" t="s">
        <v>1647</v>
      </c>
      <c r="C128" s="33">
        <v>97</v>
      </c>
      <c r="D128" s="33">
        <v>315</v>
      </c>
      <c r="E128" s="33">
        <v>13.2</v>
      </c>
      <c r="F128" s="48">
        <v>17.2</v>
      </c>
      <c r="G128" s="48">
        <v>1.4</v>
      </c>
      <c r="H128" s="33">
        <v>7.4</v>
      </c>
      <c r="I128" s="48">
        <v>58.4</v>
      </c>
      <c r="J128" s="33">
        <v>47</v>
      </c>
      <c r="K128" s="33">
        <v>0.14000000000000001</v>
      </c>
      <c r="L128" s="32"/>
      <c r="M128" s="33">
        <v>2.7</v>
      </c>
      <c r="N128" s="33">
        <v>9.64</v>
      </c>
      <c r="O128" s="33">
        <v>19.600000000000001</v>
      </c>
      <c r="P128" s="33">
        <v>221</v>
      </c>
      <c r="Q128" s="33">
        <v>5.9</v>
      </c>
      <c r="R128" s="33" t="s">
        <v>400</v>
      </c>
      <c r="S128" s="32"/>
      <c r="T128" s="33">
        <v>5</v>
      </c>
      <c r="U128" s="49"/>
    </row>
    <row r="129" spans="1:21">
      <c r="A129" s="50" t="s">
        <v>443</v>
      </c>
      <c r="B129" s="32"/>
      <c r="C129" s="33">
        <v>100</v>
      </c>
      <c r="D129" s="33">
        <v>359</v>
      </c>
      <c r="E129" s="33">
        <v>10.199999999999999</v>
      </c>
      <c r="F129" s="48">
        <v>35.1</v>
      </c>
      <c r="G129" s="48">
        <v>16</v>
      </c>
      <c r="H129" s="33">
        <v>15.5</v>
      </c>
      <c r="I129" s="48">
        <v>18.600000000000001</v>
      </c>
      <c r="J129" s="33">
        <v>37</v>
      </c>
      <c r="K129" s="33">
        <v>0.41</v>
      </c>
      <c r="L129" s="33">
        <v>0.2</v>
      </c>
      <c r="M129" s="33">
        <v>2.1</v>
      </c>
      <c r="N129" s="33">
        <v>18.899999999999999</v>
      </c>
      <c r="O129" s="33">
        <v>2.2000000000000002</v>
      </c>
      <c r="P129" s="33">
        <v>191</v>
      </c>
      <c r="Q129" s="33">
        <v>8.1999999999999993</v>
      </c>
      <c r="R129" s="33" t="s">
        <v>400</v>
      </c>
      <c r="S129" s="32"/>
      <c r="T129" s="33">
        <v>5</v>
      </c>
      <c r="U129" s="49"/>
    </row>
    <row r="130" spans="1:21">
      <c r="A130" s="50" t="s">
        <v>444</v>
      </c>
      <c r="B130" s="32"/>
      <c r="C130" s="33">
        <v>100</v>
      </c>
      <c r="D130" s="33">
        <v>418</v>
      </c>
      <c r="E130" s="33">
        <v>6.7</v>
      </c>
      <c r="F130" s="48">
        <v>32.799999999999997</v>
      </c>
      <c r="G130" s="48">
        <v>18.3</v>
      </c>
      <c r="H130" s="33">
        <v>7</v>
      </c>
      <c r="I130" s="48">
        <v>30.5</v>
      </c>
      <c r="J130" s="33">
        <v>63</v>
      </c>
      <c r="K130" s="33">
        <v>0.31</v>
      </c>
      <c r="L130" s="33">
        <v>0.22</v>
      </c>
      <c r="M130" s="33">
        <v>2.5</v>
      </c>
      <c r="N130" s="33">
        <v>33.69</v>
      </c>
      <c r="O130" s="33">
        <v>3.6</v>
      </c>
      <c r="P130" s="33">
        <v>207</v>
      </c>
      <c r="Q130" s="33">
        <v>8.1</v>
      </c>
      <c r="R130" s="33" t="s">
        <v>400</v>
      </c>
      <c r="S130" s="32"/>
      <c r="T130" s="33">
        <v>5</v>
      </c>
      <c r="U130" s="49"/>
    </row>
    <row r="131" spans="1:21">
      <c r="A131" s="50" t="s">
        <v>445</v>
      </c>
      <c r="B131" s="32"/>
      <c r="C131" s="33">
        <v>100</v>
      </c>
      <c r="D131" s="33">
        <v>315</v>
      </c>
      <c r="E131" s="33">
        <v>11.2</v>
      </c>
      <c r="F131" s="48">
        <v>18.899999999999999</v>
      </c>
      <c r="G131" s="48">
        <v>0.4</v>
      </c>
      <c r="H131" s="33">
        <v>6.9</v>
      </c>
      <c r="I131" s="48">
        <v>58.9</v>
      </c>
      <c r="J131" s="33">
        <v>3</v>
      </c>
      <c r="K131" s="33">
        <v>0.22</v>
      </c>
      <c r="L131" s="33">
        <v>0.09</v>
      </c>
      <c r="M131" s="33">
        <v>2.4</v>
      </c>
      <c r="N131" s="33">
        <v>11.42</v>
      </c>
      <c r="O131" s="33">
        <v>4</v>
      </c>
      <c r="P131" s="33">
        <v>67</v>
      </c>
      <c r="Q131" s="33">
        <v>7.9</v>
      </c>
      <c r="R131" s="33" t="s">
        <v>400</v>
      </c>
      <c r="S131" s="32"/>
      <c r="T131" s="33">
        <v>5</v>
      </c>
      <c r="U131" s="49"/>
    </row>
    <row r="132" spans="1:21">
      <c r="A132" s="50" t="s">
        <v>446</v>
      </c>
      <c r="B132" s="32"/>
      <c r="C132" s="33">
        <v>100</v>
      </c>
      <c r="D132" s="33">
        <v>322</v>
      </c>
      <c r="E132" s="33">
        <v>10.9</v>
      </c>
      <c r="F132" s="48">
        <v>19.3</v>
      </c>
      <c r="G132" s="48">
        <v>1.2</v>
      </c>
      <c r="H132" s="33">
        <v>7.1</v>
      </c>
      <c r="I132" s="48">
        <v>58.5</v>
      </c>
      <c r="J132" s="33">
        <v>10</v>
      </c>
      <c r="K132" s="33">
        <v>0.16</v>
      </c>
      <c r="L132" s="33">
        <v>0.08</v>
      </c>
      <c r="M132" s="33">
        <v>1.9</v>
      </c>
      <c r="N132" s="33">
        <v>8.61</v>
      </c>
      <c r="O132" s="33">
        <v>6.8</v>
      </c>
      <c r="P132" s="33">
        <v>40</v>
      </c>
      <c r="Q132" s="33">
        <v>7.1</v>
      </c>
      <c r="R132" s="33" t="s">
        <v>400</v>
      </c>
      <c r="S132" s="32"/>
      <c r="T132" s="33">
        <v>5</v>
      </c>
      <c r="U132" s="49"/>
    </row>
    <row r="133" spans="1:21">
      <c r="A133" s="50" t="s">
        <v>447</v>
      </c>
      <c r="B133" s="32"/>
      <c r="C133" s="33">
        <v>100</v>
      </c>
      <c r="D133" s="33">
        <v>316</v>
      </c>
      <c r="E133" s="33">
        <v>12.3</v>
      </c>
      <c r="F133" s="48">
        <v>21.6</v>
      </c>
      <c r="G133" s="48">
        <v>0.8</v>
      </c>
      <c r="H133" s="33">
        <v>6.4</v>
      </c>
      <c r="I133" s="48">
        <v>55.6</v>
      </c>
      <c r="J133" s="33">
        <v>22</v>
      </c>
      <c r="K133" s="33">
        <v>0.25</v>
      </c>
      <c r="L133" s="33">
        <v>0.11</v>
      </c>
      <c r="M133" s="33">
        <v>2</v>
      </c>
      <c r="N133" s="33">
        <v>10.95</v>
      </c>
      <c r="O133" s="33">
        <v>3.2</v>
      </c>
      <c r="P133" s="33">
        <v>81</v>
      </c>
      <c r="Q133" s="33">
        <v>6.5</v>
      </c>
      <c r="R133" s="33" t="s">
        <v>400</v>
      </c>
      <c r="S133" s="32"/>
      <c r="T133" s="33">
        <v>5</v>
      </c>
      <c r="U133" s="49"/>
    </row>
    <row r="134" spans="1:21">
      <c r="A134" s="50" t="s">
        <v>448</v>
      </c>
      <c r="B134" s="33" t="s">
        <v>1643</v>
      </c>
      <c r="C134" s="33">
        <v>100</v>
      </c>
      <c r="D134" s="33">
        <v>122</v>
      </c>
      <c r="E134" s="33">
        <v>69.7</v>
      </c>
      <c r="F134" s="48">
        <v>15.2</v>
      </c>
      <c r="G134" s="48">
        <v>1.2</v>
      </c>
      <c r="H134" s="32"/>
      <c r="I134" s="48">
        <v>12.7</v>
      </c>
      <c r="J134" s="32"/>
      <c r="K134" s="33">
        <v>7.0000000000000007E-2</v>
      </c>
      <c r="L134" s="33">
        <v>0.02</v>
      </c>
      <c r="M134" s="32"/>
      <c r="N134" s="32"/>
      <c r="O134" s="33">
        <v>3.1</v>
      </c>
      <c r="P134" s="33">
        <v>18</v>
      </c>
      <c r="Q134" s="33">
        <v>1</v>
      </c>
      <c r="R134" s="33" t="s">
        <v>400</v>
      </c>
      <c r="S134" s="32"/>
      <c r="T134" s="33">
        <v>5</v>
      </c>
      <c r="U134" s="49"/>
    </row>
    <row r="135" spans="1:21">
      <c r="A135" s="50" t="s">
        <v>449</v>
      </c>
      <c r="B135" s="33" t="s">
        <v>1649</v>
      </c>
      <c r="C135" s="33">
        <v>100</v>
      </c>
      <c r="D135" s="33">
        <v>330</v>
      </c>
      <c r="E135" s="33">
        <v>9.6</v>
      </c>
      <c r="F135" s="48">
        <v>20.8</v>
      </c>
      <c r="G135" s="48">
        <v>0.7</v>
      </c>
      <c r="H135" s="33">
        <v>5.8</v>
      </c>
      <c r="I135" s="48">
        <v>60</v>
      </c>
      <c r="J135" s="33">
        <v>15</v>
      </c>
      <c r="K135" s="33">
        <v>0.45</v>
      </c>
      <c r="L135" s="33">
        <v>0.12</v>
      </c>
      <c r="M135" s="33">
        <v>0.7</v>
      </c>
      <c r="N135" s="32"/>
      <c r="O135" s="33">
        <v>3.3</v>
      </c>
      <c r="P135" s="33">
        <v>134</v>
      </c>
      <c r="Q135" s="33">
        <v>8.1</v>
      </c>
      <c r="R135" s="33" t="s">
        <v>400</v>
      </c>
      <c r="S135" s="32"/>
      <c r="T135" s="33">
        <v>5</v>
      </c>
      <c r="U135" s="49"/>
    </row>
    <row r="136" spans="1:21">
      <c r="A136" s="50" t="s">
        <v>450</v>
      </c>
      <c r="B136" s="33" t="s">
        <v>1650</v>
      </c>
      <c r="C136" s="33">
        <v>100</v>
      </c>
      <c r="D136" s="33">
        <v>336</v>
      </c>
      <c r="E136" s="33">
        <v>32.4</v>
      </c>
      <c r="F136" s="48">
        <v>14.5</v>
      </c>
      <c r="G136" s="48">
        <v>16.7</v>
      </c>
      <c r="H136" s="33">
        <v>1.6</v>
      </c>
      <c r="I136" s="48">
        <v>31.8</v>
      </c>
      <c r="J136" s="32"/>
      <c r="K136" s="33">
        <v>0.03</v>
      </c>
      <c r="L136" s="33">
        <v>0.14000000000000001</v>
      </c>
      <c r="M136" s="33">
        <v>0.2</v>
      </c>
      <c r="N136" s="32"/>
      <c r="O136" s="33">
        <v>40.9</v>
      </c>
      <c r="P136" s="33">
        <v>731</v>
      </c>
      <c r="Q136" s="33">
        <v>3.9</v>
      </c>
      <c r="R136" s="33" t="s">
        <v>400</v>
      </c>
      <c r="S136" s="32"/>
      <c r="T136" s="33">
        <v>5</v>
      </c>
      <c r="U136" s="49"/>
    </row>
    <row r="137" spans="1:21">
      <c r="A137" s="50" t="s">
        <v>451</v>
      </c>
      <c r="B137" s="33" t="s">
        <v>1651</v>
      </c>
      <c r="C137" s="33">
        <v>100</v>
      </c>
      <c r="D137" s="33">
        <v>320</v>
      </c>
      <c r="E137" s="33">
        <v>12</v>
      </c>
      <c r="F137" s="48">
        <v>18.600000000000001</v>
      </c>
      <c r="G137" s="48">
        <v>1.1000000000000001</v>
      </c>
      <c r="H137" s="33">
        <v>6.6</v>
      </c>
      <c r="I137" s="48">
        <v>59</v>
      </c>
      <c r="J137" s="32"/>
      <c r="K137" s="33">
        <v>0.15</v>
      </c>
      <c r="L137" s="33">
        <v>0.18</v>
      </c>
      <c r="M137" s="33">
        <v>2.1</v>
      </c>
      <c r="N137" s="33">
        <v>12.29</v>
      </c>
      <c r="O137" s="33">
        <v>86.5</v>
      </c>
      <c r="P137" s="33">
        <v>60</v>
      </c>
      <c r="Q137" s="33">
        <v>5.5</v>
      </c>
      <c r="R137" s="33" t="s">
        <v>400</v>
      </c>
      <c r="S137" s="32"/>
      <c r="T137" s="33">
        <v>5</v>
      </c>
      <c r="U137" s="49"/>
    </row>
    <row r="138" spans="1:21">
      <c r="A138" s="50" t="s">
        <v>452</v>
      </c>
      <c r="B138" s="33" t="s">
        <v>1641</v>
      </c>
      <c r="C138" s="33">
        <v>100</v>
      </c>
      <c r="D138" s="33">
        <v>360</v>
      </c>
      <c r="E138" s="33">
        <v>10.7</v>
      </c>
      <c r="F138" s="48">
        <v>23.4</v>
      </c>
      <c r="G138" s="48">
        <v>3.8</v>
      </c>
      <c r="H138" s="33">
        <v>1.5</v>
      </c>
      <c r="I138" s="48">
        <v>58.1</v>
      </c>
      <c r="J138" s="32"/>
      <c r="K138" s="33">
        <v>0.35</v>
      </c>
      <c r="L138" s="33">
        <v>0.28000000000000003</v>
      </c>
      <c r="M138" s="33">
        <v>2.9</v>
      </c>
      <c r="N138" s="33">
        <v>19.21</v>
      </c>
      <c r="O138" s="33">
        <v>12</v>
      </c>
      <c r="P138" s="33">
        <v>327</v>
      </c>
      <c r="Q138" s="33">
        <v>7.7</v>
      </c>
      <c r="R138" s="33" t="s">
        <v>400</v>
      </c>
      <c r="S138" s="32"/>
      <c r="T138" s="33">
        <v>5</v>
      </c>
      <c r="U138" s="49"/>
    </row>
    <row r="139" spans="1:21">
      <c r="A139" s="50" t="s">
        <v>453</v>
      </c>
      <c r="B139" s="33" t="s">
        <v>1618</v>
      </c>
      <c r="C139" s="33">
        <v>100</v>
      </c>
      <c r="D139" s="33">
        <v>321</v>
      </c>
      <c r="E139" s="33">
        <v>9.3000000000000007</v>
      </c>
      <c r="F139" s="48">
        <v>36.700000000000003</v>
      </c>
      <c r="G139" s="48">
        <v>0.7</v>
      </c>
      <c r="H139" s="33">
        <v>5.9</v>
      </c>
      <c r="I139" s="48">
        <v>42</v>
      </c>
      <c r="J139" s="32"/>
      <c r="K139" s="32"/>
      <c r="L139" s="33">
        <v>0.11</v>
      </c>
      <c r="M139" s="33">
        <v>5.8</v>
      </c>
      <c r="N139" s="33">
        <v>1.1399999999999999</v>
      </c>
      <c r="O139" s="33">
        <v>3.3</v>
      </c>
      <c r="P139" s="33">
        <v>144</v>
      </c>
      <c r="Q139" s="33">
        <v>9.8000000000000007</v>
      </c>
      <c r="R139" s="33" t="s">
        <v>400</v>
      </c>
      <c r="S139" s="32"/>
      <c r="T139" s="33">
        <v>5</v>
      </c>
      <c r="U139" s="49"/>
    </row>
    <row r="140" spans="1:21">
      <c r="A140" s="50" t="s">
        <v>454</v>
      </c>
      <c r="B140" s="33" t="s">
        <v>1643</v>
      </c>
      <c r="C140" s="33">
        <v>100</v>
      </c>
      <c r="D140" s="33">
        <v>135</v>
      </c>
      <c r="E140" s="33">
        <v>72.5</v>
      </c>
      <c r="F140" s="48">
        <v>12.1</v>
      </c>
      <c r="G140" s="48">
        <v>5.7</v>
      </c>
      <c r="H140" s="32"/>
      <c r="I140" s="48">
        <v>8.9</v>
      </c>
      <c r="J140" s="32"/>
      <c r="K140" s="33">
        <v>0.02</v>
      </c>
      <c r="L140" s="33">
        <v>0.01</v>
      </c>
      <c r="M140" s="32"/>
      <c r="N140" s="33">
        <v>14.09</v>
      </c>
      <c r="O140" s="33">
        <v>633.1</v>
      </c>
      <c r="P140" s="33">
        <v>134</v>
      </c>
      <c r="Q140" s="33">
        <v>9.1</v>
      </c>
      <c r="R140" s="33" t="s">
        <v>400</v>
      </c>
      <c r="S140" s="32"/>
      <c r="T140" s="33">
        <v>25</v>
      </c>
      <c r="U140" s="49"/>
    </row>
    <row r="141" spans="1:21">
      <c r="A141" s="50" t="s">
        <v>455</v>
      </c>
      <c r="B141" s="32"/>
      <c r="C141" s="33">
        <v>100</v>
      </c>
      <c r="D141" s="33">
        <v>260</v>
      </c>
      <c r="E141" s="33">
        <v>52</v>
      </c>
      <c r="F141" s="48">
        <v>24.5</v>
      </c>
      <c r="G141" s="48">
        <v>16</v>
      </c>
      <c r="H141" s="33">
        <v>1</v>
      </c>
      <c r="I141" s="48">
        <v>4.5</v>
      </c>
      <c r="J141" s="33">
        <v>5</v>
      </c>
      <c r="K141" s="33">
        <v>0.04</v>
      </c>
      <c r="L141" s="33">
        <v>0.05</v>
      </c>
      <c r="M141" s="33">
        <v>0.2</v>
      </c>
      <c r="N141" s="33">
        <v>23.38</v>
      </c>
      <c r="O141" s="33">
        <v>20.6</v>
      </c>
      <c r="P141" s="33">
        <v>313</v>
      </c>
      <c r="Q141" s="33">
        <v>6.4</v>
      </c>
      <c r="R141" s="33" t="s">
        <v>400</v>
      </c>
      <c r="S141" s="32"/>
      <c r="T141" s="33">
        <v>5</v>
      </c>
      <c r="U141" s="49"/>
    </row>
    <row r="142" spans="1:21">
      <c r="A142" s="50" t="s">
        <v>456</v>
      </c>
      <c r="B142" s="32"/>
      <c r="C142" s="33">
        <v>100</v>
      </c>
      <c r="D142" s="33">
        <v>373</v>
      </c>
      <c r="E142" s="33">
        <v>9.5</v>
      </c>
      <c r="F142" s="48">
        <v>34.6</v>
      </c>
      <c r="G142" s="48">
        <v>16</v>
      </c>
      <c r="H142" s="33">
        <v>12.6</v>
      </c>
      <c r="I142" s="48">
        <v>22.7</v>
      </c>
      <c r="J142" s="33">
        <v>132</v>
      </c>
      <c r="K142" s="33">
        <v>0.41</v>
      </c>
      <c r="L142" s="33">
        <v>0.18</v>
      </c>
      <c r="M142" s="33">
        <v>3</v>
      </c>
      <c r="N142" s="33">
        <v>10.09</v>
      </c>
      <c r="O142" s="33">
        <v>1.8</v>
      </c>
      <c r="P142" s="33">
        <v>200</v>
      </c>
      <c r="Q142" s="33">
        <v>8.4</v>
      </c>
      <c r="R142" s="33" t="s">
        <v>400</v>
      </c>
      <c r="S142" s="32"/>
      <c r="T142" s="33">
        <v>5</v>
      </c>
      <c r="U142" s="49"/>
    </row>
    <row r="143" spans="1:21">
      <c r="A143" s="50" t="s">
        <v>457</v>
      </c>
      <c r="B143" s="33" t="s">
        <v>1618</v>
      </c>
      <c r="C143" s="33">
        <v>100</v>
      </c>
      <c r="D143" s="33">
        <v>67</v>
      </c>
      <c r="E143" s="33">
        <v>84.5</v>
      </c>
      <c r="F143" s="48">
        <v>2.2000000000000002</v>
      </c>
      <c r="G143" s="48">
        <v>1.2</v>
      </c>
      <c r="H143" s="32"/>
      <c r="I143" s="48">
        <v>11.8</v>
      </c>
      <c r="J143" s="32"/>
      <c r="K143" s="33">
        <v>0.06</v>
      </c>
      <c r="L143" s="32"/>
      <c r="M143" s="33">
        <v>0.7</v>
      </c>
      <c r="N143" s="33">
        <v>1.1100000000000001</v>
      </c>
      <c r="O143" s="33">
        <v>18.600000000000001</v>
      </c>
      <c r="P143" s="33">
        <v>32</v>
      </c>
      <c r="Q143" s="33">
        <v>0.4</v>
      </c>
      <c r="R143" s="33" t="s">
        <v>400</v>
      </c>
      <c r="S143" s="32"/>
      <c r="T143" s="33">
        <v>25</v>
      </c>
      <c r="U143" s="49"/>
    </row>
    <row r="144" spans="1:21">
      <c r="A144" s="50" t="s">
        <v>458</v>
      </c>
      <c r="B144" s="33" t="s">
        <v>1650</v>
      </c>
      <c r="C144" s="33">
        <v>100</v>
      </c>
      <c r="D144" s="33">
        <v>153</v>
      </c>
      <c r="E144" s="33">
        <v>63</v>
      </c>
      <c r="F144" s="48">
        <v>18.100000000000001</v>
      </c>
      <c r="G144" s="48">
        <v>3.6</v>
      </c>
      <c r="H144" s="33">
        <v>1</v>
      </c>
      <c r="I144" s="48">
        <v>12</v>
      </c>
      <c r="J144" s="32"/>
      <c r="K144" s="33">
        <v>0.02</v>
      </c>
      <c r="L144" s="33">
        <v>0.02</v>
      </c>
      <c r="M144" s="33">
        <v>0.1</v>
      </c>
      <c r="N144" s="32"/>
      <c r="O144" s="33">
        <v>144.69999999999999</v>
      </c>
      <c r="P144" s="33">
        <v>445</v>
      </c>
      <c r="Q144" s="33">
        <v>3.8</v>
      </c>
      <c r="R144" s="33" t="s">
        <v>400</v>
      </c>
      <c r="S144" s="32"/>
      <c r="T144" s="33">
        <v>5</v>
      </c>
      <c r="U144" s="49"/>
    </row>
    <row r="145" spans="1:21">
      <c r="A145" s="50" t="s">
        <v>459</v>
      </c>
      <c r="B145" s="33" t="s">
        <v>1637</v>
      </c>
      <c r="C145" s="33">
        <v>100</v>
      </c>
      <c r="D145" s="33">
        <v>211</v>
      </c>
      <c r="E145" s="33">
        <v>55</v>
      </c>
      <c r="F145" s="48">
        <v>19.100000000000001</v>
      </c>
      <c r="G145" s="48">
        <v>13.2</v>
      </c>
      <c r="H145" s="33">
        <v>0.9</v>
      </c>
      <c r="I145" s="48">
        <v>3.9</v>
      </c>
      <c r="J145" s="32"/>
      <c r="K145" s="33">
        <v>0.01</v>
      </c>
      <c r="L145" s="33">
        <v>0.03</v>
      </c>
      <c r="M145" s="33">
        <v>0.1</v>
      </c>
      <c r="N145" s="33">
        <v>25.99</v>
      </c>
      <c r="O145" s="33">
        <v>675.9</v>
      </c>
      <c r="P145" s="33">
        <v>8</v>
      </c>
      <c r="Q145" s="33">
        <v>7.3</v>
      </c>
      <c r="R145" s="33" t="s">
        <v>400</v>
      </c>
      <c r="S145" s="32"/>
      <c r="T145" s="33">
        <v>5</v>
      </c>
      <c r="U145" s="49"/>
    </row>
    <row r="146" spans="1:21">
      <c r="A146" s="50" t="s">
        <v>460</v>
      </c>
      <c r="B146" s="32"/>
      <c r="C146" s="33">
        <v>100</v>
      </c>
      <c r="D146" s="33">
        <v>192</v>
      </c>
      <c r="E146" s="33">
        <v>64.3</v>
      </c>
      <c r="F146" s="48">
        <v>16.5</v>
      </c>
      <c r="G146" s="48">
        <v>12.5</v>
      </c>
      <c r="H146" s="33">
        <v>0.9</v>
      </c>
      <c r="I146" s="48">
        <v>3.3</v>
      </c>
      <c r="J146" s="33">
        <v>10</v>
      </c>
      <c r="K146" s="33">
        <v>0.02</v>
      </c>
      <c r="L146" s="33">
        <v>0.03</v>
      </c>
      <c r="M146" s="33">
        <v>0.4</v>
      </c>
      <c r="N146" s="33">
        <v>17.8</v>
      </c>
      <c r="O146" s="33">
        <v>373.8</v>
      </c>
      <c r="P146" s="33">
        <v>319</v>
      </c>
      <c r="Q146" s="33">
        <v>5.3</v>
      </c>
      <c r="R146" s="33" t="s">
        <v>400</v>
      </c>
      <c r="S146" s="32"/>
      <c r="T146" s="33">
        <v>5</v>
      </c>
      <c r="U146" s="49"/>
    </row>
    <row r="147" spans="1:21">
      <c r="A147" s="50" t="s">
        <v>461</v>
      </c>
      <c r="B147" s="33" t="s">
        <v>1618</v>
      </c>
      <c r="C147" s="33">
        <v>100</v>
      </c>
      <c r="D147" s="33">
        <v>576</v>
      </c>
      <c r="E147" s="33">
        <v>3.4</v>
      </c>
      <c r="F147" s="48">
        <v>27.6</v>
      </c>
      <c r="G147" s="48">
        <v>44.4</v>
      </c>
      <c r="H147" s="33">
        <v>2.7</v>
      </c>
      <c r="I147" s="48">
        <v>16.600000000000001</v>
      </c>
      <c r="J147" s="32"/>
      <c r="K147" s="33">
        <v>0.04</v>
      </c>
      <c r="L147" s="33">
        <v>0.02</v>
      </c>
      <c r="M147" s="33">
        <v>1.6</v>
      </c>
      <c r="N147" s="33">
        <v>50.79</v>
      </c>
      <c r="O147" s="33">
        <v>1440.3</v>
      </c>
      <c r="P147" s="33">
        <v>251</v>
      </c>
      <c r="Q147" s="33">
        <v>6.3</v>
      </c>
      <c r="R147" s="33" t="s">
        <v>400</v>
      </c>
      <c r="S147" s="32"/>
      <c r="T147" s="33">
        <v>5</v>
      </c>
      <c r="U147" s="49"/>
    </row>
    <row r="148" spans="1:21">
      <c r="A148" s="50" t="s">
        <v>462</v>
      </c>
      <c r="B148" s="33" t="s">
        <v>1624</v>
      </c>
      <c r="C148" s="33">
        <v>100</v>
      </c>
      <c r="D148" s="33">
        <v>186</v>
      </c>
      <c r="E148" s="33">
        <v>63.5</v>
      </c>
      <c r="F148" s="48">
        <v>11.2</v>
      </c>
      <c r="G148" s="48">
        <v>13.7</v>
      </c>
      <c r="H148" s="33">
        <v>5.6</v>
      </c>
      <c r="I148" s="48">
        <v>4.5</v>
      </c>
      <c r="J148" s="33">
        <v>5</v>
      </c>
      <c r="K148" s="33">
        <v>0.03</v>
      </c>
      <c r="L148" s="33">
        <v>0.04</v>
      </c>
      <c r="M148" s="33">
        <v>0.5</v>
      </c>
      <c r="N148" s="33">
        <v>27.72</v>
      </c>
      <c r="O148" s="32"/>
      <c r="P148" s="33">
        <v>103</v>
      </c>
      <c r="Q148" s="33">
        <v>6</v>
      </c>
      <c r="R148" s="33" t="s">
        <v>400</v>
      </c>
      <c r="S148" s="32"/>
      <c r="T148" s="33">
        <v>5</v>
      </c>
      <c r="U148" s="49"/>
    </row>
    <row r="149" spans="1:21">
      <c r="A149" s="50" t="s">
        <v>463</v>
      </c>
      <c r="B149" s="33" t="s">
        <v>1618</v>
      </c>
      <c r="C149" s="33">
        <v>100</v>
      </c>
      <c r="D149" s="33">
        <v>173</v>
      </c>
      <c r="E149" s="33">
        <v>65.3</v>
      </c>
      <c r="F149" s="48">
        <v>14</v>
      </c>
      <c r="G149" s="48">
        <v>10.199999999999999</v>
      </c>
      <c r="H149" s="33">
        <v>2</v>
      </c>
      <c r="I149" s="48">
        <v>6.3</v>
      </c>
      <c r="J149" s="32"/>
      <c r="K149" s="33">
        <v>7.0000000000000007E-2</v>
      </c>
      <c r="L149" s="33">
        <v>0.04</v>
      </c>
      <c r="M149" s="33">
        <v>0.5</v>
      </c>
      <c r="N149" s="33">
        <v>9.51</v>
      </c>
      <c r="O149" s="33">
        <v>475.1</v>
      </c>
      <c r="P149" s="33">
        <v>174</v>
      </c>
      <c r="Q149" s="33">
        <v>6</v>
      </c>
      <c r="R149" s="33" t="s">
        <v>400</v>
      </c>
      <c r="S149" s="32"/>
      <c r="T149" s="33">
        <v>5</v>
      </c>
      <c r="U149" s="49"/>
    </row>
    <row r="150" spans="1:21">
      <c r="A150" s="50" t="s">
        <v>464</v>
      </c>
      <c r="B150" s="33" t="s">
        <v>1652</v>
      </c>
      <c r="C150" s="33">
        <v>100</v>
      </c>
      <c r="D150" s="33">
        <v>416</v>
      </c>
      <c r="E150" s="33">
        <v>9.1999999999999993</v>
      </c>
      <c r="F150" s="48">
        <v>12.8</v>
      </c>
      <c r="G150" s="48">
        <v>13.6</v>
      </c>
      <c r="H150" s="33">
        <v>1.2</v>
      </c>
      <c r="I150" s="48">
        <v>60.5</v>
      </c>
      <c r="J150" s="32"/>
      <c r="K150" s="33">
        <v>0.26</v>
      </c>
      <c r="L150" s="33">
        <v>0.17</v>
      </c>
      <c r="M150" s="33">
        <v>1.5</v>
      </c>
      <c r="N150" s="33">
        <v>8.1300000000000008</v>
      </c>
      <c r="O150" s="33">
        <v>109.8</v>
      </c>
      <c r="P150" s="33">
        <v>59</v>
      </c>
      <c r="Q150" s="33">
        <v>2.2999999999999998</v>
      </c>
      <c r="R150" s="33" t="s">
        <v>400</v>
      </c>
      <c r="S150" s="32"/>
      <c r="T150" s="33">
        <v>5</v>
      </c>
      <c r="U150" s="49"/>
    </row>
    <row r="151" spans="1:21">
      <c r="A151" s="50" t="s">
        <v>465</v>
      </c>
      <c r="B151" s="32"/>
      <c r="C151" s="33">
        <v>100</v>
      </c>
      <c r="D151" s="33">
        <v>313</v>
      </c>
      <c r="E151" s="33">
        <v>10.4</v>
      </c>
      <c r="F151" s="48">
        <v>20.3</v>
      </c>
      <c r="G151" s="48">
        <v>1.1000000000000001</v>
      </c>
      <c r="H151" s="33">
        <v>10.4</v>
      </c>
      <c r="I151" s="48">
        <v>55.4</v>
      </c>
      <c r="J151" s="33">
        <v>42</v>
      </c>
      <c r="K151" s="33">
        <v>0.49</v>
      </c>
      <c r="L151" s="33">
        <v>0.14000000000000001</v>
      </c>
      <c r="M151" s="33">
        <v>2.4</v>
      </c>
      <c r="N151" s="33">
        <v>8.4700000000000006</v>
      </c>
      <c r="O151" s="33">
        <v>9.6999999999999993</v>
      </c>
      <c r="P151" s="33">
        <v>97</v>
      </c>
      <c r="Q151" s="33">
        <v>4.9000000000000004</v>
      </c>
      <c r="R151" s="33" t="s">
        <v>400</v>
      </c>
      <c r="S151" s="32"/>
      <c r="T151" s="33">
        <v>5</v>
      </c>
      <c r="U151" s="49"/>
    </row>
    <row r="152" spans="1:21">
      <c r="A152" s="50" t="s">
        <v>466</v>
      </c>
      <c r="B152" s="32"/>
      <c r="C152" s="33">
        <v>100</v>
      </c>
      <c r="D152" s="33">
        <v>322</v>
      </c>
      <c r="E152" s="33">
        <v>11.5</v>
      </c>
      <c r="F152" s="48">
        <v>21.6</v>
      </c>
      <c r="G152" s="48">
        <v>1</v>
      </c>
      <c r="H152" s="33">
        <v>6.9</v>
      </c>
      <c r="I152" s="48">
        <v>56.7</v>
      </c>
      <c r="J152" s="33">
        <v>40</v>
      </c>
      <c r="K152" s="33">
        <v>0.68</v>
      </c>
      <c r="L152" s="33">
        <v>0.22</v>
      </c>
      <c r="M152" s="33">
        <v>2.4</v>
      </c>
      <c r="N152" s="33">
        <v>9.6300000000000008</v>
      </c>
      <c r="O152" s="33">
        <v>3.2</v>
      </c>
      <c r="P152" s="33">
        <v>106</v>
      </c>
      <c r="Q152" s="33">
        <v>4.4000000000000004</v>
      </c>
      <c r="R152" s="33" t="s">
        <v>400</v>
      </c>
      <c r="S152" s="32"/>
      <c r="T152" s="33">
        <v>5</v>
      </c>
      <c r="U152" s="49"/>
    </row>
    <row r="153" spans="1:21">
      <c r="A153" s="50" t="s">
        <v>467</v>
      </c>
      <c r="B153" s="32"/>
      <c r="C153" s="33">
        <v>100</v>
      </c>
      <c r="D153" s="33">
        <v>309</v>
      </c>
      <c r="E153" s="33">
        <v>12.6</v>
      </c>
      <c r="F153" s="48">
        <v>20.2</v>
      </c>
      <c r="G153" s="48">
        <v>0.6</v>
      </c>
      <c r="H153" s="33">
        <v>7.7</v>
      </c>
      <c r="I153" s="48">
        <v>55.7</v>
      </c>
      <c r="J153" s="33">
        <v>13</v>
      </c>
      <c r="K153" s="33">
        <v>0.16</v>
      </c>
      <c r="L153" s="33">
        <v>0.11</v>
      </c>
      <c r="M153" s="33">
        <v>2</v>
      </c>
      <c r="N153" s="33">
        <v>14.36</v>
      </c>
      <c r="O153" s="33">
        <v>2.2000000000000002</v>
      </c>
      <c r="P153" s="33">
        <v>74</v>
      </c>
      <c r="Q153" s="33">
        <v>7.4</v>
      </c>
      <c r="R153" s="33" t="s">
        <v>400</v>
      </c>
      <c r="S153" s="32"/>
      <c r="T153" s="33">
        <v>5</v>
      </c>
      <c r="U153" s="49"/>
    </row>
    <row r="154" spans="1:21">
      <c r="A154" s="50" t="s">
        <v>468</v>
      </c>
      <c r="B154" s="32"/>
      <c r="C154" s="33">
        <v>100</v>
      </c>
      <c r="D154" s="33">
        <v>244</v>
      </c>
      <c r="E154" s="33">
        <v>58.8</v>
      </c>
      <c r="F154" s="48">
        <v>17</v>
      </c>
      <c r="G154" s="48">
        <v>17.600000000000001</v>
      </c>
      <c r="H154" s="33">
        <v>0.6</v>
      </c>
      <c r="I154" s="48">
        <v>4.3</v>
      </c>
      <c r="J154" s="33">
        <v>5</v>
      </c>
      <c r="K154" s="33">
        <v>0.05</v>
      </c>
      <c r="L154" s="33">
        <v>0.04</v>
      </c>
      <c r="M154" s="33">
        <v>0.3</v>
      </c>
      <c r="N154" s="33">
        <v>24.7</v>
      </c>
      <c r="O154" s="33">
        <v>32.5</v>
      </c>
      <c r="P154" s="33">
        <v>147</v>
      </c>
      <c r="Q154" s="33">
        <v>5.2</v>
      </c>
      <c r="R154" s="33" t="s">
        <v>400</v>
      </c>
      <c r="S154" s="32"/>
      <c r="T154" s="33">
        <v>5</v>
      </c>
      <c r="U154" s="49"/>
    </row>
    <row r="155" spans="1:21">
      <c r="A155" s="50" t="s">
        <v>469</v>
      </c>
      <c r="B155" s="33" t="s">
        <v>1652</v>
      </c>
      <c r="C155" s="33">
        <v>100</v>
      </c>
      <c r="D155" s="33">
        <v>405</v>
      </c>
      <c r="E155" s="33">
        <v>8.1</v>
      </c>
      <c r="F155" s="48">
        <v>25.1</v>
      </c>
      <c r="G155" s="48">
        <v>9.8000000000000007</v>
      </c>
      <c r="H155" s="33">
        <v>0.7</v>
      </c>
      <c r="I155" s="48">
        <v>54</v>
      </c>
      <c r="J155" s="32"/>
      <c r="K155" s="33">
        <v>0.11</v>
      </c>
      <c r="L155" s="33">
        <v>0.2</v>
      </c>
      <c r="M155" s="33">
        <v>1.8</v>
      </c>
      <c r="N155" s="33">
        <v>7.88</v>
      </c>
      <c r="O155" s="33">
        <v>359.4</v>
      </c>
      <c r="P155" s="33">
        <v>63</v>
      </c>
      <c r="Q155" s="33">
        <v>1.9</v>
      </c>
      <c r="R155" s="33" t="s">
        <v>400</v>
      </c>
      <c r="S155" s="32"/>
      <c r="T155" s="33">
        <v>5</v>
      </c>
      <c r="U155" s="49"/>
    </row>
    <row r="156" spans="1:21">
      <c r="A156" s="50" t="s">
        <v>470</v>
      </c>
      <c r="B156" s="33" t="s">
        <v>1653</v>
      </c>
      <c r="C156" s="33">
        <v>100</v>
      </c>
      <c r="D156" s="33">
        <v>400</v>
      </c>
      <c r="E156" s="33">
        <v>12.2</v>
      </c>
      <c r="F156" s="48">
        <v>33.4</v>
      </c>
      <c r="G156" s="48">
        <v>14.8</v>
      </c>
      <c r="H156" s="33">
        <v>1.8</v>
      </c>
      <c r="I156" s="48">
        <v>33.299999999999997</v>
      </c>
      <c r="J156" s="32"/>
      <c r="K156" s="33">
        <v>0.04</v>
      </c>
      <c r="L156" s="33">
        <v>0.26</v>
      </c>
      <c r="M156" s="33">
        <v>1.8</v>
      </c>
      <c r="N156" s="33">
        <v>18.75</v>
      </c>
      <c r="O156" s="32"/>
      <c r="P156" s="32"/>
      <c r="Q156" s="32"/>
      <c r="R156" s="33" t="s">
        <v>400</v>
      </c>
      <c r="S156" s="32"/>
      <c r="T156" s="33">
        <v>5</v>
      </c>
      <c r="U156" s="49"/>
    </row>
    <row r="157" spans="1:21">
      <c r="A157" s="50" t="s">
        <v>471</v>
      </c>
      <c r="B157" s="33" t="s">
        <v>1641</v>
      </c>
      <c r="C157" s="33">
        <v>100</v>
      </c>
      <c r="D157" s="33">
        <v>296</v>
      </c>
      <c r="E157" s="33">
        <v>14.4</v>
      </c>
      <c r="F157" s="48">
        <v>23.4</v>
      </c>
      <c r="G157" s="48">
        <v>1.4</v>
      </c>
      <c r="H157" s="33">
        <v>9.8000000000000007</v>
      </c>
      <c r="I157" s="48">
        <v>47.4</v>
      </c>
      <c r="J157" s="32"/>
      <c r="K157" s="33">
        <v>0.18</v>
      </c>
      <c r="L157" s="33">
        <v>0.26</v>
      </c>
      <c r="M157" s="33">
        <v>2.4</v>
      </c>
      <c r="N157" s="33">
        <v>6.16</v>
      </c>
      <c r="O157" s="32"/>
      <c r="P157" s="32"/>
      <c r="Q157" s="32"/>
      <c r="R157" s="33" t="s">
        <v>400</v>
      </c>
      <c r="S157" s="32"/>
      <c r="T157" s="33">
        <v>5</v>
      </c>
      <c r="U157" s="49"/>
    </row>
    <row r="158" spans="1:21">
      <c r="A158" s="50" t="s">
        <v>472</v>
      </c>
      <c r="B158" s="32"/>
      <c r="C158" s="33">
        <v>100</v>
      </c>
      <c r="D158" s="33">
        <v>314</v>
      </c>
      <c r="E158" s="33">
        <v>11.1</v>
      </c>
      <c r="F158" s="48">
        <v>21.4</v>
      </c>
      <c r="G158" s="48">
        <v>1.3</v>
      </c>
      <c r="H158" s="33">
        <v>8.3000000000000007</v>
      </c>
      <c r="I158" s="48">
        <v>54.2</v>
      </c>
      <c r="J158" s="33">
        <v>30</v>
      </c>
      <c r="K158" s="33">
        <v>0.18</v>
      </c>
      <c r="L158" s="33">
        <v>0.09</v>
      </c>
      <c r="M158" s="33">
        <v>2</v>
      </c>
      <c r="N158" s="33">
        <v>7.74</v>
      </c>
      <c r="O158" s="33">
        <v>0.6</v>
      </c>
      <c r="P158" s="33">
        <v>176</v>
      </c>
      <c r="Q158" s="33">
        <v>5.4</v>
      </c>
      <c r="R158" s="33" t="s">
        <v>400</v>
      </c>
      <c r="S158" s="32"/>
      <c r="T158" s="33">
        <v>5</v>
      </c>
      <c r="U158" s="49"/>
    </row>
    <row r="159" spans="1:21">
      <c r="A159" s="50" t="s">
        <v>473</v>
      </c>
      <c r="B159" s="33" t="s">
        <v>1641</v>
      </c>
      <c r="C159" s="33">
        <v>100</v>
      </c>
      <c r="D159" s="33">
        <v>334</v>
      </c>
      <c r="E159" s="33">
        <v>10.199999999999999</v>
      </c>
      <c r="F159" s="48">
        <v>22.5</v>
      </c>
      <c r="G159" s="48">
        <v>0.9</v>
      </c>
      <c r="H159" s="33">
        <v>3.5</v>
      </c>
      <c r="I159" s="48">
        <v>59</v>
      </c>
      <c r="J159" s="32"/>
      <c r="K159" s="33">
        <v>0.37</v>
      </c>
      <c r="L159" s="33">
        <v>0.28000000000000003</v>
      </c>
      <c r="M159" s="33">
        <v>2.1</v>
      </c>
      <c r="N159" s="33">
        <v>6.02</v>
      </c>
      <c r="O159" s="33">
        <v>3.3</v>
      </c>
      <c r="P159" s="33">
        <v>156</v>
      </c>
      <c r="Q159" s="33">
        <v>1.7</v>
      </c>
      <c r="R159" s="33" t="s">
        <v>400</v>
      </c>
      <c r="S159" s="32"/>
      <c r="T159" s="33">
        <v>5</v>
      </c>
      <c r="U159" s="49"/>
    </row>
    <row r="160" spans="1:21">
      <c r="A160" s="50" t="s">
        <v>474</v>
      </c>
      <c r="B160" s="33" t="s">
        <v>1641</v>
      </c>
      <c r="C160" s="33">
        <v>100</v>
      </c>
      <c r="D160" s="33">
        <v>306</v>
      </c>
      <c r="E160" s="33">
        <v>9.8000000000000007</v>
      </c>
      <c r="F160" s="48">
        <v>22.4</v>
      </c>
      <c r="G160" s="48">
        <v>0.6</v>
      </c>
      <c r="H160" s="33">
        <v>10.5</v>
      </c>
      <c r="I160" s="48">
        <v>52.8</v>
      </c>
      <c r="J160" s="32"/>
      <c r="K160" s="32"/>
      <c r="L160" s="32"/>
      <c r="M160" s="32"/>
      <c r="N160" s="32"/>
      <c r="O160" s="33">
        <v>10.5</v>
      </c>
      <c r="P160" s="33">
        <v>349</v>
      </c>
      <c r="Q160" s="33">
        <v>8.6999999999999993</v>
      </c>
      <c r="R160" s="33" t="s">
        <v>400</v>
      </c>
      <c r="S160" s="32"/>
      <c r="T160" s="33">
        <v>5</v>
      </c>
      <c r="U160" s="49"/>
    </row>
    <row r="161" spans="1:21">
      <c r="A161" s="50" t="s">
        <v>475</v>
      </c>
      <c r="B161" s="33" t="s">
        <v>1654</v>
      </c>
      <c r="C161" s="33">
        <v>100</v>
      </c>
      <c r="D161" s="33">
        <v>316</v>
      </c>
      <c r="E161" s="33">
        <v>11.4</v>
      </c>
      <c r="F161" s="48">
        <v>8.1999999999999993</v>
      </c>
      <c r="G161" s="48">
        <v>1</v>
      </c>
      <c r="H161" s="33">
        <v>6.8</v>
      </c>
      <c r="I161" s="48">
        <v>68.599999999999994</v>
      </c>
      <c r="J161" s="32"/>
      <c r="K161" s="32"/>
      <c r="L161" s="32"/>
      <c r="M161" s="32"/>
      <c r="N161" s="32"/>
      <c r="O161" s="32"/>
      <c r="P161" s="32"/>
      <c r="Q161" s="32"/>
      <c r="R161" s="33" t="s">
        <v>400</v>
      </c>
      <c r="S161" s="32"/>
      <c r="T161" s="33">
        <v>5</v>
      </c>
      <c r="U161" s="49"/>
    </row>
    <row r="162" spans="1:21">
      <c r="A162" s="50" t="s">
        <v>476</v>
      </c>
      <c r="B162" s="33" t="s">
        <v>1628</v>
      </c>
      <c r="C162" s="33">
        <v>100</v>
      </c>
      <c r="D162" s="33">
        <v>472</v>
      </c>
      <c r="E162" s="33">
        <v>6.9</v>
      </c>
      <c r="F162" s="48">
        <v>44.5</v>
      </c>
      <c r="G162" s="48">
        <v>24.7</v>
      </c>
      <c r="H162" s="33">
        <v>2.7</v>
      </c>
      <c r="I162" s="48">
        <v>18</v>
      </c>
      <c r="J162" s="32"/>
      <c r="K162" s="33">
        <v>0.11</v>
      </c>
      <c r="L162" s="33">
        <v>7.0000000000000007E-2</v>
      </c>
      <c r="M162" s="33">
        <v>0.9</v>
      </c>
      <c r="N162" s="33">
        <v>26.78</v>
      </c>
      <c r="O162" s="33">
        <v>83</v>
      </c>
      <c r="P162" s="33">
        <v>49</v>
      </c>
      <c r="Q162" s="33">
        <v>10.8</v>
      </c>
      <c r="R162" s="33" t="s">
        <v>400</v>
      </c>
      <c r="S162" s="32"/>
      <c r="T162" s="33">
        <v>5</v>
      </c>
      <c r="U162" s="49"/>
    </row>
    <row r="163" spans="1:21">
      <c r="A163" s="50" t="s">
        <v>477</v>
      </c>
      <c r="B163" s="32"/>
      <c r="C163" s="33">
        <v>91</v>
      </c>
      <c r="D163" s="33">
        <v>37</v>
      </c>
      <c r="E163" s="33">
        <v>88.3</v>
      </c>
      <c r="F163" s="48">
        <v>2.7</v>
      </c>
      <c r="G163" s="48">
        <v>0.2</v>
      </c>
      <c r="H163" s="33">
        <v>2.1</v>
      </c>
      <c r="I163" s="48">
        <v>6.1</v>
      </c>
      <c r="J163" s="33">
        <v>25</v>
      </c>
      <c r="K163" s="33">
        <v>0.04</v>
      </c>
      <c r="L163" s="33">
        <v>7.0000000000000007E-2</v>
      </c>
      <c r="M163" s="33">
        <v>0.9</v>
      </c>
      <c r="N163" s="33">
        <v>0.24</v>
      </c>
      <c r="O163" s="33">
        <v>3.8</v>
      </c>
      <c r="P163" s="33">
        <v>38</v>
      </c>
      <c r="Q163" s="33">
        <v>1.9</v>
      </c>
      <c r="R163" s="33" t="s">
        <v>478</v>
      </c>
      <c r="S163" s="33">
        <v>13</v>
      </c>
      <c r="T163" s="33">
        <v>25</v>
      </c>
      <c r="U163" s="49"/>
    </row>
    <row r="164" spans="1:21">
      <c r="A164" s="50" t="s">
        <v>479</v>
      </c>
      <c r="B164" s="32"/>
      <c r="C164" s="33">
        <v>31</v>
      </c>
      <c r="D164" s="33">
        <v>104</v>
      </c>
      <c r="E164" s="33">
        <v>70.2</v>
      </c>
      <c r="F164" s="48">
        <v>8.8000000000000007</v>
      </c>
      <c r="G164" s="48">
        <v>0.4</v>
      </c>
      <c r="H164" s="33">
        <v>3.1</v>
      </c>
      <c r="I164" s="48">
        <v>16.399999999999999</v>
      </c>
      <c r="J164" s="33">
        <v>52</v>
      </c>
      <c r="K164" s="33">
        <v>0.37</v>
      </c>
      <c r="L164" s="33">
        <v>0.1</v>
      </c>
      <c r="M164" s="33">
        <v>1.5</v>
      </c>
      <c r="N164" s="33">
        <v>0.83</v>
      </c>
      <c r="O164" s="33">
        <v>4</v>
      </c>
      <c r="P164" s="33">
        <v>16</v>
      </c>
      <c r="Q164" s="33">
        <v>3.5</v>
      </c>
      <c r="R164" s="33" t="s">
        <v>478</v>
      </c>
      <c r="S164" s="33">
        <v>16</v>
      </c>
      <c r="T164" s="33">
        <v>25</v>
      </c>
      <c r="U164" s="49"/>
    </row>
    <row r="165" spans="1:21">
      <c r="A165" s="50" t="s">
        <v>480</v>
      </c>
      <c r="B165" s="32"/>
      <c r="C165" s="33">
        <v>92</v>
      </c>
      <c r="D165" s="33">
        <v>35</v>
      </c>
      <c r="E165" s="33">
        <v>89</v>
      </c>
      <c r="F165" s="48">
        <v>3.1</v>
      </c>
      <c r="G165" s="48">
        <v>0.2</v>
      </c>
      <c r="H165" s="33">
        <v>1.8</v>
      </c>
      <c r="I165" s="48">
        <v>5.3</v>
      </c>
      <c r="J165" s="33">
        <v>37</v>
      </c>
      <c r="K165" s="33">
        <v>0.05</v>
      </c>
      <c r="L165" s="33">
        <v>7.0000000000000007E-2</v>
      </c>
      <c r="M165" s="33">
        <v>1</v>
      </c>
      <c r="N165" s="33">
        <v>0.31</v>
      </c>
      <c r="O165" s="33">
        <v>5.9</v>
      </c>
      <c r="P165" s="33">
        <v>48</v>
      </c>
      <c r="Q165" s="33">
        <v>3.2</v>
      </c>
      <c r="R165" s="33" t="s">
        <v>478</v>
      </c>
      <c r="S165" s="33">
        <v>15</v>
      </c>
      <c r="T165" s="33">
        <v>25</v>
      </c>
      <c r="U165" s="49"/>
    </row>
    <row r="166" spans="1:21">
      <c r="A166" s="50" t="s">
        <v>481</v>
      </c>
      <c r="B166" s="32"/>
      <c r="C166" s="33">
        <v>96</v>
      </c>
      <c r="D166" s="33">
        <v>30</v>
      </c>
      <c r="E166" s="33">
        <v>90</v>
      </c>
      <c r="F166" s="48">
        <v>2.5</v>
      </c>
      <c r="G166" s="48">
        <v>0.2</v>
      </c>
      <c r="H166" s="33">
        <v>2.1</v>
      </c>
      <c r="I166" s="48">
        <v>4.5999999999999996</v>
      </c>
      <c r="J166" s="33">
        <v>33</v>
      </c>
      <c r="K166" s="33">
        <v>0.05</v>
      </c>
      <c r="L166" s="33">
        <v>7.0000000000000007E-2</v>
      </c>
      <c r="M166" s="33">
        <v>0.9</v>
      </c>
      <c r="N166" s="33">
        <v>2.2400000000000002</v>
      </c>
      <c r="O166" s="33">
        <v>3.4</v>
      </c>
      <c r="P166" s="33">
        <v>29</v>
      </c>
      <c r="Q166" s="33">
        <v>1.5</v>
      </c>
      <c r="R166" s="33" t="s">
        <v>478</v>
      </c>
      <c r="S166" s="33">
        <v>18</v>
      </c>
      <c r="T166" s="33">
        <v>25</v>
      </c>
      <c r="U166" s="49"/>
    </row>
    <row r="167" spans="1:21">
      <c r="A167" s="50" t="s">
        <v>482</v>
      </c>
      <c r="B167" s="33" t="s">
        <v>1628</v>
      </c>
      <c r="C167" s="33">
        <v>97</v>
      </c>
      <c r="D167" s="33">
        <v>30</v>
      </c>
      <c r="E167" s="33">
        <v>89.7</v>
      </c>
      <c r="F167" s="48">
        <v>2.2000000000000002</v>
      </c>
      <c r="G167" s="48">
        <v>0.2</v>
      </c>
      <c r="H167" s="33">
        <v>2.6</v>
      </c>
      <c r="I167" s="48">
        <v>4.8</v>
      </c>
      <c r="J167" s="33">
        <v>97</v>
      </c>
      <c r="K167" s="33">
        <v>0.06</v>
      </c>
      <c r="L167" s="33">
        <v>0.04</v>
      </c>
      <c r="M167" s="33">
        <v>0.9</v>
      </c>
      <c r="N167" s="33">
        <v>2.38</v>
      </c>
      <c r="O167" s="33">
        <v>9.5</v>
      </c>
      <c r="P167" s="33">
        <v>26</v>
      </c>
      <c r="Q167" s="33">
        <v>0.8</v>
      </c>
      <c r="R167" s="33" t="s">
        <v>478</v>
      </c>
      <c r="S167" s="33">
        <v>39</v>
      </c>
      <c r="T167" s="33">
        <v>25</v>
      </c>
      <c r="U167" s="49"/>
    </row>
    <row r="168" spans="1:21">
      <c r="A168" s="50" t="s">
        <v>483</v>
      </c>
      <c r="B168" s="33" t="s">
        <v>1627</v>
      </c>
      <c r="C168" s="33">
        <v>83</v>
      </c>
      <c r="D168" s="33">
        <v>128</v>
      </c>
      <c r="E168" s="33">
        <v>66.099999999999994</v>
      </c>
      <c r="F168" s="48">
        <v>12.4</v>
      </c>
      <c r="G168" s="48">
        <v>0.7</v>
      </c>
      <c r="H168" s="33">
        <v>1.3</v>
      </c>
      <c r="I168" s="48">
        <v>18.100000000000001</v>
      </c>
      <c r="J168" s="32"/>
      <c r="K168" s="33">
        <v>0.3</v>
      </c>
      <c r="L168" s="33">
        <v>0.17</v>
      </c>
      <c r="M168" s="33">
        <v>2.2999999999999998</v>
      </c>
      <c r="N168" s="33">
        <v>2.8</v>
      </c>
      <c r="O168" s="33">
        <v>3.9</v>
      </c>
      <c r="P168" s="33">
        <v>41</v>
      </c>
      <c r="Q168" s="33">
        <v>5</v>
      </c>
      <c r="R168" s="33" t="s">
        <v>478</v>
      </c>
      <c r="S168" s="33">
        <v>4</v>
      </c>
      <c r="T168" s="33">
        <v>25</v>
      </c>
      <c r="U168" s="49"/>
    </row>
    <row r="169" spans="1:21">
      <c r="A169" s="50" t="s">
        <v>484</v>
      </c>
      <c r="B169" s="33" t="s">
        <v>1628</v>
      </c>
      <c r="C169" s="33">
        <v>88</v>
      </c>
      <c r="D169" s="33">
        <v>27</v>
      </c>
      <c r="E169" s="33">
        <v>91.9</v>
      </c>
      <c r="F169" s="48">
        <v>2.5</v>
      </c>
      <c r="G169" s="48">
        <v>0.3</v>
      </c>
      <c r="H169" s="33">
        <v>1.4</v>
      </c>
      <c r="I169" s="48">
        <v>3.5</v>
      </c>
      <c r="J169" s="33">
        <v>80</v>
      </c>
      <c r="K169" s="33">
        <v>0.09</v>
      </c>
      <c r="L169" s="33">
        <v>0.04</v>
      </c>
      <c r="M169" s="33">
        <v>0.7</v>
      </c>
      <c r="N169" s="33">
        <v>0.3</v>
      </c>
      <c r="O169" s="33">
        <v>8.8000000000000007</v>
      </c>
      <c r="P169" s="33">
        <v>51</v>
      </c>
      <c r="Q169" s="33">
        <v>0.9</v>
      </c>
      <c r="R169" s="33" t="s">
        <v>478</v>
      </c>
      <c r="S169" s="33">
        <v>16</v>
      </c>
      <c r="T169" s="33">
        <v>25</v>
      </c>
      <c r="U169" s="49"/>
    </row>
    <row r="170" spans="1:21">
      <c r="A170" s="50" t="s">
        <v>485</v>
      </c>
      <c r="B170" s="32"/>
      <c r="C170" s="33">
        <v>100</v>
      </c>
      <c r="D170" s="33">
        <v>44</v>
      </c>
      <c r="E170" s="33">
        <v>88.8</v>
      </c>
      <c r="F170" s="48">
        <v>4.5</v>
      </c>
      <c r="G170" s="48">
        <v>1.6</v>
      </c>
      <c r="H170" s="33">
        <v>1.5</v>
      </c>
      <c r="I170" s="48">
        <v>3</v>
      </c>
      <c r="J170" s="33">
        <v>5</v>
      </c>
      <c r="K170" s="33">
        <v>0.04</v>
      </c>
      <c r="L170" s="33">
        <v>7.0000000000000007E-2</v>
      </c>
      <c r="M170" s="33">
        <v>0.6</v>
      </c>
      <c r="N170" s="33">
        <v>0.8</v>
      </c>
      <c r="O170" s="33">
        <v>7.2</v>
      </c>
      <c r="P170" s="33">
        <v>21</v>
      </c>
      <c r="Q170" s="33">
        <v>0.9</v>
      </c>
      <c r="R170" s="33" t="s">
        <v>478</v>
      </c>
      <c r="S170" s="33">
        <v>8</v>
      </c>
      <c r="T170" s="33">
        <v>25</v>
      </c>
      <c r="U170" s="49"/>
    </row>
    <row r="171" spans="1:21">
      <c r="A171" s="50" t="s">
        <v>486</v>
      </c>
      <c r="B171" s="32"/>
      <c r="C171" s="33">
        <v>97</v>
      </c>
      <c r="D171" s="33">
        <v>29</v>
      </c>
      <c r="E171" s="33">
        <v>90.3</v>
      </c>
      <c r="F171" s="48">
        <v>2.9</v>
      </c>
      <c r="G171" s="48">
        <v>0.3</v>
      </c>
      <c r="H171" s="33">
        <v>2.2999999999999998</v>
      </c>
      <c r="I171" s="48">
        <v>3.6</v>
      </c>
      <c r="J171" s="33">
        <v>42</v>
      </c>
      <c r="K171" s="33">
        <v>7.0000000000000007E-2</v>
      </c>
      <c r="L171" s="33">
        <v>0.09</v>
      </c>
      <c r="M171" s="33">
        <v>1.4</v>
      </c>
      <c r="N171" s="33">
        <v>4.3899999999999997</v>
      </c>
      <c r="O171" s="33">
        <v>2.2000000000000002</v>
      </c>
      <c r="P171" s="33">
        <v>27</v>
      </c>
      <c r="Q171" s="33">
        <v>0.5</v>
      </c>
      <c r="R171" s="33" t="s">
        <v>478</v>
      </c>
      <c r="S171" s="33">
        <v>19</v>
      </c>
      <c r="T171" s="33">
        <v>25</v>
      </c>
      <c r="U171" s="49"/>
    </row>
    <row r="172" spans="1:21">
      <c r="A172" s="50" t="s">
        <v>487</v>
      </c>
      <c r="B172" s="32"/>
      <c r="C172" s="33">
        <v>98</v>
      </c>
      <c r="D172" s="33">
        <v>29</v>
      </c>
      <c r="E172" s="33">
        <v>90.8</v>
      </c>
      <c r="F172" s="48">
        <v>2.7</v>
      </c>
      <c r="G172" s="48">
        <v>0.2</v>
      </c>
      <c r="H172" s="33">
        <v>1.8</v>
      </c>
      <c r="I172" s="48">
        <v>4</v>
      </c>
      <c r="J172" s="33">
        <v>20</v>
      </c>
      <c r="K172" s="33">
        <v>7.0000000000000007E-2</v>
      </c>
      <c r="L172" s="33">
        <v>7.0000000000000007E-2</v>
      </c>
      <c r="M172" s="33">
        <v>0.8</v>
      </c>
      <c r="N172" s="33">
        <v>0.65</v>
      </c>
      <c r="O172" s="33">
        <v>4.5999999999999996</v>
      </c>
      <c r="P172" s="33">
        <v>42</v>
      </c>
      <c r="Q172" s="33">
        <v>1</v>
      </c>
      <c r="R172" s="33" t="s">
        <v>478</v>
      </c>
      <c r="S172" s="33">
        <v>18</v>
      </c>
      <c r="T172" s="33">
        <v>25</v>
      </c>
      <c r="U172" s="49"/>
    </row>
    <row r="173" spans="1:21">
      <c r="A173" s="50" t="s">
        <v>488</v>
      </c>
      <c r="B173" s="32"/>
      <c r="C173" s="33">
        <v>100</v>
      </c>
      <c r="D173" s="33">
        <v>18</v>
      </c>
      <c r="E173" s="33">
        <v>94.6</v>
      </c>
      <c r="F173" s="48">
        <v>2.1</v>
      </c>
      <c r="G173" s="48">
        <v>0.1</v>
      </c>
      <c r="H173" s="33">
        <v>0.8</v>
      </c>
      <c r="I173" s="48">
        <v>2.1</v>
      </c>
      <c r="J173" s="33">
        <v>3</v>
      </c>
      <c r="K173" s="33">
        <v>0.05</v>
      </c>
      <c r="L173" s="33">
        <v>0.06</v>
      </c>
      <c r="M173" s="33">
        <v>0.5</v>
      </c>
      <c r="N173" s="33">
        <v>0.19</v>
      </c>
      <c r="O173" s="33">
        <v>4.4000000000000004</v>
      </c>
      <c r="P173" s="33">
        <v>9</v>
      </c>
      <c r="Q173" s="33">
        <v>0.6</v>
      </c>
      <c r="R173" s="33" t="s">
        <v>478</v>
      </c>
      <c r="S173" s="33">
        <v>6</v>
      </c>
      <c r="T173" s="33">
        <v>25</v>
      </c>
      <c r="U173" s="49"/>
    </row>
    <row r="174" spans="1:21">
      <c r="A174" s="50" t="s">
        <v>489</v>
      </c>
      <c r="B174" s="33" t="s">
        <v>1655</v>
      </c>
      <c r="C174" s="33">
        <v>82</v>
      </c>
      <c r="D174" s="33">
        <v>34</v>
      </c>
      <c r="E174" s="33">
        <v>90.3</v>
      </c>
      <c r="F174" s="48">
        <v>2</v>
      </c>
      <c r="G174" s="48">
        <v>0.4</v>
      </c>
      <c r="H174" s="33">
        <v>1.3</v>
      </c>
      <c r="I174" s="48">
        <v>5.5</v>
      </c>
      <c r="J174" s="33">
        <v>13</v>
      </c>
      <c r="K174" s="33">
        <v>0.04</v>
      </c>
      <c r="L174" s="33">
        <v>0.02</v>
      </c>
      <c r="M174" s="33">
        <v>0.3</v>
      </c>
      <c r="N174" s="33">
        <v>0.9</v>
      </c>
      <c r="O174" s="33">
        <v>0.9</v>
      </c>
      <c r="P174" s="33">
        <v>37</v>
      </c>
      <c r="Q174" s="33">
        <v>1.3</v>
      </c>
      <c r="R174" s="33" t="s">
        <v>478</v>
      </c>
      <c r="S174" s="33">
        <v>13</v>
      </c>
      <c r="T174" s="33">
        <v>25</v>
      </c>
      <c r="U174" s="49"/>
    </row>
    <row r="175" spans="1:21">
      <c r="A175" s="50" t="s">
        <v>490</v>
      </c>
      <c r="B175" s="33" t="s">
        <v>1656</v>
      </c>
      <c r="C175" s="33">
        <v>98</v>
      </c>
      <c r="D175" s="33">
        <v>32</v>
      </c>
      <c r="E175" s="33">
        <v>90</v>
      </c>
      <c r="F175" s="48">
        <v>3.7</v>
      </c>
      <c r="G175" s="48">
        <v>0.5</v>
      </c>
      <c r="H175" s="33">
        <v>1.9</v>
      </c>
      <c r="I175" s="48">
        <v>3.1</v>
      </c>
      <c r="J175" s="33">
        <v>87</v>
      </c>
      <c r="K175" s="33">
        <v>0.04</v>
      </c>
      <c r="L175" s="33">
        <v>0.06</v>
      </c>
      <c r="M175" s="33">
        <v>1</v>
      </c>
      <c r="N175" s="33">
        <v>0.77</v>
      </c>
      <c r="O175" s="33">
        <v>4.0999999999999996</v>
      </c>
      <c r="P175" s="33">
        <v>147</v>
      </c>
      <c r="Q175" s="33">
        <v>1.3</v>
      </c>
      <c r="R175" s="33" t="s">
        <v>478</v>
      </c>
      <c r="S175" s="33">
        <v>11</v>
      </c>
      <c r="T175" s="33">
        <v>25</v>
      </c>
      <c r="U175" s="49"/>
    </row>
    <row r="176" spans="1:21">
      <c r="A176" s="50" t="s">
        <v>491</v>
      </c>
      <c r="B176" s="33" t="s">
        <v>1628</v>
      </c>
      <c r="C176" s="33">
        <v>93</v>
      </c>
      <c r="D176" s="33">
        <v>17</v>
      </c>
      <c r="E176" s="33">
        <v>94.4</v>
      </c>
      <c r="F176" s="48">
        <v>2.6</v>
      </c>
      <c r="G176" s="48">
        <v>0.2</v>
      </c>
      <c r="H176" s="33">
        <v>1.3</v>
      </c>
      <c r="I176" s="48">
        <v>1.1000000000000001</v>
      </c>
      <c r="J176" s="33">
        <v>87</v>
      </c>
      <c r="K176" s="33">
        <v>0.01</v>
      </c>
      <c r="L176" s="33">
        <v>0.54</v>
      </c>
      <c r="M176" s="33">
        <v>0.8</v>
      </c>
      <c r="N176" s="32"/>
      <c r="O176" s="33">
        <v>1.8</v>
      </c>
      <c r="P176" s="33">
        <v>30</v>
      </c>
      <c r="Q176" s="33">
        <v>0.8</v>
      </c>
      <c r="R176" s="33" t="s">
        <v>478</v>
      </c>
      <c r="S176" s="33">
        <v>12</v>
      </c>
      <c r="T176" s="33">
        <v>25</v>
      </c>
      <c r="U176" s="49"/>
    </row>
    <row r="177" spans="1:21">
      <c r="A177" s="50" t="s">
        <v>492</v>
      </c>
      <c r="B177" s="32"/>
      <c r="C177" s="33">
        <v>53</v>
      </c>
      <c r="D177" s="33">
        <v>123</v>
      </c>
      <c r="E177" s="33">
        <v>69.599999999999994</v>
      </c>
      <c r="F177" s="48">
        <v>13.1</v>
      </c>
      <c r="G177" s="48">
        <v>5</v>
      </c>
      <c r="H177" s="33">
        <v>4</v>
      </c>
      <c r="I177" s="48">
        <v>6.5</v>
      </c>
      <c r="J177" s="33">
        <v>22</v>
      </c>
      <c r="K177" s="33">
        <v>0.15</v>
      </c>
      <c r="L177" s="33">
        <v>7.0000000000000007E-2</v>
      </c>
      <c r="M177" s="33">
        <v>1.4</v>
      </c>
      <c r="N177" s="33">
        <v>2.44</v>
      </c>
      <c r="O177" s="33">
        <v>3.9</v>
      </c>
      <c r="P177" s="33">
        <v>135</v>
      </c>
      <c r="Q177" s="33">
        <v>3.5</v>
      </c>
      <c r="R177" s="33" t="s">
        <v>478</v>
      </c>
      <c r="S177" s="33">
        <v>27</v>
      </c>
      <c r="T177" s="33">
        <v>25</v>
      </c>
      <c r="U177" s="49"/>
    </row>
    <row r="178" spans="1:21">
      <c r="A178" s="50" t="s">
        <v>493</v>
      </c>
      <c r="B178" s="32"/>
      <c r="C178" s="33">
        <v>96</v>
      </c>
      <c r="D178" s="33">
        <v>28</v>
      </c>
      <c r="E178" s="33">
        <v>91.3</v>
      </c>
      <c r="F178" s="48">
        <v>2</v>
      </c>
      <c r="G178" s="48">
        <v>0.4</v>
      </c>
      <c r="H178" s="33">
        <v>1.5</v>
      </c>
      <c r="I178" s="48">
        <v>4.2</v>
      </c>
      <c r="J178" s="33">
        <v>35</v>
      </c>
      <c r="K178" s="33">
        <v>0.04</v>
      </c>
      <c r="L178" s="33">
        <v>7.0000000000000007E-2</v>
      </c>
      <c r="M178" s="33">
        <v>0.4</v>
      </c>
      <c r="N178" s="33">
        <v>1.24</v>
      </c>
      <c r="O178" s="33">
        <v>8.6</v>
      </c>
      <c r="P178" s="33">
        <v>42</v>
      </c>
      <c r="Q178" s="33">
        <v>1.5</v>
      </c>
      <c r="R178" s="33" t="s">
        <v>478</v>
      </c>
      <c r="S178" s="33">
        <v>6</v>
      </c>
      <c r="T178" s="33">
        <v>25</v>
      </c>
      <c r="U178" s="49"/>
    </row>
    <row r="179" spans="1:21">
      <c r="A179" s="50" t="s">
        <v>494</v>
      </c>
      <c r="B179" s="32"/>
      <c r="C179" s="33">
        <v>42</v>
      </c>
      <c r="D179" s="33">
        <v>105</v>
      </c>
      <c r="E179" s="33">
        <v>70.2</v>
      </c>
      <c r="F179" s="48">
        <v>7.4</v>
      </c>
      <c r="G179" s="48">
        <v>0.3</v>
      </c>
      <c r="H179" s="33">
        <v>3</v>
      </c>
      <c r="I179" s="48">
        <v>18.2</v>
      </c>
      <c r="J179" s="33">
        <v>37</v>
      </c>
      <c r="K179" s="33">
        <v>0.43</v>
      </c>
      <c r="L179" s="33">
        <v>0.09</v>
      </c>
      <c r="M179" s="33">
        <v>2.2999999999999998</v>
      </c>
      <c r="N179" s="33">
        <v>1.21</v>
      </c>
      <c r="O179" s="33">
        <v>1.2</v>
      </c>
      <c r="P179" s="33">
        <v>21</v>
      </c>
      <c r="Q179" s="33">
        <v>1.7</v>
      </c>
      <c r="R179" s="33" t="s">
        <v>478</v>
      </c>
      <c r="S179" s="33">
        <v>14</v>
      </c>
      <c r="T179" s="33">
        <v>25</v>
      </c>
      <c r="U179" s="49"/>
    </row>
    <row r="180" spans="1:21">
      <c r="A180" s="50" t="s">
        <v>495</v>
      </c>
      <c r="B180" s="33" t="s">
        <v>1627</v>
      </c>
      <c r="C180" s="33">
        <v>98</v>
      </c>
      <c r="D180" s="33">
        <v>29</v>
      </c>
      <c r="E180" s="33">
        <v>92.7</v>
      </c>
      <c r="F180" s="48">
        <v>3.1</v>
      </c>
      <c r="G180" s="48">
        <v>0.6</v>
      </c>
      <c r="H180" s="32"/>
      <c r="I180" s="48">
        <v>2.8</v>
      </c>
      <c r="J180" s="32"/>
      <c r="K180" s="32"/>
      <c r="L180" s="32"/>
      <c r="M180" s="32"/>
      <c r="N180" s="32"/>
      <c r="O180" s="33">
        <v>26.3</v>
      </c>
      <c r="P180" s="33">
        <v>59</v>
      </c>
      <c r="Q180" s="33">
        <v>1.8</v>
      </c>
      <c r="R180" s="33" t="s">
        <v>478</v>
      </c>
      <c r="S180" s="32"/>
      <c r="T180" s="33">
        <v>25</v>
      </c>
      <c r="U180" s="49"/>
    </row>
    <row r="181" spans="1:21">
      <c r="A181" s="50" t="s">
        <v>496</v>
      </c>
      <c r="B181" s="33" t="s">
        <v>1624</v>
      </c>
      <c r="C181" s="33">
        <v>99</v>
      </c>
      <c r="D181" s="33">
        <v>22</v>
      </c>
      <c r="E181" s="33">
        <v>92.2</v>
      </c>
      <c r="F181" s="48">
        <v>2.4</v>
      </c>
      <c r="G181" s="48">
        <v>0.3</v>
      </c>
      <c r="H181" s="33">
        <v>1.6</v>
      </c>
      <c r="I181" s="48">
        <v>2.2999999999999998</v>
      </c>
      <c r="J181" s="33">
        <v>27</v>
      </c>
      <c r="K181" s="33">
        <v>7.0000000000000007E-2</v>
      </c>
      <c r="L181" s="33">
        <v>0.08</v>
      </c>
      <c r="M181" s="33">
        <v>1.4</v>
      </c>
      <c r="N181" s="33">
        <v>2.39</v>
      </c>
      <c r="O181" s="33">
        <v>3.3</v>
      </c>
      <c r="P181" s="33">
        <v>69</v>
      </c>
      <c r="Q181" s="33">
        <v>1.9</v>
      </c>
      <c r="R181" s="33" t="s">
        <v>478</v>
      </c>
      <c r="S181" s="33">
        <v>11</v>
      </c>
      <c r="T181" s="33">
        <v>25</v>
      </c>
      <c r="U181" s="49"/>
    </row>
    <row r="182" spans="1:21">
      <c r="A182" s="50" t="s">
        <v>497</v>
      </c>
      <c r="B182" s="33" t="s">
        <v>1657</v>
      </c>
      <c r="C182" s="33">
        <v>96</v>
      </c>
      <c r="D182" s="33">
        <v>25</v>
      </c>
      <c r="E182" s="33">
        <v>91.1</v>
      </c>
      <c r="F182" s="48">
        <v>0.8</v>
      </c>
      <c r="G182" s="48">
        <v>0.1</v>
      </c>
      <c r="H182" s="33">
        <v>2.1</v>
      </c>
      <c r="I182" s="48">
        <v>5.3</v>
      </c>
      <c r="J182" s="33">
        <v>40</v>
      </c>
      <c r="K182" s="33">
        <v>0.33</v>
      </c>
      <c r="L182" s="33">
        <v>0.06</v>
      </c>
      <c r="M182" s="33">
        <v>0.8</v>
      </c>
      <c r="N182" s="33">
        <v>7.0000000000000007E-2</v>
      </c>
      <c r="O182" s="33">
        <v>4</v>
      </c>
      <c r="P182" s="33">
        <v>88</v>
      </c>
      <c r="Q182" s="33">
        <v>1</v>
      </c>
      <c r="R182" s="33" t="s">
        <v>478</v>
      </c>
      <c r="S182" s="33">
        <v>9</v>
      </c>
      <c r="T182" s="33">
        <v>25</v>
      </c>
      <c r="U182" s="49"/>
    </row>
    <row r="183" spans="1:21">
      <c r="A183" s="50" t="s">
        <v>498</v>
      </c>
      <c r="B183" s="33" t="s">
        <v>1656</v>
      </c>
      <c r="C183" s="33">
        <v>82</v>
      </c>
      <c r="D183" s="33">
        <v>162</v>
      </c>
      <c r="E183" s="33">
        <v>56.7</v>
      </c>
      <c r="F183" s="48">
        <v>3.2</v>
      </c>
      <c r="G183" s="48">
        <v>0.1</v>
      </c>
      <c r="H183" s="33">
        <v>1.7</v>
      </c>
      <c r="I183" s="48">
        <v>37.1</v>
      </c>
      <c r="J183" s="32"/>
      <c r="K183" s="33">
        <v>0.02</v>
      </c>
      <c r="L183" s="33">
        <v>0.04</v>
      </c>
      <c r="M183" s="33">
        <v>0.7</v>
      </c>
      <c r="N183" s="32"/>
      <c r="O183" s="33">
        <v>6.7</v>
      </c>
      <c r="P183" s="33">
        <v>11</v>
      </c>
      <c r="Q183" s="33">
        <v>1</v>
      </c>
      <c r="R183" s="33" t="s">
        <v>499</v>
      </c>
      <c r="S183" s="33">
        <v>18</v>
      </c>
      <c r="T183" s="33">
        <v>50</v>
      </c>
      <c r="U183" s="49"/>
    </row>
    <row r="184" spans="1:21">
      <c r="A184" s="50" t="s">
        <v>500</v>
      </c>
      <c r="B184" s="32"/>
      <c r="C184" s="33">
        <v>100</v>
      </c>
      <c r="D184" s="33">
        <v>342</v>
      </c>
      <c r="E184" s="33">
        <v>10.3</v>
      </c>
      <c r="F184" s="48">
        <v>6.7</v>
      </c>
      <c r="G184" s="48">
        <v>0.5</v>
      </c>
      <c r="H184" s="33">
        <v>1.7</v>
      </c>
      <c r="I184" s="48">
        <v>77.8</v>
      </c>
      <c r="J184" s="32"/>
      <c r="K184" s="33">
        <v>0.05</v>
      </c>
      <c r="L184" s="33">
        <v>0.09</v>
      </c>
      <c r="M184" s="33">
        <v>0.9</v>
      </c>
      <c r="N184" s="32"/>
      <c r="O184" s="33">
        <v>37.299999999999997</v>
      </c>
      <c r="P184" s="33">
        <v>32</v>
      </c>
      <c r="Q184" s="33">
        <v>5.9</v>
      </c>
      <c r="R184" s="33" t="s">
        <v>499</v>
      </c>
      <c r="S184" s="32"/>
      <c r="T184" s="33">
        <v>5</v>
      </c>
      <c r="U184" s="49"/>
    </row>
    <row r="185" spans="1:21">
      <c r="A185" s="50" t="s">
        <v>501</v>
      </c>
      <c r="B185" s="33" t="s">
        <v>1656</v>
      </c>
      <c r="C185" s="33">
        <v>100</v>
      </c>
      <c r="D185" s="33">
        <v>343</v>
      </c>
      <c r="E185" s="33">
        <v>9.9</v>
      </c>
      <c r="F185" s="48">
        <v>8.1</v>
      </c>
      <c r="G185" s="48">
        <v>0.1</v>
      </c>
      <c r="H185" s="33">
        <v>1.7</v>
      </c>
      <c r="I185" s="48">
        <v>77.400000000000006</v>
      </c>
      <c r="J185" s="32"/>
      <c r="K185" s="32"/>
      <c r="L185" s="33">
        <v>0.02</v>
      </c>
      <c r="M185" s="33">
        <v>1.1000000000000001</v>
      </c>
      <c r="N185" s="32"/>
      <c r="O185" s="33">
        <v>69.8</v>
      </c>
      <c r="P185" s="33">
        <v>29</v>
      </c>
      <c r="Q185" s="33">
        <v>5</v>
      </c>
      <c r="R185" s="33" t="s">
        <v>499</v>
      </c>
      <c r="S185" s="33">
        <v>7</v>
      </c>
      <c r="T185" s="33">
        <v>5</v>
      </c>
      <c r="U185" s="49"/>
    </row>
    <row r="186" spans="1:21">
      <c r="A186" s="50" t="s">
        <v>502</v>
      </c>
      <c r="B186" s="32"/>
      <c r="C186" s="33">
        <v>78</v>
      </c>
      <c r="D186" s="33">
        <v>59</v>
      </c>
      <c r="E186" s="33">
        <v>83.6</v>
      </c>
      <c r="F186" s="48">
        <v>1.2</v>
      </c>
      <c r="G186" s="48">
        <v>0.2</v>
      </c>
      <c r="H186" s="33">
        <v>1.1000000000000001</v>
      </c>
      <c r="I186" s="48">
        <v>13.1</v>
      </c>
      <c r="J186" s="33">
        <v>3</v>
      </c>
      <c r="K186" s="33">
        <v>0.02</v>
      </c>
      <c r="L186" s="33">
        <v>0.02</v>
      </c>
      <c r="M186" s="33">
        <v>0.7</v>
      </c>
      <c r="N186" s="33">
        <v>0.65</v>
      </c>
      <c r="O186" s="33">
        <v>15.7</v>
      </c>
      <c r="P186" s="33">
        <v>4</v>
      </c>
      <c r="Q186" s="33">
        <v>0.6</v>
      </c>
      <c r="R186" s="33" t="s">
        <v>499</v>
      </c>
      <c r="S186" s="33">
        <v>7</v>
      </c>
      <c r="T186" s="33">
        <v>25</v>
      </c>
      <c r="U186" s="49"/>
    </row>
    <row r="187" spans="1:21">
      <c r="A187" s="50" t="s">
        <v>503</v>
      </c>
      <c r="B187" s="32"/>
      <c r="C187" s="33">
        <v>89</v>
      </c>
      <c r="D187" s="33">
        <v>94</v>
      </c>
      <c r="E187" s="33">
        <v>73.599999999999994</v>
      </c>
      <c r="F187" s="48">
        <v>4.5999999999999996</v>
      </c>
      <c r="G187" s="48">
        <v>0.2</v>
      </c>
      <c r="H187" s="33">
        <v>1.4</v>
      </c>
      <c r="I187" s="48">
        <v>18.5</v>
      </c>
      <c r="J187" s="32"/>
      <c r="K187" s="33">
        <v>0.14000000000000001</v>
      </c>
      <c r="L187" s="33">
        <v>7.0000000000000007E-2</v>
      </c>
      <c r="M187" s="33">
        <v>1.6</v>
      </c>
      <c r="N187" s="33">
        <v>2.16</v>
      </c>
      <c r="O187" s="33">
        <v>39.1</v>
      </c>
      <c r="P187" s="33">
        <v>14</v>
      </c>
      <c r="Q187" s="33">
        <v>2.2000000000000002</v>
      </c>
      <c r="R187" s="33" t="s">
        <v>499</v>
      </c>
      <c r="S187" s="33">
        <v>4</v>
      </c>
      <c r="T187" s="33">
        <v>25</v>
      </c>
      <c r="U187" s="49"/>
    </row>
    <row r="188" spans="1:21">
      <c r="A188" s="50" t="s">
        <v>504</v>
      </c>
      <c r="B188" s="32"/>
      <c r="C188" s="33">
        <v>90</v>
      </c>
      <c r="D188" s="33">
        <v>99</v>
      </c>
      <c r="E188" s="33">
        <v>73.400000000000006</v>
      </c>
      <c r="F188" s="48">
        <v>1.1000000000000001</v>
      </c>
      <c r="G188" s="48">
        <v>0.2</v>
      </c>
      <c r="H188" s="33">
        <v>1.6</v>
      </c>
      <c r="I188" s="48">
        <v>23.1</v>
      </c>
      <c r="J188" s="33">
        <v>125</v>
      </c>
      <c r="K188" s="33">
        <v>0.04</v>
      </c>
      <c r="L188" s="33">
        <v>0.04</v>
      </c>
      <c r="M188" s="33">
        <v>0.6</v>
      </c>
      <c r="N188" s="33">
        <v>0.28000000000000003</v>
      </c>
      <c r="O188" s="33">
        <v>28.5</v>
      </c>
      <c r="P188" s="33">
        <v>23</v>
      </c>
      <c r="Q188" s="33">
        <v>0.5</v>
      </c>
      <c r="R188" s="33" t="s">
        <v>499</v>
      </c>
      <c r="S188" s="33">
        <v>26</v>
      </c>
      <c r="T188" s="33">
        <v>50</v>
      </c>
      <c r="U188" s="49"/>
    </row>
    <row r="189" spans="1:21">
      <c r="A189" s="50" t="s">
        <v>505</v>
      </c>
      <c r="B189" s="32"/>
      <c r="C189" s="33">
        <v>86</v>
      </c>
      <c r="D189" s="33">
        <v>104</v>
      </c>
      <c r="E189" s="33">
        <v>72.599999999999994</v>
      </c>
      <c r="F189" s="48">
        <v>1.4</v>
      </c>
      <c r="G189" s="48">
        <v>0.2</v>
      </c>
      <c r="H189" s="33">
        <v>1</v>
      </c>
      <c r="I189" s="48">
        <v>24.2</v>
      </c>
      <c r="J189" s="33">
        <v>37</v>
      </c>
      <c r="K189" s="33">
        <v>7.0000000000000007E-2</v>
      </c>
      <c r="L189" s="33">
        <v>0.04</v>
      </c>
      <c r="M189" s="33">
        <v>0.6</v>
      </c>
      <c r="N189" s="33">
        <v>0.43</v>
      </c>
      <c r="O189" s="33">
        <v>58.2</v>
      </c>
      <c r="P189" s="33">
        <v>24</v>
      </c>
      <c r="Q189" s="33">
        <v>0.8</v>
      </c>
      <c r="R189" s="33" t="s">
        <v>499</v>
      </c>
      <c r="S189" s="33">
        <v>24</v>
      </c>
      <c r="T189" s="33">
        <v>50</v>
      </c>
      <c r="U189" s="49"/>
    </row>
    <row r="190" spans="1:21">
      <c r="A190" s="50" t="s">
        <v>506</v>
      </c>
      <c r="B190" s="33" t="s">
        <v>1658</v>
      </c>
      <c r="C190" s="33">
        <v>100</v>
      </c>
      <c r="D190" s="33">
        <v>336</v>
      </c>
      <c r="E190" s="33">
        <v>14.5</v>
      </c>
      <c r="F190" s="48">
        <v>2.7</v>
      </c>
      <c r="G190" s="48">
        <v>0.2</v>
      </c>
      <c r="H190" s="33">
        <v>0.1</v>
      </c>
      <c r="I190" s="48">
        <v>80.8</v>
      </c>
      <c r="J190" s="33">
        <v>3</v>
      </c>
      <c r="K190" s="33">
        <v>0.03</v>
      </c>
      <c r="L190" s="33">
        <v>0.05</v>
      </c>
      <c r="M190" s="33">
        <v>0.2</v>
      </c>
      <c r="N190" s="33">
        <v>26.4</v>
      </c>
      <c r="O190" s="33">
        <v>26.4</v>
      </c>
      <c r="P190" s="33">
        <v>33</v>
      </c>
      <c r="Q190" s="33">
        <v>10</v>
      </c>
      <c r="R190" s="33" t="s">
        <v>499</v>
      </c>
      <c r="S190" s="32"/>
      <c r="T190" s="33">
        <v>5</v>
      </c>
      <c r="U190" s="49"/>
    </row>
    <row r="191" spans="1:21">
      <c r="A191" s="50" t="s">
        <v>507</v>
      </c>
      <c r="B191" s="32"/>
      <c r="C191" s="33">
        <v>100</v>
      </c>
      <c r="D191" s="33">
        <v>340</v>
      </c>
      <c r="E191" s="33">
        <v>12.1</v>
      </c>
      <c r="F191" s="48">
        <v>4.7</v>
      </c>
      <c r="G191" s="48">
        <v>0.8</v>
      </c>
      <c r="H191" s="33">
        <v>2</v>
      </c>
      <c r="I191" s="48">
        <v>78.5</v>
      </c>
      <c r="J191" s="33">
        <v>25</v>
      </c>
      <c r="K191" s="33">
        <v>0.15</v>
      </c>
      <c r="L191" s="33">
        <v>0.11</v>
      </c>
      <c r="M191" s="33">
        <v>1.1000000000000001</v>
      </c>
      <c r="N191" s="33">
        <v>0.38</v>
      </c>
      <c r="O191" s="33">
        <v>26.4</v>
      </c>
      <c r="P191" s="33">
        <v>112</v>
      </c>
      <c r="Q191" s="33">
        <v>3.7</v>
      </c>
      <c r="R191" s="33" t="s">
        <v>499</v>
      </c>
      <c r="S191" s="33">
        <v>9</v>
      </c>
      <c r="T191" s="33">
        <v>5</v>
      </c>
      <c r="U191" s="49"/>
    </row>
    <row r="192" spans="1:21">
      <c r="A192" s="50" t="s">
        <v>508</v>
      </c>
      <c r="B192" s="32"/>
      <c r="C192" s="33">
        <v>96</v>
      </c>
      <c r="D192" s="33">
        <v>37</v>
      </c>
      <c r="E192" s="33">
        <v>89.2</v>
      </c>
      <c r="F192" s="48">
        <v>1</v>
      </c>
      <c r="G192" s="48">
        <v>0.2</v>
      </c>
      <c r="H192" s="33">
        <v>1.1000000000000001</v>
      </c>
      <c r="I192" s="48">
        <v>7.7</v>
      </c>
      <c r="J192" s="33">
        <v>688</v>
      </c>
      <c r="K192" s="33">
        <v>0.04</v>
      </c>
      <c r="L192" s="33">
        <v>0.03</v>
      </c>
      <c r="M192" s="33">
        <v>0.6</v>
      </c>
      <c r="N192" s="33">
        <v>0.41</v>
      </c>
      <c r="O192" s="33">
        <v>71.400000000000006</v>
      </c>
      <c r="P192" s="33">
        <v>32</v>
      </c>
      <c r="Q192" s="33">
        <v>1</v>
      </c>
      <c r="R192" s="33" t="s">
        <v>499</v>
      </c>
      <c r="S192" s="33">
        <v>13</v>
      </c>
      <c r="T192" s="33">
        <v>50</v>
      </c>
      <c r="U192" s="49"/>
    </row>
    <row r="193" spans="1:21">
      <c r="A193" s="50" t="s">
        <v>509</v>
      </c>
      <c r="B193" s="32"/>
      <c r="C193" s="33">
        <v>97</v>
      </c>
      <c r="D193" s="33">
        <v>43</v>
      </c>
      <c r="E193" s="33">
        <v>87.4</v>
      </c>
      <c r="F193" s="48">
        <v>1.4</v>
      </c>
      <c r="G193" s="48">
        <v>0.2</v>
      </c>
      <c r="H193" s="33">
        <v>1.3</v>
      </c>
      <c r="I193" s="48">
        <v>8.9</v>
      </c>
      <c r="J193" s="33">
        <v>668</v>
      </c>
      <c r="K193" s="33">
        <v>0.04</v>
      </c>
      <c r="L193" s="33">
        <v>0.04</v>
      </c>
      <c r="M193" s="33">
        <v>0.2</v>
      </c>
      <c r="N193" s="32"/>
      <c r="O193" s="33">
        <v>25.1</v>
      </c>
      <c r="P193" s="33">
        <v>32</v>
      </c>
      <c r="Q193" s="33">
        <v>0.5</v>
      </c>
      <c r="R193" s="33" t="s">
        <v>499</v>
      </c>
      <c r="S193" s="33">
        <v>16</v>
      </c>
      <c r="T193" s="33">
        <v>50</v>
      </c>
      <c r="U193" s="49"/>
    </row>
    <row r="194" spans="1:21">
      <c r="A194" s="50" t="s">
        <v>510</v>
      </c>
      <c r="B194" s="33" t="s">
        <v>1656</v>
      </c>
      <c r="C194" s="33">
        <v>100</v>
      </c>
      <c r="D194" s="33">
        <v>320</v>
      </c>
      <c r="E194" s="33">
        <v>10.9</v>
      </c>
      <c r="F194" s="48">
        <v>4.2</v>
      </c>
      <c r="G194" s="48">
        <v>1.9</v>
      </c>
      <c r="H194" s="33">
        <v>6.4</v>
      </c>
      <c r="I194" s="48">
        <v>71.5</v>
      </c>
      <c r="J194" s="33">
        <v>2875</v>
      </c>
      <c r="K194" s="33">
        <v>0.12</v>
      </c>
      <c r="L194" s="33">
        <v>0.15</v>
      </c>
      <c r="M194" s="33">
        <v>2.6</v>
      </c>
      <c r="N194" s="32"/>
      <c r="O194" s="33">
        <v>300.7</v>
      </c>
      <c r="P194" s="33">
        <v>458</v>
      </c>
      <c r="Q194" s="33">
        <v>8.5</v>
      </c>
      <c r="R194" s="33" t="s">
        <v>499</v>
      </c>
      <c r="S194" s="33">
        <v>32</v>
      </c>
      <c r="T194" s="33">
        <v>5</v>
      </c>
      <c r="U194" s="49"/>
    </row>
    <row r="195" spans="1:21">
      <c r="A195" s="50" t="s">
        <v>511</v>
      </c>
      <c r="B195" s="33" t="s">
        <v>1628</v>
      </c>
      <c r="C195" s="33">
        <v>77</v>
      </c>
      <c r="D195" s="33">
        <v>25</v>
      </c>
      <c r="E195" s="33">
        <v>91.1</v>
      </c>
      <c r="F195" s="48">
        <v>1.7</v>
      </c>
      <c r="G195" s="48">
        <v>0.2</v>
      </c>
      <c r="H195" s="33">
        <v>2</v>
      </c>
      <c r="I195" s="48">
        <v>4.2</v>
      </c>
      <c r="J195" s="32"/>
      <c r="K195" s="33">
        <v>0.05</v>
      </c>
      <c r="L195" s="33">
        <v>0.04</v>
      </c>
      <c r="M195" s="33">
        <v>0.8</v>
      </c>
      <c r="N195" s="33">
        <v>0.42</v>
      </c>
      <c r="O195" s="33">
        <v>39.799999999999997</v>
      </c>
      <c r="P195" s="33">
        <v>2</v>
      </c>
      <c r="Q195" s="33">
        <v>0.5</v>
      </c>
      <c r="R195" s="33" t="s">
        <v>499</v>
      </c>
      <c r="S195" s="33">
        <v>12</v>
      </c>
      <c r="T195" s="33">
        <v>50</v>
      </c>
      <c r="U195" s="49"/>
    </row>
    <row r="196" spans="1:21">
      <c r="A196" s="50" t="s">
        <v>512</v>
      </c>
      <c r="B196" s="32"/>
      <c r="C196" s="33">
        <v>95</v>
      </c>
      <c r="D196" s="33">
        <v>41</v>
      </c>
      <c r="E196" s="33">
        <v>87</v>
      </c>
      <c r="F196" s="48">
        <v>1.3</v>
      </c>
      <c r="G196" s="48">
        <v>0.6</v>
      </c>
      <c r="H196" s="33">
        <v>2.7</v>
      </c>
      <c r="I196" s="48">
        <v>7.6</v>
      </c>
      <c r="J196" s="33">
        <v>28</v>
      </c>
      <c r="K196" s="33">
        <v>0.02</v>
      </c>
      <c r="L196" s="33">
        <v>0.03</v>
      </c>
      <c r="M196" s="33">
        <v>0.8</v>
      </c>
      <c r="N196" s="32"/>
      <c r="O196" s="33">
        <v>14.9</v>
      </c>
      <c r="P196" s="33">
        <v>27</v>
      </c>
      <c r="Q196" s="33">
        <v>1.4</v>
      </c>
      <c r="R196" s="33" t="s">
        <v>499</v>
      </c>
      <c r="S196" s="33">
        <v>4</v>
      </c>
      <c r="T196" s="33">
        <v>5</v>
      </c>
      <c r="U196" s="49"/>
    </row>
    <row r="197" spans="1:21">
      <c r="A197" s="50" t="s">
        <v>513</v>
      </c>
      <c r="B197" s="33" t="s">
        <v>1659</v>
      </c>
      <c r="C197" s="33">
        <v>95</v>
      </c>
      <c r="D197" s="33">
        <v>273</v>
      </c>
      <c r="E197" s="33">
        <v>14.9</v>
      </c>
      <c r="F197" s="48">
        <v>9.1</v>
      </c>
      <c r="G197" s="48">
        <v>5.7</v>
      </c>
      <c r="H197" s="33">
        <v>17.7</v>
      </c>
      <c r="I197" s="48">
        <v>46.3</v>
      </c>
      <c r="J197" s="32"/>
      <c r="K197" s="32"/>
      <c r="L197" s="33">
        <v>0.1</v>
      </c>
      <c r="M197" s="32"/>
      <c r="N197" s="33">
        <v>0.01</v>
      </c>
      <c r="O197" s="33">
        <v>9.9</v>
      </c>
      <c r="P197" s="33">
        <v>62</v>
      </c>
      <c r="Q197" s="32"/>
      <c r="R197" s="33" t="s">
        <v>499</v>
      </c>
      <c r="S197" s="32"/>
      <c r="T197" s="33">
        <v>50</v>
      </c>
      <c r="U197" s="49"/>
    </row>
    <row r="198" spans="1:21">
      <c r="A198" s="50" t="s">
        <v>514</v>
      </c>
      <c r="B198" s="33" t="s">
        <v>1660</v>
      </c>
      <c r="C198" s="33">
        <v>82</v>
      </c>
      <c r="D198" s="33">
        <v>19</v>
      </c>
      <c r="E198" s="33">
        <v>94.5</v>
      </c>
      <c r="F198" s="48">
        <v>0.7</v>
      </c>
      <c r="G198" s="48">
        <v>0.6</v>
      </c>
      <c r="H198" s="33">
        <v>0.9</v>
      </c>
      <c r="I198" s="48">
        <v>2.8</v>
      </c>
      <c r="J198" s="32"/>
      <c r="K198" s="32"/>
      <c r="L198" s="33">
        <v>0.01</v>
      </c>
      <c r="M198" s="33">
        <v>0.3</v>
      </c>
      <c r="N198" s="32"/>
      <c r="O198" s="33">
        <v>1.9</v>
      </c>
      <c r="P198" s="33">
        <v>9</v>
      </c>
      <c r="Q198" s="33">
        <v>0.8</v>
      </c>
      <c r="R198" s="33" t="s">
        <v>499</v>
      </c>
      <c r="S198" s="33">
        <v>2</v>
      </c>
      <c r="T198" s="33">
        <v>5</v>
      </c>
      <c r="U198" s="49"/>
    </row>
    <row r="199" spans="1:21">
      <c r="A199" s="50" t="s">
        <v>515</v>
      </c>
      <c r="B199" s="32"/>
      <c r="C199" s="33">
        <v>83</v>
      </c>
      <c r="D199" s="33">
        <v>33</v>
      </c>
      <c r="E199" s="33">
        <v>89.6</v>
      </c>
      <c r="F199" s="48">
        <v>1.9</v>
      </c>
      <c r="G199" s="48">
        <v>0.2</v>
      </c>
      <c r="H199" s="33">
        <v>1.4</v>
      </c>
      <c r="I199" s="48">
        <v>6</v>
      </c>
      <c r="J199" s="32"/>
      <c r="K199" s="33">
        <v>0.06</v>
      </c>
      <c r="L199" s="33">
        <v>0.02</v>
      </c>
      <c r="M199" s="33">
        <v>0.6</v>
      </c>
      <c r="N199" s="33">
        <v>0.2</v>
      </c>
      <c r="O199" s="33">
        <v>65.599999999999994</v>
      </c>
      <c r="P199" s="33">
        <v>65</v>
      </c>
      <c r="Q199" s="33">
        <v>0.8</v>
      </c>
      <c r="R199" s="33" t="s">
        <v>499</v>
      </c>
      <c r="S199" s="33">
        <v>34</v>
      </c>
      <c r="T199" s="33">
        <v>50</v>
      </c>
      <c r="U199" s="49"/>
    </row>
    <row r="200" spans="1:21">
      <c r="A200" s="50" t="s">
        <v>516</v>
      </c>
      <c r="B200" s="33" t="s">
        <v>1641</v>
      </c>
      <c r="C200" s="33">
        <v>100</v>
      </c>
      <c r="D200" s="33">
        <v>56</v>
      </c>
      <c r="E200" s="33">
        <v>80.8</v>
      </c>
      <c r="F200" s="48">
        <v>2.4</v>
      </c>
      <c r="G200" s="51"/>
      <c r="H200" s="33">
        <v>4.3</v>
      </c>
      <c r="I200" s="48">
        <v>11.5</v>
      </c>
      <c r="J200" s="32"/>
      <c r="K200" s="33">
        <v>0.01</v>
      </c>
      <c r="L200" s="33">
        <v>0.01</v>
      </c>
      <c r="M200" s="33">
        <v>1.4</v>
      </c>
      <c r="N200" s="32"/>
      <c r="O200" s="33">
        <v>11.5</v>
      </c>
      <c r="P200" s="33">
        <v>23</v>
      </c>
      <c r="Q200" s="33">
        <v>7.2</v>
      </c>
      <c r="R200" s="33" t="s">
        <v>499</v>
      </c>
      <c r="S200" s="33">
        <v>0</v>
      </c>
      <c r="T200" s="33">
        <v>50</v>
      </c>
      <c r="U200" s="49"/>
    </row>
    <row r="201" spans="1:21">
      <c r="A201" s="50" t="s">
        <v>517</v>
      </c>
      <c r="B201" s="33" t="s">
        <v>1618</v>
      </c>
      <c r="C201" s="33">
        <v>100</v>
      </c>
      <c r="D201" s="33">
        <v>43</v>
      </c>
      <c r="E201" s="33">
        <v>78</v>
      </c>
      <c r="F201" s="48">
        <v>2.6</v>
      </c>
      <c r="G201" s="48">
        <v>0.4</v>
      </c>
      <c r="H201" s="33">
        <v>11.3</v>
      </c>
      <c r="I201" s="48">
        <v>7.3</v>
      </c>
      <c r="J201" s="32"/>
      <c r="K201" s="33">
        <v>0.04</v>
      </c>
      <c r="L201" s="33">
        <v>7.0000000000000007E-2</v>
      </c>
      <c r="M201" s="33">
        <v>0.1</v>
      </c>
      <c r="N201" s="33">
        <v>1.9</v>
      </c>
      <c r="O201" s="33">
        <v>1.9</v>
      </c>
      <c r="P201" s="33">
        <v>42</v>
      </c>
      <c r="Q201" s="33">
        <v>3.6</v>
      </c>
      <c r="R201" s="33" t="s">
        <v>499</v>
      </c>
      <c r="S201" s="33">
        <v>1</v>
      </c>
      <c r="T201" s="33">
        <v>50</v>
      </c>
      <c r="U201" s="49"/>
    </row>
    <row r="202" spans="1:21">
      <c r="A202" s="50" t="s">
        <v>518</v>
      </c>
      <c r="B202" s="32"/>
      <c r="C202" s="33">
        <v>84</v>
      </c>
      <c r="D202" s="33">
        <v>79</v>
      </c>
      <c r="E202" s="33">
        <v>78.599999999999994</v>
      </c>
      <c r="F202" s="48">
        <v>2.2000000000000002</v>
      </c>
      <c r="G202" s="48">
        <v>0.2</v>
      </c>
      <c r="H202" s="33">
        <v>1</v>
      </c>
      <c r="I202" s="48">
        <v>17.100000000000001</v>
      </c>
      <c r="J202" s="33">
        <v>27</v>
      </c>
      <c r="K202" s="33">
        <v>0.06</v>
      </c>
      <c r="L202" s="33">
        <v>0.05</v>
      </c>
      <c r="M202" s="33">
        <v>0.7</v>
      </c>
      <c r="N202" s="33">
        <v>0.45</v>
      </c>
      <c r="O202" s="33">
        <v>33.1</v>
      </c>
      <c r="P202" s="33">
        <v>36</v>
      </c>
      <c r="Q202" s="33">
        <v>1</v>
      </c>
      <c r="R202" s="33" t="s">
        <v>499</v>
      </c>
      <c r="S202" s="33">
        <v>6</v>
      </c>
      <c r="T202" s="33">
        <v>50</v>
      </c>
      <c r="U202" s="49"/>
    </row>
    <row r="203" spans="1:21">
      <c r="A203" s="50" t="s">
        <v>519</v>
      </c>
      <c r="B203" s="33" t="s">
        <v>1627</v>
      </c>
      <c r="C203" s="33">
        <v>63</v>
      </c>
      <c r="D203" s="33">
        <v>19</v>
      </c>
      <c r="E203" s="33">
        <v>92.8</v>
      </c>
      <c r="F203" s="48">
        <v>2.6</v>
      </c>
      <c r="G203" s="48">
        <v>0.2</v>
      </c>
      <c r="H203" s="33">
        <v>1.8</v>
      </c>
      <c r="I203" s="48">
        <v>1.8</v>
      </c>
      <c r="J203" s="32"/>
      <c r="K203" s="33">
        <v>0.08</v>
      </c>
      <c r="L203" s="33">
        <v>0.08</v>
      </c>
      <c r="M203" s="33">
        <v>0.6</v>
      </c>
      <c r="N203" s="33">
        <v>0.05</v>
      </c>
      <c r="O203" s="33">
        <v>0.4</v>
      </c>
      <c r="P203" s="33">
        <v>9</v>
      </c>
      <c r="Q203" s="33">
        <v>0.5</v>
      </c>
      <c r="R203" s="33" t="s">
        <v>499</v>
      </c>
      <c r="S203" s="33">
        <v>5</v>
      </c>
      <c r="T203" s="33">
        <v>50</v>
      </c>
      <c r="U203" s="49"/>
    </row>
    <row r="204" spans="1:21">
      <c r="A204" s="50" t="s">
        <v>520</v>
      </c>
      <c r="B204" s="33" t="s">
        <v>1661</v>
      </c>
      <c r="C204" s="33">
        <v>64</v>
      </c>
      <c r="D204" s="33">
        <v>196</v>
      </c>
      <c r="E204" s="33">
        <v>10</v>
      </c>
      <c r="F204" s="48">
        <v>26</v>
      </c>
      <c r="G204" s="48">
        <v>4</v>
      </c>
      <c r="H204" s="33">
        <v>43.2</v>
      </c>
      <c r="I204" s="48">
        <v>13.9</v>
      </c>
      <c r="J204" s="33">
        <v>2</v>
      </c>
      <c r="K204" s="32"/>
      <c r="L204" s="33">
        <v>0.32</v>
      </c>
      <c r="M204" s="33">
        <v>0.2</v>
      </c>
      <c r="N204" s="32"/>
      <c r="O204" s="32"/>
      <c r="P204" s="33">
        <v>31</v>
      </c>
      <c r="Q204" s="33">
        <v>4.2</v>
      </c>
      <c r="R204" s="33" t="s">
        <v>499</v>
      </c>
      <c r="S204" s="32"/>
      <c r="T204" s="33">
        <v>25</v>
      </c>
      <c r="U204" s="49"/>
    </row>
    <row r="205" spans="1:21">
      <c r="A205" s="50" t="s">
        <v>521</v>
      </c>
      <c r="B205" s="33" t="s">
        <v>1644</v>
      </c>
      <c r="C205" s="33">
        <v>45</v>
      </c>
      <c r="D205" s="33">
        <v>11</v>
      </c>
      <c r="E205" s="33">
        <v>90.1</v>
      </c>
      <c r="F205" s="48">
        <v>2.6</v>
      </c>
      <c r="G205" s="51"/>
      <c r="H205" s="33">
        <v>6.6</v>
      </c>
      <c r="I205" s="48">
        <v>0.1</v>
      </c>
      <c r="J205" s="32"/>
      <c r="K205" s="33">
        <v>0.05</v>
      </c>
      <c r="L205" s="33">
        <v>0.09</v>
      </c>
      <c r="M205" s="33">
        <v>0.5</v>
      </c>
      <c r="N205" s="32"/>
      <c r="O205" s="32"/>
      <c r="P205" s="33">
        <v>17</v>
      </c>
      <c r="Q205" s="33">
        <v>2.5</v>
      </c>
      <c r="R205" s="33" t="s">
        <v>499</v>
      </c>
      <c r="S205" s="33">
        <v>7</v>
      </c>
      <c r="T205" s="33">
        <v>50</v>
      </c>
      <c r="U205" s="49"/>
    </row>
    <row r="206" spans="1:21">
      <c r="A206" s="50" t="s">
        <v>522</v>
      </c>
      <c r="B206" s="32"/>
      <c r="C206" s="33">
        <v>66</v>
      </c>
      <c r="D206" s="33">
        <v>20</v>
      </c>
      <c r="E206" s="33">
        <v>91.4</v>
      </c>
      <c r="F206" s="48">
        <v>2.4</v>
      </c>
      <c r="G206" s="48">
        <v>0.1</v>
      </c>
      <c r="H206" s="33">
        <v>2.8</v>
      </c>
      <c r="I206" s="48">
        <v>2.2999999999999998</v>
      </c>
      <c r="J206" s="33">
        <v>5</v>
      </c>
      <c r="K206" s="33">
        <v>0.05</v>
      </c>
      <c r="L206" s="33">
        <v>0.04</v>
      </c>
      <c r="M206" s="33">
        <v>0.4</v>
      </c>
      <c r="N206" s="32"/>
      <c r="O206" s="33">
        <v>6</v>
      </c>
      <c r="P206" s="33">
        <v>8</v>
      </c>
      <c r="Q206" s="33">
        <v>2.4</v>
      </c>
      <c r="R206" s="33" t="s">
        <v>499</v>
      </c>
      <c r="S206" s="33">
        <v>5</v>
      </c>
      <c r="T206" s="33">
        <v>50</v>
      </c>
      <c r="U206" s="49"/>
    </row>
    <row r="207" spans="1:21">
      <c r="A207" s="50" t="s">
        <v>523</v>
      </c>
      <c r="B207" s="33" t="s">
        <v>1661</v>
      </c>
      <c r="C207" s="33">
        <v>76</v>
      </c>
      <c r="D207" s="33">
        <v>213</v>
      </c>
      <c r="E207" s="33">
        <v>14.4</v>
      </c>
      <c r="F207" s="48">
        <v>17.600000000000001</v>
      </c>
      <c r="G207" s="48">
        <v>2.4</v>
      </c>
      <c r="H207" s="33">
        <v>27.2</v>
      </c>
      <c r="I207" s="48">
        <v>30.3</v>
      </c>
      <c r="J207" s="32"/>
      <c r="K207" s="32"/>
      <c r="L207" s="33">
        <v>0.41</v>
      </c>
      <c r="M207" s="33">
        <v>1.9</v>
      </c>
      <c r="N207" s="32"/>
      <c r="O207" s="33">
        <v>6.2</v>
      </c>
      <c r="P207" s="33">
        <v>30</v>
      </c>
      <c r="Q207" s="33">
        <v>18.899999999999999</v>
      </c>
      <c r="R207" s="33" t="s">
        <v>499</v>
      </c>
      <c r="S207" s="32"/>
      <c r="T207" s="33">
        <v>25</v>
      </c>
      <c r="U207" s="49"/>
    </row>
    <row r="208" spans="1:21">
      <c r="A208" s="50" t="s">
        <v>524</v>
      </c>
      <c r="B208" s="32"/>
      <c r="C208" s="33">
        <v>67</v>
      </c>
      <c r="D208" s="33">
        <v>21</v>
      </c>
      <c r="E208" s="33">
        <v>93.1</v>
      </c>
      <c r="F208" s="48">
        <v>2.2000000000000002</v>
      </c>
      <c r="G208" s="48">
        <v>0.2</v>
      </c>
      <c r="H208" s="33">
        <v>1.3</v>
      </c>
      <c r="I208" s="48">
        <v>2.5</v>
      </c>
      <c r="J208" s="32"/>
      <c r="K208" s="33">
        <v>0.04</v>
      </c>
      <c r="L208" s="33">
        <v>0.05</v>
      </c>
      <c r="M208" s="33">
        <v>0.3</v>
      </c>
      <c r="N208" s="33">
        <v>0.15</v>
      </c>
      <c r="O208" s="33">
        <v>5.2</v>
      </c>
      <c r="P208" s="33">
        <v>16</v>
      </c>
      <c r="Q208" s="33">
        <v>0.9</v>
      </c>
      <c r="R208" s="33" t="s">
        <v>499</v>
      </c>
      <c r="S208" s="33">
        <v>9</v>
      </c>
      <c r="T208" s="33">
        <v>50</v>
      </c>
      <c r="U208" s="49"/>
    </row>
    <row r="209" spans="1:21">
      <c r="A209" s="50" t="s">
        <v>525</v>
      </c>
      <c r="B209" s="33" t="s">
        <v>1656</v>
      </c>
      <c r="C209" s="33">
        <v>100</v>
      </c>
      <c r="D209" s="33">
        <v>286</v>
      </c>
      <c r="E209" s="33">
        <v>10</v>
      </c>
      <c r="F209" s="48">
        <v>6.2</v>
      </c>
      <c r="G209" s="48">
        <v>0.8</v>
      </c>
      <c r="H209" s="33">
        <v>9.4</v>
      </c>
      <c r="I209" s="48">
        <v>63.5</v>
      </c>
      <c r="J209" s="32"/>
      <c r="K209" s="33">
        <v>0.24</v>
      </c>
      <c r="L209" s="32"/>
      <c r="M209" s="33">
        <v>4.8</v>
      </c>
      <c r="N209" s="33">
        <v>187</v>
      </c>
      <c r="O209" s="33">
        <v>492.5</v>
      </c>
      <c r="P209" s="33">
        <v>908</v>
      </c>
      <c r="Q209" s="33">
        <v>13.8</v>
      </c>
      <c r="R209" s="33" t="s">
        <v>526</v>
      </c>
      <c r="S209" s="33">
        <v>187</v>
      </c>
      <c r="T209" s="33">
        <v>5</v>
      </c>
      <c r="U209" s="49"/>
    </row>
    <row r="210" spans="1:21">
      <c r="A210" s="50" t="s">
        <v>527</v>
      </c>
      <c r="B210" s="32"/>
      <c r="C210" s="33">
        <v>92</v>
      </c>
      <c r="D210" s="33">
        <v>21</v>
      </c>
      <c r="E210" s="33">
        <v>93.6</v>
      </c>
      <c r="F210" s="48">
        <v>1.7</v>
      </c>
      <c r="G210" s="48">
        <v>0.2</v>
      </c>
      <c r="H210" s="33">
        <v>0.6</v>
      </c>
      <c r="I210" s="48">
        <v>3.1</v>
      </c>
      <c r="J210" s="33">
        <v>42</v>
      </c>
      <c r="K210" s="33">
        <v>0.06</v>
      </c>
      <c r="L210" s="33">
        <v>7.0000000000000007E-2</v>
      </c>
      <c r="M210" s="33">
        <v>0.8</v>
      </c>
      <c r="N210" s="33">
        <v>0.92</v>
      </c>
      <c r="O210" s="33">
        <v>89.3</v>
      </c>
      <c r="P210" s="33">
        <v>69</v>
      </c>
      <c r="Q210" s="33">
        <v>0.5</v>
      </c>
      <c r="R210" s="33" t="s">
        <v>526</v>
      </c>
      <c r="S210" s="33">
        <v>47</v>
      </c>
      <c r="T210" s="33">
        <v>50</v>
      </c>
      <c r="U210" s="49"/>
    </row>
    <row r="211" spans="1:21">
      <c r="A211" s="50" t="s">
        <v>528</v>
      </c>
      <c r="B211" s="32"/>
      <c r="C211" s="33">
        <v>84</v>
      </c>
      <c r="D211" s="33">
        <v>25</v>
      </c>
      <c r="E211" s="33">
        <v>91.3</v>
      </c>
      <c r="F211" s="48">
        <v>2.8</v>
      </c>
      <c r="G211" s="48">
        <v>0.5</v>
      </c>
      <c r="H211" s="33">
        <v>1.7</v>
      </c>
      <c r="I211" s="48">
        <v>2.2999999999999998</v>
      </c>
      <c r="J211" s="33">
        <v>160</v>
      </c>
      <c r="K211" s="33">
        <v>0.05</v>
      </c>
      <c r="L211" s="33">
        <v>0.08</v>
      </c>
      <c r="M211" s="33">
        <v>1.2</v>
      </c>
      <c r="N211" s="33">
        <v>0.52</v>
      </c>
      <c r="O211" s="33">
        <v>26</v>
      </c>
      <c r="P211" s="33">
        <v>96</v>
      </c>
      <c r="Q211" s="33">
        <v>2.8</v>
      </c>
      <c r="R211" s="33" t="s">
        <v>526</v>
      </c>
      <c r="S211" s="33">
        <v>44</v>
      </c>
      <c r="T211" s="33">
        <v>50</v>
      </c>
      <c r="U211" s="49"/>
    </row>
    <row r="212" spans="1:21">
      <c r="A212" s="50" t="s">
        <v>529</v>
      </c>
      <c r="B212" s="32"/>
      <c r="C212" s="33">
        <v>89</v>
      </c>
      <c r="D212" s="33">
        <v>24</v>
      </c>
      <c r="E212" s="33">
        <v>91.2</v>
      </c>
      <c r="F212" s="48">
        <v>2.6</v>
      </c>
      <c r="G212" s="48">
        <v>0.3</v>
      </c>
      <c r="H212" s="33">
        <v>1.7</v>
      </c>
      <c r="I212" s="48">
        <v>2.8</v>
      </c>
      <c r="J212" s="33">
        <v>487</v>
      </c>
      <c r="K212" s="33">
        <v>0.04</v>
      </c>
      <c r="L212" s="33">
        <v>0.11</v>
      </c>
      <c r="M212" s="33">
        <v>0.6</v>
      </c>
      <c r="N212" s="33">
        <v>1.74</v>
      </c>
      <c r="O212" s="33">
        <v>85.2</v>
      </c>
      <c r="P212" s="33">
        <v>66</v>
      </c>
      <c r="Q212" s="33">
        <v>2.9</v>
      </c>
      <c r="R212" s="33" t="s">
        <v>526</v>
      </c>
      <c r="S212" s="33">
        <v>32</v>
      </c>
      <c r="T212" s="33">
        <v>50</v>
      </c>
      <c r="U212" s="49"/>
    </row>
    <row r="213" spans="1:21">
      <c r="A213" s="50" t="s">
        <v>530</v>
      </c>
      <c r="B213" s="33" t="s">
        <v>1656</v>
      </c>
      <c r="C213" s="33">
        <v>100</v>
      </c>
      <c r="D213" s="33">
        <v>283</v>
      </c>
      <c r="E213" s="33">
        <v>9.1999999999999993</v>
      </c>
      <c r="F213" s="48">
        <v>6.4</v>
      </c>
      <c r="G213" s="48">
        <v>0.6</v>
      </c>
      <c r="H213" s="33">
        <v>12.7</v>
      </c>
      <c r="I213" s="48">
        <v>63</v>
      </c>
      <c r="J213" s="33">
        <v>598</v>
      </c>
      <c r="K213" s="33">
        <v>0.2</v>
      </c>
      <c r="L213" s="33">
        <v>0.18</v>
      </c>
      <c r="M213" s="33">
        <v>3.9</v>
      </c>
      <c r="N213" s="33">
        <v>7.73</v>
      </c>
      <c r="O213" s="33">
        <v>242</v>
      </c>
      <c r="P213" s="33">
        <v>411</v>
      </c>
      <c r="Q213" s="33">
        <v>25.9</v>
      </c>
      <c r="R213" s="33" t="s">
        <v>526</v>
      </c>
      <c r="S213" s="33">
        <v>82</v>
      </c>
      <c r="T213" s="33">
        <v>5</v>
      </c>
      <c r="U213" s="49"/>
    </row>
    <row r="214" spans="1:21">
      <c r="A214" s="50" t="s">
        <v>531</v>
      </c>
      <c r="B214" s="32"/>
      <c r="C214" s="33">
        <v>82</v>
      </c>
      <c r="D214" s="33">
        <v>24</v>
      </c>
      <c r="E214" s="33">
        <v>92.4</v>
      </c>
      <c r="F214" s="48">
        <v>2.1</v>
      </c>
      <c r="G214" s="48">
        <v>0.2</v>
      </c>
      <c r="H214" s="33">
        <v>1.2</v>
      </c>
      <c r="I214" s="48">
        <v>3.4</v>
      </c>
      <c r="J214" s="33">
        <v>5</v>
      </c>
      <c r="K214" s="33">
        <v>0.03</v>
      </c>
      <c r="L214" s="33">
        <v>0.08</v>
      </c>
      <c r="M214" s="33">
        <v>0.6</v>
      </c>
      <c r="N214" s="33">
        <v>0.43</v>
      </c>
      <c r="O214" s="33">
        <v>31.6</v>
      </c>
      <c r="P214" s="33">
        <v>23</v>
      </c>
      <c r="Q214" s="33">
        <v>1.1000000000000001</v>
      </c>
      <c r="R214" s="33" t="s">
        <v>526</v>
      </c>
      <c r="S214" s="33">
        <v>61</v>
      </c>
      <c r="T214" s="33">
        <v>50</v>
      </c>
      <c r="U214" s="49"/>
    </row>
    <row r="215" spans="1:21">
      <c r="A215" s="50" t="s">
        <v>532</v>
      </c>
      <c r="B215" s="33" t="s">
        <v>1656</v>
      </c>
      <c r="C215" s="33">
        <v>100</v>
      </c>
      <c r="D215" s="33">
        <v>286</v>
      </c>
      <c r="E215" s="33">
        <v>9.8000000000000007</v>
      </c>
      <c r="F215" s="48">
        <v>6.5</v>
      </c>
      <c r="G215" s="48">
        <v>0.6</v>
      </c>
      <c r="H215" s="33">
        <v>13.2</v>
      </c>
      <c r="I215" s="48">
        <v>63.6</v>
      </c>
      <c r="J215" s="32"/>
      <c r="K215" s="33">
        <v>0.21</v>
      </c>
      <c r="L215" s="32"/>
      <c r="M215" s="33">
        <v>7.4</v>
      </c>
      <c r="N215" s="32"/>
      <c r="O215" s="33">
        <v>264.3</v>
      </c>
      <c r="P215" s="33">
        <v>185</v>
      </c>
      <c r="Q215" s="33">
        <v>6.4</v>
      </c>
      <c r="R215" s="33" t="s">
        <v>526</v>
      </c>
      <c r="S215" s="33">
        <v>82</v>
      </c>
      <c r="T215" s="33">
        <v>5</v>
      </c>
      <c r="U215" s="49"/>
    </row>
    <row r="216" spans="1:21">
      <c r="A216" s="50" t="s">
        <v>533</v>
      </c>
      <c r="B216" s="33" t="s">
        <v>1627</v>
      </c>
      <c r="C216" s="33">
        <v>93</v>
      </c>
      <c r="D216" s="33">
        <v>20</v>
      </c>
      <c r="E216" s="33">
        <v>94.2</v>
      </c>
      <c r="F216" s="48">
        <v>1.9</v>
      </c>
      <c r="G216" s="48">
        <v>0.6</v>
      </c>
      <c r="H216" s="33">
        <v>1</v>
      </c>
      <c r="I216" s="48">
        <v>1.8</v>
      </c>
      <c r="J216" s="33">
        <v>185</v>
      </c>
      <c r="K216" s="33">
        <v>0.02</v>
      </c>
      <c r="L216" s="33">
        <v>0.1</v>
      </c>
      <c r="M216" s="33">
        <v>0.5</v>
      </c>
      <c r="N216" s="33">
        <v>0.48</v>
      </c>
      <c r="O216" s="33">
        <v>56.2</v>
      </c>
      <c r="P216" s="33">
        <v>92</v>
      </c>
      <c r="Q216" s="33">
        <v>1.3</v>
      </c>
      <c r="R216" s="33" t="s">
        <v>526</v>
      </c>
      <c r="S216" s="33">
        <v>54</v>
      </c>
      <c r="T216" s="33">
        <v>50</v>
      </c>
      <c r="U216" s="49"/>
    </row>
    <row r="217" spans="1:21">
      <c r="A217" s="50" t="s">
        <v>534</v>
      </c>
      <c r="B217" s="33" t="s">
        <v>1644</v>
      </c>
      <c r="C217" s="33">
        <v>100</v>
      </c>
      <c r="D217" s="33">
        <v>20</v>
      </c>
      <c r="E217" s="33">
        <v>94.5</v>
      </c>
      <c r="F217" s="48">
        <v>1.4</v>
      </c>
      <c r="G217" s="48">
        <v>0.1</v>
      </c>
      <c r="H217" s="33">
        <v>0.5</v>
      </c>
      <c r="I217" s="48">
        <v>3.3</v>
      </c>
      <c r="J217" s="33">
        <v>55</v>
      </c>
      <c r="K217" s="32"/>
      <c r="L217" s="33">
        <v>0.01</v>
      </c>
      <c r="M217" s="33">
        <v>0.1</v>
      </c>
      <c r="N217" s="33">
        <v>0.9</v>
      </c>
      <c r="O217" s="33">
        <v>7.9</v>
      </c>
      <c r="P217" s="33">
        <v>42</v>
      </c>
      <c r="Q217" s="33">
        <v>2.4</v>
      </c>
      <c r="R217" s="33" t="s">
        <v>526</v>
      </c>
      <c r="S217" s="32"/>
      <c r="T217" s="33">
        <v>50</v>
      </c>
      <c r="U217" s="49"/>
    </row>
    <row r="218" spans="1:21">
      <c r="A218" s="50" t="s">
        <v>535</v>
      </c>
      <c r="B218" s="33" t="s">
        <v>1656</v>
      </c>
      <c r="C218" s="33">
        <v>100</v>
      </c>
      <c r="D218" s="33">
        <v>303</v>
      </c>
      <c r="E218" s="33">
        <v>9.6999999999999993</v>
      </c>
      <c r="F218" s="48">
        <v>6.3</v>
      </c>
      <c r="G218" s="48">
        <v>0.4</v>
      </c>
      <c r="H218" s="33">
        <v>11.4</v>
      </c>
      <c r="I218" s="48">
        <v>68.599999999999994</v>
      </c>
      <c r="J218" s="33">
        <v>35</v>
      </c>
      <c r="K218" s="33">
        <v>7.0000000000000007E-2</v>
      </c>
      <c r="L218" s="33">
        <v>0.06</v>
      </c>
      <c r="M218" s="33">
        <v>3</v>
      </c>
      <c r="N218" s="32"/>
      <c r="O218" s="33">
        <v>44.9</v>
      </c>
      <c r="P218" s="33">
        <v>49</v>
      </c>
      <c r="Q218" s="33">
        <v>22.1</v>
      </c>
      <c r="R218" s="33" t="s">
        <v>526</v>
      </c>
      <c r="S218" s="33">
        <v>89</v>
      </c>
      <c r="T218" s="33">
        <v>5</v>
      </c>
      <c r="U218" s="49"/>
    </row>
    <row r="219" spans="1:21">
      <c r="A219" s="50" t="s">
        <v>536</v>
      </c>
      <c r="B219" s="32"/>
      <c r="C219" s="33">
        <v>90</v>
      </c>
      <c r="D219" s="33">
        <v>39</v>
      </c>
      <c r="E219" s="33">
        <v>89.2</v>
      </c>
      <c r="F219" s="48">
        <v>1.1000000000000001</v>
      </c>
      <c r="G219" s="48">
        <v>0.2</v>
      </c>
      <c r="H219" s="33">
        <v>0.9</v>
      </c>
      <c r="I219" s="48">
        <v>8.1</v>
      </c>
      <c r="J219" s="33">
        <v>3</v>
      </c>
      <c r="K219" s="33">
        <v>0.03</v>
      </c>
      <c r="L219" s="33">
        <v>0.03</v>
      </c>
      <c r="M219" s="33">
        <v>0.3</v>
      </c>
      <c r="N219" s="33">
        <v>0.14000000000000001</v>
      </c>
      <c r="O219" s="33">
        <v>4.4000000000000004</v>
      </c>
      <c r="P219" s="33">
        <v>24</v>
      </c>
      <c r="Q219" s="33">
        <v>0.6</v>
      </c>
      <c r="R219" s="33" t="s">
        <v>526</v>
      </c>
      <c r="S219" s="33">
        <v>8</v>
      </c>
      <c r="T219" s="33">
        <v>50</v>
      </c>
      <c r="U219" s="49"/>
    </row>
    <row r="220" spans="1:21">
      <c r="A220" s="50" t="s">
        <v>537</v>
      </c>
      <c r="B220" s="33" t="s">
        <v>1653</v>
      </c>
      <c r="C220" s="33">
        <v>100</v>
      </c>
      <c r="D220" s="33">
        <v>330</v>
      </c>
      <c r="E220" s="33">
        <v>9.1</v>
      </c>
      <c r="F220" s="48">
        <v>5.5</v>
      </c>
      <c r="G220" s="48">
        <v>0.4</v>
      </c>
      <c r="H220" s="33">
        <v>5.7</v>
      </c>
      <c r="I220" s="48">
        <v>76.2</v>
      </c>
      <c r="J220" s="33">
        <v>5</v>
      </c>
      <c r="K220" s="33">
        <v>0.16</v>
      </c>
      <c r="L220" s="33">
        <v>0.16</v>
      </c>
      <c r="M220" s="33">
        <v>1</v>
      </c>
      <c r="N220" s="32"/>
      <c r="O220" s="33">
        <v>31.7</v>
      </c>
      <c r="P220" s="33">
        <v>186</v>
      </c>
      <c r="Q220" s="33">
        <v>0.9</v>
      </c>
      <c r="R220" s="33" t="s">
        <v>526</v>
      </c>
      <c r="S220" s="33">
        <v>22</v>
      </c>
      <c r="T220" s="33">
        <v>5</v>
      </c>
      <c r="U220" s="49"/>
    </row>
    <row r="221" spans="1:21">
      <c r="A221" s="50" t="s">
        <v>538</v>
      </c>
      <c r="B221" s="32"/>
      <c r="C221" s="33">
        <v>100</v>
      </c>
      <c r="D221" s="33">
        <v>324</v>
      </c>
      <c r="E221" s="33">
        <v>9.1</v>
      </c>
      <c r="F221" s="48">
        <v>6.9</v>
      </c>
      <c r="G221" s="48">
        <v>0.4</v>
      </c>
      <c r="H221" s="33">
        <v>7.5</v>
      </c>
      <c r="I221" s="48">
        <v>73.099999999999994</v>
      </c>
      <c r="J221" s="33">
        <v>3</v>
      </c>
      <c r="K221" s="33">
        <v>0.2</v>
      </c>
      <c r="L221" s="33">
        <v>0.14000000000000001</v>
      </c>
      <c r="M221" s="33">
        <v>1</v>
      </c>
      <c r="N221" s="32"/>
      <c r="O221" s="33">
        <v>77.400000000000006</v>
      </c>
      <c r="P221" s="33">
        <v>351</v>
      </c>
      <c r="Q221" s="33">
        <v>6.2</v>
      </c>
      <c r="R221" s="33" t="s">
        <v>526</v>
      </c>
      <c r="S221" s="33">
        <v>5</v>
      </c>
      <c r="T221" s="33">
        <v>50</v>
      </c>
      <c r="U221" s="49"/>
    </row>
    <row r="222" spans="1:21">
      <c r="A222" s="50" t="s">
        <v>539</v>
      </c>
      <c r="B222" s="32"/>
      <c r="C222" s="33">
        <v>83</v>
      </c>
      <c r="D222" s="33">
        <v>15</v>
      </c>
      <c r="E222" s="33">
        <v>95.1</v>
      </c>
      <c r="F222" s="48">
        <v>1.4</v>
      </c>
      <c r="G222" s="48">
        <v>0.1</v>
      </c>
      <c r="H222" s="33">
        <v>0.9</v>
      </c>
      <c r="I222" s="48">
        <v>2.1</v>
      </c>
      <c r="J222" s="33">
        <v>13</v>
      </c>
      <c r="K222" s="33">
        <v>0.03</v>
      </c>
      <c r="L222" s="33">
        <v>0.04</v>
      </c>
      <c r="M222" s="33">
        <v>0.4</v>
      </c>
      <c r="N222" s="33">
        <v>0.36</v>
      </c>
      <c r="O222" s="33">
        <v>48.4</v>
      </c>
      <c r="P222" s="33">
        <v>35</v>
      </c>
      <c r="Q222" s="33">
        <v>0.6</v>
      </c>
      <c r="R222" s="33" t="s">
        <v>526</v>
      </c>
      <c r="S222" s="33">
        <v>28</v>
      </c>
      <c r="T222" s="33">
        <v>50</v>
      </c>
      <c r="U222" s="49"/>
    </row>
    <row r="223" spans="1:21">
      <c r="A223" s="50" t="s">
        <v>540</v>
      </c>
      <c r="B223" s="32"/>
      <c r="C223" s="33">
        <v>100</v>
      </c>
      <c r="D223" s="33">
        <v>29</v>
      </c>
      <c r="E223" s="33">
        <v>75</v>
      </c>
      <c r="F223" s="48">
        <v>2.2000000000000002</v>
      </c>
      <c r="G223" s="48">
        <v>0.3</v>
      </c>
      <c r="H223" s="33">
        <v>2.1</v>
      </c>
      <c r="I223" s="48">
        <v>4.4000000000000004</v>
      </c>
      <c r="J223" s="33">
        <v>83</v>
      </c>
      <c r="K223" s="33">
        <v>0.03</v>
      </c>
      <c r="L223" s="33">
        <v>0.06</v>
      </c>
      <c r="M223" s="33">
        <v>0.5</v>
      </c>
      <c r="N223" s="32"/>
      <c r="O223" s="33">
        <v>4252.6000000000004</v>
      </c>
      <c r="P223" s="33">
        <v>155</v>
      </c>
      <c r="Q223" s="33">
        <v>3.9</v>
      </c>
      <c r="R223" s="33" t="s">
        <v>541</v>
      </c>
      <c r="S223" s="33">
        <v>2</v>
      </c>
      <c r="T223" s="33">
        <v>1</v>
      </c>
      <c r="U223" s="49"/>
    </row>
    <row r="224" spans="1:21">
      <c r="A224" s="50" t="s">
        <v>542</v>
      </c>
      <c r="B224" s="33" t="s">
        <v>1628</v>
      </c>
      <c r="C224" s="33">
        <v>100</v>
      </c>
      <c r="D224" s="33">
        <v>23</v>
      </c>
      <c r="E224" s="33">
        <v>92.3</v>
      </c>
      <c r="F224" s="48">
        <v>2.7</v>
      </c>
      <c r="G224" s="48">
        <v>0.2</v>
      </c>
      <c r="H224" s="33">
        <v>1.6</v>
      </c>
      <c r="I224" s="48">
        <v>2.7</v>
      </c>
      <c r="J224" s="32"/>
      <c r="K224" s="33">
        <v>0.08</v>
      </c>
      <c r="L224" s="33">
        <v>0.34</v>
      </c>
      <c r="M224" s="33">
        <v>8</v>
      </c>
      <c r="N224" s="33">
        <v>0.4</v>
      </c>
      <c r="O224" s="33">
        <v>73</v>
      </c>
      <c r="P224" s="33">
        <v>17</v>
      </c>
      <c r="Q224" s="33">
        <v>1.3</v>
      </c>
      <c r="R224" s="33" t="s">
        <v>543</v>
      </c>
      <c r="S224" s="32"/>
      <c r="T224" s="33">
        <v>25</v>
      </c>
      <c r="U224" s="49"/>
    </row>
    <row r="225" spans="1:21">
      <c r="A225" s="50" t="s">
        <v>544</v>
      </c>
      <c r="B225" s="33" t="s">
        <v>1662</v>
      </c>
      <c r="C225" s="33">
        <v>100</v>
      </c>
      <c r="D225" s="33">
        <v>200</v>
      </c>
      <c r="E225" s="33">
        <v>15.5</v>
      </c>
      <c r="F225" s="48">
        <v>24.4</v>
      </c>
      <c r="G225" s="48">
        <v>2.8</v>
      </c>
      <c r="H225" s="33">
        <v>31.6</v>
      </c>
      <c r="I225" s="48">
        <v>19.3</v>
      </c>
      <c r="J225" s="33">
        <v>13</v>
      </c>
      <c r="K225" s="33">
        <v>0.26</v>
      </c>
      <c r="L225" s="33">
        <v>6.9</v>
      </c>
      <c r="M225" s="33">
        <v>19.5</v>
      </c>
      <c r="N225" s="32"/>
      <c r="O225" s="33">
        <v>1.7</v>
      </c>
      <c r="P225" s="33">
        <v>1</v>
      </c>
      <c r="Q225" s="33">
        <v>7.5</v>
      </c>
      <c r="R225" s="33" t="s">
        <v>543</v>
      </c>
      <c r="S225" s="33">
        <v>2</v>
      </c>
      <c r="T225" s="33">
        <v>25</v>
      </c>
      <c r="U225" s="49"/>
    </row>
    <row r="226" spans="1:21">
      <c r="A226" s="50" t="s">
        <v>545</v>
      </c>
      <c r="B226" s="33" t="s">
        <v>1647</v>
      </c>
      <c r="C226" s="33">
        <v>100</v>
      </c>
      <c r="D226" s="33">
        <v>3</v>
      </c>
      <c r="E226" s="33">
        <v>96.4</v>
      </c>
      <c r="F226" s="48">
        <v>1.5</v>
      </c>
      <c r="G226" s="51"/>
      <c r="H226" s="33">
        <v>1.8</v>
      </c>
      <c r="I226" s="48">
        <v>0</v>
      </c>
      <c r="J226" s="33">
        <v>37</v>
      </c>
      <c r="K226" s="33">
        <v>0.02</v>
      </c>
      <c r="L226" s="33">
        <v>0.28000000000000003</v>
      </c>
      <c r="M226" s="33">
        <v>0.5</v>
      </c>
      <c r="N226" s="33">
        <v>2.2400000000000002</v>
      </c>
      <c r="O226" s="33">
        <v>10.7</v>
      </c>
      <c r="P226" s="33">
        <v>14</v>
      </c>
      <c r="Q226" s="33">
        <v>21.1</v>
      </c>
      <c r="R226" s="33" t="s">
        <v>543</v>
      </c>
      <c r="S226" s="32"/>
      <c r="T226" s="33">
        <v>25</v>
      </c>
      <c r="U226" s="49"/>
    </row>
    <row r="227" spans="1:21">
      <c r="A227" s="50" t="s">
        <v>546</v>
      </c>
      <c r="B227" s="32"/>
      <c r="C227" s="33">
        <v>86</v>
      </c>
      <c r="D227" s="33">
        <v>212</v>
      </c>
      <c r="E227" s="33">
        <v>13.4</v>
      </c>
      <c r="F227" s="48">
        <v>17.8</v>
      </c>
      <c r="G227" s="48">
        <v>1.3</v>
      </c>
      <c r="H227" s="33">
        <v>32.299999999999997</v>
      </c>
      <c r="I227" s="48">
        <v>32.299999999999997</v>
      </c>
      <c r="J227" s="33">
        <v>5</v>
      </c>
      <c r="K227" s="33">
        <v>0.17</v>
      </c>
      <c r="L227" s="33">
        <v>1.4</v>
      </c>
      <c r="M227" s="33">
        <v>24.4</v>
      </c>
      <c r="N227" s="33">
        <v>3.47</v>
      </c>
      <c r="O227" s="33">
        <v>20.399999999999999</v>
      </c>
      <c r="P227" s="33">
        <v>55</v>
      </c>
      <c r="Q227" s="33">
        <v>10.5</v>
      </c>
      <c r="R227" s="33" t="s">
        <v>543</v>
      </c>
      <c r="S227" s="33">
        <v>5</v>
      </c>
      <c r="T227" s="33">
        <v>25</v>
      </c>
      <c r="U227" s="49"/>
    </row>
    <row r="228" spans="1:21">
      <c r="A228" s="50" t="s">
        <v>547</v>
      </c>
      <c r="B228" s="33" t="s">
        <v>1641</v>
      </c>
      <c r="C228" s="33">
        <v>100</v>
      </c>
      <c r="D228" s="33">
        <v>246</v>
      </c>
      <c r="E228" s="33">
        <v>10.5</v>
      </c>
      <c r="F228" s="48">
        <v>22.8</v>
      </c>
      <c r="G228" s="48">
        <v>0.8</v>
      </c>
      <c r="H228" s="33">
        <v>21.9</v>
      </c>
      <c r="I228" s="48">
        <v>36.799999999999997</v>
      </c>
      <c r="J228" s="32"/>
      <c r="K228" s="33">
        <v>0.23</v>
      </c>
      <c r="L228" s="32"/>
      <c r="M228" s="32"/>
      <c r="N228" s="33">
        <v>21.7</v>
      </c>
      <c r="O228" s="33">
        <v>103.3</v>
      </c>
      <c r="P228" s="33">
        <v>875</v>
      </c>
      <c r="Q228" s="33">
        <v>99.3</v>
      </c>
      <c r="R228" s="33" t="s">
        <v>543</v>
      </c>
      <c r="S228" s="32"/>
      <c r="T228" s="33">
        <v>25</v>
      </c>
      <c r="U228" s="49"/>
    </row>
    <row r="229" spans="1:21">
      <c r="A229" s="50" t="s">
        <v>548</v>
      </c>
      <c r="B229" s="32"/>
      <c r="C229" s="33">
        <v>98</v>
      </c>
      <c r="D229" s="33">
        <v>77</v>
      </c>
      <c r="E229" s="33">
        <v>70.5</v>
      </c>
      <c r="F229" s="48">
        <v>1.8</v>
      </c>
      <c r="G229" s="48">
        <v>0.1</v>
      </c>
      <c r="H229" s="33">
        <v>6.1</v>
      </c>
      <c r="I229" s="48">
        <v>17.3</v>
      </c>
      <c r="J229" s="33">
        <v>40</v>
      </c>
      <c r="K229" s="33">
        <v>0.01</v>
      </c>
      <c r="L229" s="33">
        <v>0.1</v>
      </c>
      <c r="M229" s="33">
        <v>0.8</v>
      </c>
      <c r="N229" s="33">
        <v>0.85</v>
      </c>
      <c r="O229" s="33">
        <v>327.39999999999998</v>
      </c>
      <c r="P229" s="33">
        <v>348</v>
      </c>
      <c r="Q229" s="33">
        <v>4.7</v>
      </c>
      <c r="R229" s="33" t="s">
        <v>543</v>
      </c>
      <c r="S229" s="32"/>
      <c r="T229" s="33">
        <v>25</v>
      </c>
      <c r="U229" s="49"/>
    </row>
    <row r="230" spans="1:21">
      <c r="A230" s="50" t="s">
        <v>549</v>
      </c>
      <c r="B230" s="33" t="s">
        <v>1637</v>
      </c>
      <c r="C230" s="33">
        <v>100</v>
      </c>
      <c r="D230" s="33">
        <v>17</v>
      </c>
      <c r="E230" s="33">
        <v>94.4</v>
      </c>
      <c r="F230" s="48">
        <v>1.2</v>
      </c>
      <c r="G230" s="48">
        <v>0.1</v>
      </c>
      <c r="H230" s="33">
        <v>0.5</v>
      </c>
      <c r="I230" s="48">
        <v>1.6</v>
      </c>
      <c r="J230" s="32"/>
      <c r="K230" s="33">
        <v>0.02</v>
      </c>
      <c r="L230" s="33">
        <v>0.15</v>
      </c>
      <c r="M230" s="33">
        <v>1.3</v>
      </c>
      <c r="N230" s="33">
        <v>1.85</v>
      </c>
      <c r="O230" s="33">
        <v>8.6</v>
      </c>
      <c r="P230" s="33">
        <v>46</v>
      </c>
      <c r="Q230" s="33">
        <v>0.9</v>
      </c>
      <c r="R230" s="33" t="s">
        <v>543</v>
      </c>
      <c r="S230" s="32"/>
      <c r="T230" s="33">
        <v>25</v>
      </c>
      <c r="U230" s="49"/>
    </row>
    <row r="231" spans="1:21">
      <c r="A231" s="50" t="s">
        <v>550</v>
      </c>
      <c r="B231" s="33" t="s">
        <v>1663</v>
      </c>
      <c r="C231" s="33">
        <v>100</v>
      </c>
      <c r="D231" s="33">
        <v>314</v>
      </c>
      <c r="E231" s="33">
        <v>15.6</v>
      </c>
      <c r="F231" s="48">
        <v>5.4</v>
      </c>
      <c r="G231" s="48">
        <v>0.1</v>
      </c>
      <c r="H231" s="32"/>
      <c r="I231" s="48">
        <v>72.900000000000006</v>
      </c>
      <c r="J231" s="32"/>
      <c r="K231" s="33">
        <v>0.06</v>
      </c>
      <c r="L231" s="33">
        <v>0.2</v>
      </c>
      <c r="M231" s="33">
        <v>3.3</v>
      </c>
      <c r="N231" s="33">
        <v>14.84</v>
      </c>
      <c r="O231" s="33">
        <v>380.8</v>
      </c>
      <c r="P231" s="33">
        <v>167</v>
      </c>
      <c r="Q231" s="33">
        <v>2</v>
      </c>
      <c r="R231" s="33" t="s">
        <v>543</v>
      </c>
      <c r="S231" s="32"/>
      <c r="T231" s="33">
        <v>25</v>
      </c>
      <c r="U231" s="49"/>
    </row>
    <row r="232" spans="1:21">
      <c r="A232" s="50" t="s">
        <v>551</v>
      </c>
      <c r="B232" s="32"/>
      <c r="C232" s="33">
        <v>100</v>
      </c>
      <c r="D232" s="33">
        <v>13</v>
      </c>
      <c r="E232" s="33">
        <v>92.3</v>
      </c>
      <c r="F232" s="48">
        <v>2</v>
      </c>
      <c r="G232" s="48">
        <v>0.2</v>
      </c>
      <c r="H232" s="33">
        <v>4.2</v>
      </c>
      <c r="I232" s="48">
        <v>0.7</v>
      </c>
      <c r="J232" s="32"/>
      <c r="K232" s="33">
        <v>0.01</v>
      </c>
      <c r="L232" s="33">
        <v>0.04</v>
      </c>
      <c r="M232" s="33">
        <v>0.2</v>
      </c>
      <c r="N232" s="33">
        <v>0.46</v>
      </c>
      <c r="O232" s="33">
        <v>175.2</v>
      </c>
      <c r="P232" s="33">
        <v>19</v>
      </c>
      <c r="Q232" s="33">
        <v>2.8</v>
      </c>
      <c r="R232" s="33" t="s">
        <v>543</v>
      </c>
      <c r="S232" s="33">
        <v>4</v>
      </c>
      <c r="T232" s="33">
        <v>25</v>
      </c>
      <c r="U232" s="49"/>
    </row>
    <row r="233" spans="1:21">
      <c r="A233" s="50" t="s">
        <v>552</v>
      </c>
      <c r="B233" s="33" t="s">
        <v>1664</v>
      </c>
      <c r="C233" s="33">
        <v>89</v>
      </c>
      <c r="D233" s="33">
        <v>166</v>
      </c>
      <c r="E233" s="33">
        <v>39.299999999999997</v>
      </c>
      <c r="F233" s="48">
        <v>16.399999999999999</v>
      </c>
      <c r="G233" s="48">
        <v>1.5</v>
      </c>
      <c r="H233" s="33">
        <v>18.3</v>
      </c>
      <c r="I233" s="48">
        <v>21.8</v>
      </c>
      <c r="J233" s="33">
        <v>12</v>
      </c>
      <c r="K233" s="33">
        <v>0.15</v>
      </c>
      <c r="L233" s="33">
        <v>1</v>
      </c>
      <c r="M233" s="33">
        <v>5.8</v>
      </c>
      <c r="N233" s="33">
        <v>1.26</v>
      </c>
      <c r="O233" s="32"/>
      <c r="P233" s="33">
        <v>11</v>
      </c>
      <c r="Q233" s="33">
        <v>22.5</v>
      </c>
      <c r="R233" s="33" t="s">
        <v>543</v>
      </c>
      <c r="S233" s="32"/>
      <c r="T233" s="33">
        <v>25</v>
      </c>
      <c r="U233" s="49"/>
    </row>
    <row r="234" spans="1:21">
      <c r="A234" s="50" t="s">
        <v>553</v>
      </c>
      <c r="B234" s="32"/>
      <c r="C234" s="33">
        <v>100</v>
      </c>
      <c r="D234" s="33">
        <v>26</v>
      </c>
      <c r="E234" s="33">
        <v>90.2</v>
      </c>
      <c r="F234" s="48">
        <v>2.4</v>
      </c>
      <c r="G234" s="48">
        <v>0.4</v>
      </c>
      <c r="H234" s="33">
        <v>2.7</v>
      </c>
      <c r="I234" s="48">
        <v>3.3</v>
      </c>
      <c r="J234" s="33">
        <v>5</v>
      </c>
      <c r="K234" s="33">
        <v>0.15</v>
      </c>
      <c r="L234" s="33">
        <v>0.19</v>
      </c>
      <c r="M234" s="33">
        <v>4.0999999999999996</v>
      </c>
      <c r="N234" s="33">
        <v>1.1399999999999999</v>
      </c>
      <c r="O234" s="33">
        <v>4.3</v>
      </c>
      <c r="P234" s="32"/>
      <c r="Q234" s="33">
        <v>1.4</v>
      </c>
      <c r="R234" s="33" t="s">
        <v>543</v>
      </c>
      <c r="S234" s="33">
        <v>2</v>
      </c>
      <c r="T234" s="33">
        <v>25</v>
      </c>
      <c r="U234" s="49"/>
    </row>
    <row r="235" spans="1:21">
      <c r="A235" s="50" t="s">
        <v>554</v>
      </c>
      <c r="B235" s="33" t="s">
        <v>1632</v>
      </c>
      <c r="C235" s="33">
        <v>100</v>
      </c>
      <c r="D235" s="33">
        <v>21</v>
      </c>
      <c r="E235" s="33">
        <v>91.6</v>
      </c>
      <c r="F235" s="48">
        <v>1</v>
      </c>
      <c r="G235" s="51"/>
      <c r="H235" s="33">
        <v>2.5</v>
      </c>
      <c r="I235" s="48">
        <v>4.2</v>
      </c>
      <c r="J235" s="32"/>
      <c r="K235" s="33">
        <v>0.01</v>
      </c>
      <c r="L235" s="33">
        <v>0.01</v>
      </c>
      <c r="M235" s="33">
        <v>0.6</v>
      </c>
      <c r="N235" s="33">
        <v>0.98</v>
      </c>
      <c r="O235" s="33">
        <v>238.2</v>
      </c>
      <c r="P235" s="33">
        <v>14</v>
      </c>
      <c r="Q235" s="33">
        <v>1.1000000000000001</v>
      </c>
      <c r="R235" s="33" t="s">
        <v>543</v>
      </c>
      <c r="S235" s="32"/>
      <c r="T235" s="33">
        <v>25</v>
      </c>
      <c r="U235" s="49"/>
    </row>
    <row r="236" spans="1:21">
      <c r="A236" s="50" t="s">
        <v>555</v>
      </c>
      <c r="B236" s="33" t="s">
        <v>1618</v>
      </c>
      <c r="C236" s="33">
        <v>100</v>
      </c>
      <c r="D236" s="33">
        <v>242</v>
      </c>
      <c r="E236" s="33">
        <v>9.1999999999999993</v>
      </c>
      <c r="F236" s="48">
        <v>38.700000000000003</v>
      </c>
      <c r="G236" s="48">
        <v>3.3</v>
      </c>
      <c r="H236" s="33">
        <v>17.2</v>
      </c>
      <c r="I236" s="48">
        <v>14.4</v>
      </c>
      <c r="J236" s="32"/>
      <c r="K236" s="33">
        <v>7.0000000000000007E-2</v>
      </c>
      <c r="L236" s="33">
        <v>0.08</v>
      </c>
      <c r="M236" s="33">
        <v>44.3</v>
      </c>
      <c r="N236" s="33">
        <v>8.57</v>
      </c>
      <c r="O236" s="33">
        <v>5.2</v>
      </c>
      <c r="P236" s="33">
        <v>169</v>
      </c>
      <c r="Q236" s="33">
        <v>19.399999999999999</v>
      </c>
      <c r="R236" s="33" t="s">
        <v>543</v>
      </c>
      <c r="S236" s="32"/>
      <c r="T236" s="33">
        <v>25</v>
      </c>
      <c r="U236" s="49"/>
    </row>
    <row r="237" spans="1:21">
      <c r="A237" s="50" t="s">
        <v>556</v>
      </c>
      <c r="B237" s="33" t="s">
        <v>1665</v>
      </c>
      <c r="C237" s="33">
        <v>100</v>
      </c>
      <c r="D237" s="33">
        <v>252</v>
      </c>
      <c r="E237" s="33">
        <v>13.7</v>
      </c>
      <c r="F237" s="48">
        <v>21</v>
      </c>
      <c r="G237" s="48">
        <v>4.5999999999999996</v>
      </c>
      <c r="H237" s="33">
        <v>21</v>
      </c>
      <c r="I237" s="48">
        <v>31.7</v>
      </c>
      <c r="J237" s="33">
        <v>273</v>
      </c>
      <c r="K237" s="33">
        <v>0.1</v>
      </c>
      <c r="L237" s="33">
        <v>1.1000000000000001</v>
      </c>
      <c r="M237" s="33">
        <v>30.7</v>
      </c>
      <c r="N237" s="33">
        <v>6.18</v>
      </c>
      <c r="O237" s="33">
        <v>23.3</v>
      </c>
      <c r="P237" s="33">
        <v>127</v>
      </c>
      <c r="Q237" s="32"/>
      <c r="R237" s="33" t="s">
        <v>543</v>
      </c>
      <c r="S237" s="33">
        <v>5</v>
      </c>
      <c r="T237" s="33">
        <v>25</v>
      </c>
      <c r="U237" s="49"/>
    </row>
    <row r="238" spans="1:21">
      <c r="A238" s="50" t="s">
        <v>557</v>
      </c>
      <c r="B238" s="32"/>
      <c r="C238" s="33">
        <v>99</v>
      </c>
      <c r="D238" s="33">
        <v>20</v>
      </c>
      <c r="E238" s="33">
        <v>92.4</v>
      </c>
      <c r="F238" s="48">
        <v>2.7</v>
      </c>
      <c r="G238" s="48">
        <v>0.1</v>
      </c>
      <c r="H238" s="33">
        <v>2.1</v>
      </c>
      <c r="I238" s="48">
        <v>2</v>
      </c>
      <c r="J238" s="33">
        <v>2</v>
      </c>
      <c r="K238" s="33">
        <v>0.08</v>
      </c>
      <c r="L238" s="33">
        <v>0.35</v>
      </c>
      <c r="M238" s="33">
        <v>4</v>
      </c>
      <c r="N238" s="33">
        <v>0.56000000000000005</v>
      </c>
      <c r="O238" s="33">
        <v>8.3000000000000007</v>
      </c>
      <c r="P238" s="33">
        <v>6</v>
      </c>
      <c r="Q238" s="33">
        <v>1.2</v>
      </c>
      <c r="R238" s="33" t="s">
        <v>543</v>
      </c>
      <c r="S238" s="33">
        <v>2</v>
      </c>
      <c r="T238" s="33">
        <v>25</v>
      </c>
      <c r="U238" s="49"/>
    </row>
    <row r="239" spans="1:21">
      <c r="A239" s="50" t="s">
        <v>558</v>
      </c>
      <c r="B239" s="32"/>
      <c r="C239" s="33">
        <v>100</v>
      </c>
      <c r="D239" s="33">
        <v>205</v>
      </c>
      <c r="E239" s="33">
        <v>15.5</v>
      </c>
      <c r="F239" s="48">
        <v>12.1</v>
      </c>
      <c r="G239" s="48">
        <v>1.5</v>
      </c>
      <c r="H239" s="33">
        <v>29.9</v>
      </c>
      <c r="I239" s="48">
        <v>35.700000000000003</v>
      </c>
      <c r="J239" s="33">
        <v>17</v>
      </c>
      <c r="K239" s="33">
        <v>0.17</v>
      </c>
      <c r="L239" s="33">
        <v>0.44</v>
      </c>
      <c r="M239" s="33">
        <v>2.5</v>
      </c>
      <c r="N239" s="33">
        <v>11.34</v>
      </c>
      <c r="O239" s="33">
        <v>48.5</v>
      </c>
      <c r="P239" s="33">
        <v>247</v>
      </c>
      <c r="Q239" s="33">
        <v>97.4</v>
      </c>
      <c r="R239" s="33" t="s">
        <v>543</v>
      </c>
      <c r="S239" s="32"/>
      <c r="T239" s="33">
        <v>25</v>
      </c>
      <c r="U239" s="49"/>
    </row>
    <row r="240" spans="1:21">
      <c r="A240" s="50" t="s">
        <v>559</v>
      </c>
      <c r="B240" s="32"/>
      <c r="C240" s="33">
        <v>100</v>
      </c>
      <c r="D240" s="33">
        <v>21</v>
      </c>
      <c r="E240" s="33">
        <v>91.8</v>
      </c>
      <c r="F240" s="48">
        <v>1.5</v>
      </c>
      <c r="G240" s="48">
        <v>0.2</v>
      </c>
      <c r="H240" s="33">
        <v>2.6</v>
      </c>
      <c r="I240" s="48">
        <v>3.4</v>
      </c>
      <c r="J240" s="33">
        <v>3</v>
      </c>
      <c r="K240" s="33">
        <v>0.01</v>
      </c>
      <c r="L240" s="33">
        <v>0.05</v>
      </c>
      <c r="M240" s="33">
        <v>0.2</v>
      </c>
      <c r="N240" s="33">
        <v>7.51</v>
      </c>
      <c r="O240" s="33">
        <v>8.5</v>
      </c>
      <c r="P240" s="33">
        <v>34</v>
      </c>
      <c r="Q240" s="33">
        <v>5.5</v>
      </c>
      <c r="R240" s="33" t="s">
        <v>543</v>
      </c>
      <c r="S240" s="33">
        <v>1</v>
      </c>
      <c r="T240" s="33">
        <v>25</v>
      </c>
      <c r="U240" s="49"/>
    </row>
    <row r="241" spans="1:21">
      <c r="A241" s="50" t="s">
        <v>560</v>
      </c>
      <c r="B241" s="32"/>
      <c r="C241" s="33">
        <v>93</v>
      </c>
      <c r="D241" s="33">
        <v>20</v>
      </c>
      <c r="E241" s="33">
        <v>92.5</v>
      </c>
      <c r="F241" s="48">
        <v>1.9</v>
      </c>
      <c r="G241" s="48">
        <v>0.3</v>
      </c>
      <c r="H241" s="33">
        <v>2.2999999999999998</v>
      </c>
      <c r="I241" s="48">
        <v>2.2999999999999998</v>
      </c>
      <c r="J241" s="33">
        <v>2</v>
      </c>
      <c r="K241" s="33">
        <v>0.06</v>
      </c>
      <c r="L241" s="33">
        <v>0.16</v>
      </c>
      <c r="M241" s="33">
        <v>3.1</v>
      </c>
      <c r="N241" s="33">
        <v>0.79</v>
      </c>
      <c r="O241" s="33">
        <v>3.8</v>
      </c>
      <c r="P241" s="33">
        <v>5</v>
      </c>
      <c r="Q241" s="33">
        <v>1</v>
      </c>
      <c r="R241" s="33" t="s">
        <v>543</v>
      </c>
      <c r="S241" s="33">
        <v>4</v>
      </c>
      <c r="T241" s="33">
        <v>25</v>
      </c>
      <c r="U241" s="49"/>
    </row>
    <row r="242" spans="1:21">
      <c r="A242" s="50" t="s">
        <v>561</v>
      </c>
      <c r="B242" s="33" t="s">
        <v>1638</v>
      </c>
      <c r="C242" s="33">
        <v>100</v>
      </c>
      <c r="D242" s="33">
        <v>207</v>
      </c>
      <c r="E242" s="33">
        <v>14.1</v>
      </c>
      <c r="F242" s="48">
        <v>22.4</v>
      </c>
      <c r="G242" s="48">
        <v>0.2</v>
      </c>
      <c r="H242" s="33">
        <v>24.9</v>
      </c>
      <c r="I242" s="48">
        <v>29</v>
      </c>
      <c r="J242" s="32"/>
      <c r="K242" s="32"/>
      <c r="L242" s="33">
        <v>3.11</v>
      </c>
      <c r="M242" s="32"/>
      <c r="N242" s="33">
        <v>43.4</v>
      </c>
      <c r="O242" s="33">
        <v>43.4</v>
      </c>
      <c r="P242" s="33">
        <v>17</v>
      </c>
      <c r="Q242" s="33">
        <v>113.2</v>
      </c>
      <c r="R242" s="33" t="s">
        <v>543</v>
      </c>
      <c r="S242" s="32"/>
      <c r="T242" s="33">
        <v>25</v>
      </c>
      <c r="U242" s="49"/>
    </row>
    <row r="243" spans="1:21">
      <c r="A243" s="50" t="s">
        <v>562</v>
      </c>
      <c r="B243" s="33" t="s">
        <v>1638</v>
      </c>
      <c r="C243" s="33">
        <v>100</v>
      </c>
      <c r="D243" s="33">
        <v>214</v>
      </c>
      <c r="E243" s="33">
        <v>12.3</v>
      </c>
      <c r="F243" s="48">
        <v>18.399999999999999</v>
      </c>
      <c r="G243" s="48">
        <v>0.7</v>
      </c>
      <c r="H243" s="33">
        <v>24.6</v>
      </c>
      <c r="I243" s="48">
        <v>33.5</v>
      </c>
      <c r="J243" s="32"/>
      <c r="K243" s="32"/>
      <c r="L243" s="33">
        <v>1.1599999999999999</v>
      </c>
      <c r="M243" s="32"/>
      <c r="N243" s="32"/>
      <c r="O243" s="33">
        <v>4.3</v>
      </c>
      <c r="P243" s="33">
        <v>14</v>
      </c>
      <c r="Q243" s="33">
        <v>235.1</v>
      </c>
      <c r="R243" s="33" t="s">
        <v>543</v>
      </c>
      <c r="S243" s="32"/>
      <c r="T243" s="33">
        <v>25</v>
      </c>
      <c r="U243" s="49"/>
    </row>
    <row r="244" spans="1:21">
      <c r="A244" s="50" t="s">
        <v>563</v>
      </c>
      <c r="B244" s="33" t="s">
        <v>1666</v>
      </c>
      <c r="C244" s="33">
        <v>100</v>
      </c>
      <c r="D244" s="33">
        <v>311</v>
      </c>
      <c r="E244" s="33">
        <v>21.1</v>
      </c>
      <c r="F244" s="48">
        <v>1.1000000000000001</v>
      </c>
      <c r="G244" s="48">
        <v>0.2</v>
      </c>
      <c r="H244" s="33">
        <v>0.1</v>
      </c>
      <c r="I244" s="48">
        <v>76.2</v>
      </c>
      <c r="J244" s="32"/>
      <c r="K244" s="32"/>
      <c r="L244" s="32"/>
      <c r="M244" s="32"/>
      <c r="N244" s="32"/>
      <c r="O244" s="33">
        <v>3.3</v>
      </c>
      <c r="P244" s="33">
        <v>100</v>
      </c>
      <c r="Q244" s="33">
        <v>7</v>
      </c>
      <c r="R244" s="33" t="s">
        <v>543</v>
      </c>
      <c r="S244" s="32"/>
      <c r="T244" s="33">
        <v>25</v>
      </c>
      <c r="U244" s="49"/>
    </row>
    <row r="245" spans="1:21">
      <c r="A245" s="50" t="s">
        <v>564</v>
      </c>
      <c r="B245" s="33" t="s">
        <v>1667</v>
      </c>
      <c r="C245" s="33">
        <v>97</v>
      </c>
      <c r="D245" s="33">
        <v>22</v>
      </c>
      <c r="E245" s="33">
        <v>92.4</v>
      </c>
      <c r="F245" s="48">
        <v>4.2</v>
      </c>
      <c r="G245" s="48">
        <v>0.1</v>
      </c>
      <c r="H245" s="33">
        <v>1.5</v>
      </c>
      <c r="I245" s="48">
        <v>1.2</v>
      </c>
      <c r="J245" s="32"/>
      <c r="K245" s="32"/>
      <c r="L245" s="33">
        <v>0.27</v>
      </c>
      <c r="M245" s="33">
        <v>3.2</v>
      </c>
      <c r="N245" s="32"/>
      <c r="O245" s="33">
        <v>2</v>
      </c>
      <c r="P245" s="33">
        <v>2</v>
      </c>
      <c r="Q245" s="33">
        <v>0.9</v>
      </c>
      <c r="R245" s="33" t="s">
        <v>543</v>
      </c>
      <c r="S245" s="32"/>
      <c r="T245" s="33">
        <v>25</v>
      </c>
      <c r="U245" s="49"/>
    </row>
    <row r="246" spans="1:21">
      <c r="A246" s="50" t="s">
        <v>565</v>
      </c>
      <c r="B246" s="33" t="s">
        <v>1668</v>
      </c>
      <c r="C246" s="33">
        <v>100</v>
      </c>
      <c r="D246" s="33">
        <v>112</v>
      </c>
      <c r="E246" s="33">
        <v>16.100000000000001</v>
      </c>
      <c r="F246" s="48">
        <v>20.3</v>
      </c>
      <c r="G246" s="48">
        <v>3.2</v>
      </c>
      <c r="H246" s="33">
        <v>47.8</v>
      </c>
      <c r="I246" s="48">
        <v>0.4</v>
      </c>
      <c r="J246" s="32"/>
      <c r="K246" s="33">
        <v>0.01</v>
      </c>
      <c r="L246" s="33">
        <v>1.48</v>
      </c>
      <c r="M246" s="32"/>
      <c r="N246" s="33">
        <v>3.09</v>
      </c>
      <c r="O246" s="33">
        <v>4.3</v>
      </c>
      <c r="P246" s="33">
        <v>14</v>
      </c>
      <c r="Q246" s="33">
        <v>86</v>
      </c>
      <c r="R246" s="33" t="s">
        <v>543</v>
      </c>
      <c r="S246" s="32"/>
      <c r="T246" s="33">
        <v>25</v>
      </c>
      <c r="U246" s="49"/>
    </row>
    <row r="247" spans="1:21">
      <c r="A247" s="50" t="s">
        <v>566</v>
      </c>
      <c r="B247" s="33" t="s">
        <v>1669</v>
      </c>
      <c r="C247" s="33">
        <v>100</v>
      </c>
      <c r="D247" s="33">
        <v>148</v>
      </c>
      <c r="E247" s="33">
        <v>23.7</v>
      </c>
      <c r="F247" s="48">
        <v>19</v>
      </c>
      <c r="G247" s="48">
        <v>0.4</v>
      </c>
      <c r="H247" s="33">
        <v>9.1</v>
      </c>
      <c r="I247" s="48">
        <v>17.2</v>
      </c>
      <c r="J247" s="32"/>
      <c r="K247" s="33">
        <v>0.35</v>
      </c>
      <c r="L247" s="33">
        <v>0.4</v>
      </c>
      <c r="M247" s="33">
        <v>4</v>
      </c>
      <c r="N247" s="32"/>
      <c r="O247" s="33">
        <v>4955.5</v>
      </c>
      <c r="P247" s="33">
        <v>185</v>
      </c>
      <c r="Q247" s="33">
        <v>283.7</v>
      </c>
      <c r="R247" s="33" t="s">
        <v>543</v>
      </c>
      <c r="S247" s="32"/>
      <c r="T247" s="33">
        <v>25</v>
      </c>
      <c r="U247" s="49"/>
    </row>
    <row r="248" spans="1:21">
      <c r="A248" s="50" t="s">
        <v>567</v>
      </c>
      <c r="B248" s="32"/>
      <c r="C248" s="33">
        <v>95</v>
      </c>
      <c r="D248" s="33">
        <v>211</v>
      </c>
      <c r="E248" s="33">
        <v>12.3</v>
      </c>
      <c r="F248" s="48">
        <v>20</v>
      </c>
      <c r="G248" s="48">
        <v>1.2</v>
      </c>
      <c r="H248" s="33">
        <v>31.6</v>
      </c>
      <c r="I248" s="48">
        <v>30.1</v>
      </c>
      <c r="J248" s="33">
        <v>3</v>
      </c>
      <c r="K248" s="33">
        <v>0.19</v>
      </c>
      <c r="L248" s="33">
        <v>1.26</v>
      </c>
      <c r="M248" s="33">
        <v>20.5</v>
      </c>
      <c r="N248" s="33">
        <v>0.66</v>
      </c>
      <c r="O248" s="33">
        <v>11.2</v>
      </c>
      <c r="P248" s="33">
        <v>83</v>
      </c>
      <c r="Q248" s="33">
        <v>10.5</v>
      </c>
      <c r="R248" s="33" t="s">
        <v>543</v>
      </c>
      <c r="S248" s="33">
        <v>5</v>
      </c>
      <c r="T248" s="33">
        <v>25</v>
      </c>
      <c r="U248" s="49"/>
    </row>
    <row r="249" spans="1:21">
      <c r="A249" s="50" t="s">
        <v>568</v>
      </c>
      <c r="B249" s="33" t="s">
        <v>1627</v>
      </c>
      <c r="C249" s="33">
        <v>100</v>
      </c>
      <c r="D249" s="33">
        <v>19</v>
      </c>
      <c r="E249" s="33">
        <v>91.7</v>
      </c>
      <c r="F249" s="48">
        <v>2.2000000000000002</v>
      </c>
      <c r="G249" s="48">
        <v>0.3</v>
      </c>
      <c r="H249" s="33">
        <v>3.3</v>
      </c>
      <c r="I249" s="48">
        <v>1.9</v>
      </c>
      <c r="J249" s="32"/>
      <c r="K249" s="32"/>
      <c r="L249" s="33">
        <v>0.08</v>
      </c>
      <c r="M249" s="33">
        <v>2</v>
      </c>
      <c r="N249" s="32"/>
      <c r="O249" s="33">
        <v>1.4</v>
      </c>
      <c r="P249" s="33">
        <v>2</v>
      </c>
      <c r="Q249" s="33">
        <v>0.3</v>
      </c>
      <c r="R249" s="33" t="s">
        <v>543</v>
      </c>
      <c r="S249" s="33">
        <v>1</v>
      </c>
      <c r="T249" s="33">
        <v>25</v>
      </c>
      <c r="U249" s="49"/>
    </row>
    <row r="250" spans="1:21">
      <c r="A250" s="50" t="s">
        <v>569</v>
      </c>
      <c r="B250" s="33" t="s">
        <v>1638</v>
      </c>
      <c r="C250" s="33">
        <v>100</v>
      </c>
      <c r="D250" s="33">
        <v>207</v>
      </c>
      <c r="E250" s="33">
        <v>15.1</v>
      </c>
      <c r="F250" s="48">
        <v>33.4</v>
      </c>
      <c r="G250" s="48">
        <v>1.5</v>
      </c>
      <c r="H250" s="33">
        <v>22.6</v>
      </c>
      <c r="I250" s="48">
        <v>15</v>
      </c>
      <c r="J250" s="32"/>
      <c r="K250" s="32"/>
      <c r="L250" s="33">
        <v>1.9</v>
      </c>
      <c r="M250" s="32"/>
      <c r="N250" s="32"/>
      <c r="O250" s="33">
        <v>21</v>
      </c>
      <c r="P250" s="33">
        <v>15</v>
      </c>
      <c r="Q250" s="33">
        <v>137.5</v>
      </c>
      <c r="R250" s="33" t="s">
        <v>543</v>
      </c>
      <c r="S250" s="32"/>
      <c r="T250" s="33">
        <v>25</v>
      </c>
      <c r="U250" s="49"/>
    </row>
    <row r="251" spans="1:21">
      <c r="A251" s="50" t="s">
        <v>570</v>
      </c>
      <c r="B251" s="33" t="s">
        <v>1665</v>
      </c>
      <c r="C251" s="33">
        <v>100</v>
      </c>
      <c r="D251" s="33">
        <v>295</v>
      </c>
      <c r="E251" s="33">
        <v>14.3</v>
      </c>
      <c r="F251" s="48">
        <v>26.9</v>
      </c>
      <c r="G251" s="48">
        <v>7.1</v>
      </c>
      <c r="H251" s="33">
        <v>12.9</v>
      </c>
      <c r="I251" s="48">
        <v>30.8</v>
      </c>
      <c r="J251" s="33">
        <v>209</v>
      </c>
      <c r="K251" s="33">
        <v>0.1</v>
      </c>
      <c r="L251" s="33">
        <v>2.25</v>
      </c>
      <c r="M251" s="33">
        <v>8.8000000000000007</v>
      </c>
      <c r="N251" s="33">
        <v>3.58</v>
      </c>
      <c r="O251" s="33">
        <v>33.6</v>
      </c>
      <c r="P251" s="33">
        <v>87</v>
      </c>
      <c r="Q251" s="33">
        <v>30.7</v>
      </c>
      <c r="R251" s="33" t="s">
        <v>543</v>
      </c>
      <c r="S251" s="33">
        <v>3</v>
      </c>
      <c r="T251" s="33">
        <v>25</v>
      </c>
      <c r="U251" s="49"/>
    </row>
    <row r="252" spans="1:21">
      <c r="A252" s="50" t="s">
        <v>571</v>
      </c>
      <c r="B252" s="32"/>
      <c r="C252" s="33">
        <v>96</v>
      </c>
      <c r="D252" s="33">
        <v>200</v>
      </c>
      <c r="E252" s="33">
        <v>14.6</v>
      </c>
      <c r="F252" s="48">
        <v>10</v>
      </c>
      <c r="G252" s="48">
        <v>1.4</v>
      </c>
      <c r="H252" s="33">
        <v>30.4</v>
      </c>
      <c r="I252" s="48">
        <v>36.9</v>
      </c>
      <c r="J252" s="33">
        <v>8</v>
      </c>
      <c r="K252" s="33">
        <v>0.05</v>
      </c>
      <c r="L252" s="33">
        <v>0.25</v>
      </c>
      <c r="M252" s="33">
        <v>5.3</v>
      </c>
      <c r="N252" s="33">
        <v>1.26</v>
      </c>
      <c r="O252" s="33">
        <v>82.1</v>
      </c>
      <c r="P252" s="33">
        <v>36</v>
      </c>
      <c r="Q252" s="33">
        <v>4.0999999999999996</v>
      </c>
      <c r="R252" s="33" t="s">
        <v>543</v>
      </c>
      <c r="S252" s="32"/>
      <c r="T252" s="33">
        <v>25</v>
      </c>
      <c r="U252" s="49"/>
    </row>
    <row r="253" spans="1:21">
      <c r="A253" s="50" t="s">
        <v>572</v>
      </c>
      <c r="B253" s="33" t="s">
        <v>1624</v>
      </c>
      <c r="C253" s="33">
        <v>77</v>
      </c>
      <c r="D253" s="33">
        <v>157</v>
      </c>
      <c r="E253" s="33">
        <v>51.1</v>
      </c>
      <c r="F253" s="48">
        <v>9.5</v>
      </c>
      <c r="G253" s="48">
        <v>3.7</v>
      </c>
      <c r="H253" s="33">
        <v>10.4</v>
      </c>
      <c r="I253" s="48">
        <v>21.5</v>
      </c>
      <c r="J253" s="33">
        <v>7</v>
      </c>
      <c r="K253" s="33">
        <v>0.01</v>
      </c>
      <c r="L253" s="33">
        <v>0.69</v>
      </c>
      <c r="M253" s="33">
        <v>7.5</v>
      </c>
      <c r="N253" s="33">
        <v>3.34</v>
      </c>
      <c r="O253" s="32"/>
      <c r="P253" s="33">
        <v>11</v>
      </c>
      <c r="Q253" s="33">
        <v>25.1</v>
      </c>
      <c r="R253" s="33" t="s">
        <v>543</v>
      </c>
      <c r="S253" s="32"/>
      <c r="T253" s="33">
        <v>25</v>
      </c>
      <c r="U253" s="49"/>
    </row>
    <row r="254" spans="1:21">
      <c r="A254" s="50" t="s">
        <v>573</v>
      </c>
      <c r="B254" s="33" t="s">
        <v>1638</v>
      </c>
      <c r="C254" s="33">
        <v>100</v>
      </c>
      <c r="D254" s="33">
        <v>212</v>
      </c>
      <c r="E254" s="33">
        <v>12.1</v>
      </c>
      <c r="F254" s="48">
        <v>18.3</v>
      </c>
      <c r="G254" s="48">
        <v>0.7</v>
      </c>
      <c r="H254" s="33">
        <v>23.3</v>
      </c>
      <c r="I254" s="48">
        <v>33</v>
      </c>
      <c r="J254" s="33">
        <v>228</v>
      </c>
      <c r="K254" s="33">
        <v>0.27</v>
      </c>
      <c r="L254" s="33">
        <v>0.02</v>
      </c>
      <c r="M254" s="33">
        <v>7.3</v>
      </c>
      <c r="N254" s="33">
        <v>1.82</v>
      </c>
      <c r="O254" s="33">
        <v>4.4000000000000004</v>
      </c>
      <c r="P254" s="33">
        <v>24</v>
      </c>
      <c r="Q254" s="33">
        <v>189.8</v>
      </c>
      <c r="R254" s="33" t="s">
        <v>543</v>
      </c>
      <c r="S254" s="32"/>
      <c r="T254" s="33">
        <v>25</v>
      </c>
      <c r="U254" s="49"/>
    </row>
    <row r="255" spans="1:21">
      <c r="A255" s="50" t="s">
        <v>574</v>
      </c>
      <c r="B255" s="32"/>
      <c r="C255" s="33">
        <v>100</v>
      </c>
      <c r="D255" s="33">
        <v>207</v>
      </c>
      <c r="E255" s="33">
        <v>12.7</v>
      </c>
      <c r="F255" s="48">
        <v>26.7</v>
      </c>
      <c r="G255" s="48">
        <v>1.1000000000000001</v>
      </c>
      <c r="H255" s="33">
        <v>21.6</v>
      </c>
      <c r="I255" s="48">
        <v>22.5</v>
      </c>
      <c r="J255" s="33">
        <v>228</v>
      </c>
      <c r="K255" s="33">
        <v>0.27</v>
      </c>
      <c r="L255" s="33">
        <v>1.02</v>
      </c>
      <c r="M255" s="33">
        <v>7.3</v>
      </c>
      <c r="N255" s="33">
        <v>1.82</v>
      </c>
      <c r="O255" s="33">
        <v>710.5</v>
      </c>
      <c r="P255" s="33">
        <v>264</v>
      </c>
      <c r="Q255" s="33">
        <v>54.9</v>
      </c>
      <c r="R255" s="33" t="s">
        <v>543</v>
      </c>
      <c r="S255" s="33">
        <v>2</v>
      </c>
      <c r="T255" s="33">
        <v>25</v>
      </c>
      <c r="U255" s="49"/>
    </row>
    <row r="256" spans="1:21">
      <c r="A256" s="50" t="s">
        <v>575</v>
      </c>
      <c r="B256" s="33" t="s">
        <v>1628</v>
      </c>
      <c r="C256" s="33">
        <v>68</v>
      </c>
      <c r="D256" s="33">
        <v>109</v>
      </c>
      <c r="E256" s="33">
        <v>68.900000000000006</v>
      </c>
      <c r="F256" s="48">
        <v>1.2</v>
      </c>
      <c r="G256" s="48">
        <v>0.1</v>
      </c>
      <c r="H256" s="33">
        <v>3.1</v>
      </c>
      <c r="I256" s="48">
        <v>25.8</v>
      </c>
      <c r="J256" s="32"/>
      <c r="K256" s="33">
        <v>0.02</v>
      </c>
      <c r="L256" s="33">
        <v>0.02</v>
      </c>
      <c r="M256" s="33">
        <v>0.6</v>
      </c>
      <c r="N256" s="32"/>
      <c r="O256" s="33">
        <v>1.3</v>
      </c>
      <c r="P256" s="33">
        <v>6</v>
      </c>
      <c r="Q256" s="33">
        <v>0.3</v>
      </c>
      <c r="R256" s="33" t="s">
        <v>576</v>
      </c>
      <c r="S256" s="32"/>
      <c r="T256" s="33">
        <v>25</v>
      </c>
      <c r="U256" s="49"/>
    </row>
    <row r="257" spans="1:21">
      <c r="A257" s="50" t="s">
        <v>577</v>
      </c>
      <c r="B257" s="32"/>
      <c r="C257" s="33">
        <v>68</v>
      </c>
      <c r="D257" s="33">
        <v>41</v>
      </c>
      <c r="E257" s="33">
        <v>88.4</v>
      </c>
      <c r="F257" s="48">
        <v>0.5</v>
      </c>
      <c r="G257" s="48">
        <v>0.1</v>
      </c>
      <c r="H257" s="33">
        <v>1.3</v>
      </c>
      <c r="I257" s="48">
        <v>9.5</v>
      </c>
      <c r="J257" s="33">
        <v>33</v>
      </c>
      <c r="K257" s="33">
        <v>0.04</v>
      </c>
      <c r="L257" s="33">
        <v>0.02</v>
      </c>
      <c r="M257" s="33">
        <v>0.2</v>
      </c>
      <c r="N257" s="32"/>
      <c r="O257" s="33">
        <v>0.8</v>
      </c>
      <c r="P257" s="33">
        <v>12</v>
      </c>
      <c r="Q257" s="33">
        <v>0.6</v>
      </c>
      <c r="R257" s="33" t="s">
        <v>576</v>
      </c>
      <c r="S257" s="33">
        <v>18</v>
      </c>
      <c r="T257" s="33">
        <v>25</v>
      </c>
      <c r="U257" s="49"/>
    </row>
    <row r="258" spans="1:21">
      <c r="A258" s="50" t="s">
        <v>578</v>
      </c>
      <c r="B258" s="33" t="s">
        <v>1628</v>
      </c>
      <c r="C258" s="33">
        <v>43</v>
      </c>
      <c r="D258" s="33">
        <v>103</v>
      </c>
      <c r="E258" s="33">
        <v>73.2</v>
      </c>
      <c r="F258" s="48">
        <v>0.2</v>
      </c>
      <c r="G258" s="48">
        <v>0.3</v>
      </c>
      <c r="H258" s="33">
        <v>0.8</v>
      </c>
      <c r="I258" s="48">
        <v>24.9</v>
      </c>
      <c r="J258" s="32"/>
      <c r="K258" s="33">
        <v>0.06</v>
      </c>
      <c r="L258" s="33">
        <v>0.05</v>
      </c>
      <c r="M258" s="33">
        <v>0.7</v>
      </c>
      <c r="N258" s="33">
        <v>0.52</v>
      </c>
      <c r="O258" s="33">
        <v>11.4</v>
      </c>
      <c r="P258" s="33">
        <v>9</v>
      </c>
      <c r="Q258" s="33">
        <v>0.5</v>
      </c>
      <c r="R258" s="33" t="s">
        <v>576</v>
      </c>
      <c r="S258" s="33">
        <v>9</v>
      </c>
      <c r="T258" s="33">
        <v>25</v>
      </c>
      <c r="U258" s="49"/>
    </row>
    <row r="259" spans="1:21">
      <c r="A259" s="50" t="s">
        <v>579</v>
      </c>
      <c r="B259" s="33" t="s">
        <v>1628</v>
      </c>
      <c r="C259" s="33">
        <v>97</v>
      </c>
      <c r="D259" s="33">
        <v>160</v>
      </c>
      <c r="E259" s="33">
        <v>57</v>
      </c>
      <c r="F259" s="48">
        <v>4.9000000000000004</v>
      </c>
      <c r="G259" s="48">
        <v>0.3</v>
      </c>
      <c r="H259" s="33">
        <v>2.2999999999999998</v>
      </c>
      <c r="I259" s="48">
        <v>34.4</v>
      </c>
      <c r="J259" s="32"/>
      <c r="K259" s="33">
        <v>0.31</v>
      </c>
      <c r="L259" s="33">
        <v>0.16</v>
      </c>
      <c r="M259" s="33">
        <v>0.9</v>
      </c>
      <c r="N259" s="33">
        <v>0.12</v>
      </c>
      <c r="O259" s="33">
        <v>11.5</v>
      </c>
      <c r="P259" s="33">
        <v>18</v>
      </c>
      <c r="Q259" s="33">
        <v>1.6</v>
      </c>
      <c r="R259" s="33" t="s">
        <v>576</v>
      </c>
      <c r="S259" s="33">
        <v>16</v>
      </c>
      <c r="T259" s="33">
        <v>25</v>
      </c>
      <c r="U259" s="49"/>
    </row>
    <row r="260" spans="1:21">
      <c r="A260" s="50" t="s">
        <v>580</v>
      </c>
      <c r="B260" s="32"/>
      <c r="C260" s="33">
        <v>97</v>
      </c>
      <c r="D260" s="33">
        <v>30</v>
      </c>
      <c r="E260" s="33">
        <v>91.3</v>
      </c>
      <c r="F260" s="48">
        <v>1</v>
      </c>
      <c r="G260" s="48">
        <v>0.2</v>
      </c>
      <c r="H260" s="33">
        <v>1.1000000000000001</v>
      </c>
      <c r="I260" s="48">
        <v>6</v>
      </c>
      <c r="J260" s="33">
        <v>5</v>
      </c>
      <c r="K260" s="33">
        <v>0.02</v>
      </c>
      <c r="L260" s="33">
        <v>0.03</v>
      </c>
      <c r="M260" s="33">
        <v>0.3</v>
      </c>
      <c r="N260" s="33">
        <v>0.71</v>
      </c>
      <c r="O260" s="33">
        <v>4.2</v>
      </c>
      <c r="P260" s="33">
        <v>18</v>
      </c>
      <c r="Q260" s="33">
        <v>1.8</v>
      </c>
      <c r="R260" s="33" t="s">
        <v>576</v>
      </c>
      <c r="S260" s="33">
        <v>47</v>
      </c>
      <c r="T260" s="33">
        <v>25</v>
      </c>
      <c r="U260" s="49"/>
    </row>
    <row r="261" spans="1:21">
      <c r="A261" s="50" t="s">
        <v>581</v>
      </c>
      <c r="B261" s="33" t="s">
        <v>1618</v>
      </c>
      <c r="C261" s="33">
        <v>100</v>
      </c>
      <c r="D261" s="33">
        <v>269</v>
      </c>
      <c r="E261" s="33">
        <v>32.5</v>
      </c>
      <c r="F261" s="48">
        <v>0.8</v>
      </c>
      <c r="G261" s="48">
        <v>0.2</v>
      </c>
      <c r="H261" s="33">
        <v>0.2</v>
      </c>
      <c r="I261" s="48">
        <v>66.099999999999994</v>
      </c>
      <c r="J261" s="32"/>
      <c r="K261" s="33">
        <v>0.15</v>
      </c>
      <c r="L261" s="33">
        <v>0.1</v>
      </c>
      <c r="M261" s="33">
        <v>0.2</v>
      </c>
      <c r="N261" s="33">
        <v>0.49</v>
      </c>
      <c r="O261" s="33">
        <v>8.6999999999999993</v>
      </c>
      <c r="P261" s="33">
        <v>44</v>
      </c>
      <c r="Q261" s="33">
        <v>2.1</v>
      </c>
      <c r="R261" s="33" t="s">
        <v>576</v>
      </c>
      <c r="S261" s="33">
        <v>1</v>
      </c>
      <c r="T261" s="33">
        <v>25</v>
      </c>
      <c r="U261" s="49"/>
    </row>
    <row r="262" spans="1:21">
      <c r="A262" s="50" t="s">
        <v>582</v>
      </c>
      <c r="B262" s="32"/>
      <c r="C262" s="33">
        <v>74</v>
      </c>
      <c r="D262" s="33">
        <v>47</v>
      </c>
      <c r="E262" s="33">
        <v>87.4</v>
      </c>
      <c r="F262" s="48">
        <v>0.8</v>
      </c>
      <c r="G262" s="48">
        <v>0.2</v>
      </c>
      <c r="H262" s="33">
        <v>0.6</v>
      </c>
      <c r="I262" s="48">
        <v>10.5</v>
      </c>
      <c r="J262" s="33">
        <v>27</v>
      </c>
      <c r="K262" s="33">
        <v>0.05</v>
      </c>
      <c r="L262" s="33">
        <v>0.04</v>
      </c>
      <c r="M262" s="33">
        <v>0.3</v>
      </c>
      <c r="N262" s="33">
        <v>0.56000000000000005</v>
      </c>
      <c r="O262" s="33">
        <v>1.2</v>
      </c>
      <c r="P262" s="33">
        <v>20</v>
      </c>
      <c r="Q262" s="33">
        <v>0.4</v>
      </c>
      <c r="R262" s="33" t="s">
        <v>576</v>
      </c>
      <c r="S262" s="33">
        <v>33</v>
      </c>
      <c r="T262" s="33">
        <v>25</v>
      </c>
      <c r="U262" s="49"/>
    </row>
    <row r="263" spans="1:21">
      <c r="A263" s="50" t="s">
        <v>583</v>
      </c>
      <c r="B263" s="33" t="s">
        <v>1647</v>
      </c>
      <c r="C263" s="33">
        <v>95</v>
      </c>
      <c r="D263" s="33">
        <v>56</v>
      </c>
      <c r="E263" s="33">
        <v>81.7</v>
      </c>
      <c r="F263" s="48">
        <v>0.8</v>
      </c>
      <c r="G263" s="48">
        <v>0.4</v>
      </c>
      <c r="H263" s="33">
        <v>4.4000000000000004</v>
      </c>
      <c r="I263" s="48">
        <v>12.4</v>
      </c>
      <c r="J263" s="32"/>
      <c r="K263" s="33">
        <v>0.01</v>
      </c>
      <c r="L263" s="32"/>
      <c r="M263" s="32"/>
      <c r="N263" s="33">
        <v>2.19</v>
      </c>
      <c r="O263" s="33">
        <v>0.6</v>
      </c>
      <c r="P263" s="33">
        <v>11</v>
      </c>
      <c r="Q263" s="33">
        <v>0.2</v>
      </c>
      <c r="R263" s="33" t="s">
        <v>576</v>
      </c>
      <c r="S263" s="32"/>
      <c r="T263" s="33">
        <v>25</v>
      </c>
      <c r="U263" s="49"/>
    </row>
    <row r="264" spans="1:21">
      <c r="A264" s="50" t="s">
        <v>584</v>
      </c>
      <c r="B264" s="32"/>
      <c r="C264" s="33">
        <v>97</v>
      </c>
      <c r="D264" s="33">
        <v>41</v>
      </c>
      <c r="E264" s="33">
        <v>83.9</v>
      </c>
      <c r="F264" s="48">
        <v>1.1000000000000001</v>
      </c>
      <c r="G264" s="48">
        <v>0.4</v>
      </c>
      <c r="H264" s="33">
        <v>5.9</v>
      </c>
      <c r="I264" s="48">
        <v>8.3000000000000007</v>
      </c>
      <c r="J264" s="33">
        <v>53</v>
      </c>
      <c r="K264" s="33">
        <v>0.02</v>
      </c>
      <c r="L264" s="33">
        <v>0.05</v>
      </c>
      <c r="M264" s="33">
        <v>0.3</v>
      </c>
      <c r="N264" s="32"/>
      <c r="O264" s="33">
        <v>3.3</v>
      </c>
      <c r="P264" s="33">
        <v>13</v>
      </c>
      <c r="Q264" s="33">
        <v>0.2</v>
      </c>
      <c r="R264" s="33" t="s">
        <v>576</v>
      </c>
      <c r="S264" s="33">
        <v>68</v>
      </c>
      <c r="T264" s="33">
        <v>25</v>
      </c>
      <c r="U264" s="49"/>
    </row>
    <row r="265" spans="1:21">
      <c r="A265" s="50" t="s">
        <v>585</v>
      </c>
      <c r="B265" s="32"/>
      <c r="C265" s="33">
        <v>77</v>
      </c>
      <c r="D265" s="33">
        <v>51</v>
      </c>
      <c r="E265" s="33">
        <v>86.9</v>
      </c>
      <c r="F265" s="48">
        <v>0.7</v>
      </c>
      <c r="G265" s="48">
        <v>0.2</v>
      </c>
      <c r="H265" s="33">
        <v>0.4</v>
      </c>
      <c r="I265" s="48">
        <v>11.5</v>
      </c>
      <c r="J265" s="33">
        <v>148</v>
      </c>
      <c r="K265" s="33">
        <v>0.08</v>
      </c>
      <c r="L265" s="33">
        <v>0.04</v>
      </c>
      <c r="M265" s="33">
        <v>0.4</v>
      </c>
      <c r="N265" s="33">
        <v>0.92</v>
      </c>
      <c r="O265" s="33">
        <v>1.4</v>
      </c>
      <c r="P265" s="33">
        <v>35</v>
      </c>
      <c r="Q265" s="33">
        <v>0.2</v>
      </c>
      <c r="R265" s="33" t="s">
        <v>576</v>
      </c>
      <c r="S265" s="33">
        <v>28</v>
      </c>
      <c r="T265" s="33">
        <v>25</v>
      </c>
      <c r="U265" s="49"/>
    </row>
    <row r="266" spans="1:21">
      <c r="A266" s="50" t="s">
        <v>586</v>
      </c>
      <c r="B266" s="33" t="s">
        <v>1670</v>
      </c>
      <c r="C266" s="33">
        <v>80</v>
      </c>
      <c r="D266" s="33">
        <v>49</v>
      </c>
      <c r="E266" s="33">
        <v>83.1</v>
      </c>
      <c r="F266" s="48">
        <v>0.8</v>
      </c>
      <c r="G266" s="48">
        <v>0.2</v>
      </c>
      <c r="H266" s="33">
        <v>4</v>
      </c>
      <c r="I266" s="48">
        <v>11.1</v>
      </c>
      <c r="J266" s="33">
        <v>22</v>
      </c>
      <c r="K266" s="33">
        <v>0.01</v>
      </c>
      <c r="L266" s="33">
        <v>0.01</v>
      </c>
      <c r="M266" s="33">
        <v>0.7</v>
      </c>
      <c r="N266" s="32"/>
      <c r="O266" s="32"/>
      <c r="P266" s="33">
        <v>49</v>
      </c>
      <c r="Q266" s="33">
        <v>0.2</v>
      </c>
      <c r="R266" s="33" t="s">
        <v>576</v>
      </c>
      <c r="S266" s="33">
        <v>3</v>
      </c>
      <c r="T266" s="33">
        <v>25</v>
      </c>
      <c r="U266" s="49"/>
    </row>
    <row r="267" spans="1:21">
      <c r="A267" s="50" t="s">
        <v>587</v>
      </c>
      <c r="B267" s="33" t="s">
        <v>1671</v>
      </c>
      <c r="C267" s="33">
        <v>100</v>
      </c>
      <c r="D267" s="33">
        <v>64</v>
      </c>
      <c r="E267" s="33">
        <v>83.1</v>
      </c>
      <c r="F267" s="48">
        <v>0.4</v>
      </c>
      <c r="G267" s="48">
        <v>0.1</v>
      </c>
      <c r="H267" s="33">
        <v>0.6</v>
      </c>
      <c r="I267" s="48">
        <v>15.4</v>
      </c>
      <c r="J267" s="33">
        <v>2</v>
      </c>
      <c r="K267" s="33">
        <v>0.01</v>
      </c>
      <c r="L267" s="33">
        <v>0.02</v>
      </c>
      <c r="M267" s="33">
        <v>0.2</v>
      </c>
      <c r="N267" s="32"/>
      <c r="O267" s="33">
        <v>3</v>
      </c>
      <c r="P267" s="33">
        <v>14</v>
      </c>
      <c r="Q267" s="33">
        <v>0.4</v>
      </c>
      <c r="R267" s="33" t="s">
        <v>576</v>
      </c>
      <c r="S267" s="33">
        <v>2</v>
      </c>
      <c r="T267" s="33">
        <v>25</v>
      </c>
      <c r="U267" s="49"/>
    </row>
    <row r="268" spans="1:21">
      <c r="A268" s="50" t="s">
        <v>588</v>
      </c>
      <c r="B268" s="32"/>
      <c r="C268" s="33">
        <v>50</v>
      </c>
      <c r="D268" s="33">
        <v>70</v>
      </c>
      <c r="E268" s="33">
        <v>81.400000000000006</v>
      </c>
      <c r="F268" s="48">
        <v>1.2</v>
      </c>
      <c r="G268" s="48">
        <v>0.1</v>
      </c>
      <c r="H268" s="33">
        <v>0.4</v>
      </c>
      <c r="I268" s="48">
        <v>16.2</v>
      </c>
      <c r="J268" s="33">
        <v>3</v>
      </c>
      <c r="K268" s="33">
        <v>0.01</v>
      </c>
      <c r="L268" s="33">
        <v>0.14000000000000001</v>
      </c>
      <c r="M268" s="33">
        <v>1.3</v>
      </c>
      <c r="N268" s="32"/>
      <c r="O268" s="33">
        <v>3.9</v>
      </c>
      <c r="P268" s="33">
        <v>6</v>
      </c>
      <c r="Q268" s="33">
        <v>0.2</v>
      </c>
      <c r="R268" s="33" t="s">
        <v>576</v>
      </c>
      <c r="S268" s="33">
        <v>43</v>
      </c>
      <c r="T268" s="33">
        <v>25</v>
      </c>
      <c r="U268" s="49"/>
    </row>
    <row r="269" spans="1:21">
      <c r="A269" s="50" t="s">
        <v>589</v>
      </c>
      <c r="B269" s="33" t="s">
        <v>1672</v>
      </c>
      <c r="C269" s="33">
        <v>37</v>
      </c>
      <c r="D269" s="33">
        <v>273</v>
      </c>
      <c r="E269" s="33">
        <v>26.9</v>
      </c>
      <c r="F269" s="48">
        <v>5</v>
      </c>
      <c r="G269" s="48">
        <v>0.2</v>
      </c>
      <c r="H269" s="33">
        <v>2</v>
      </c>
      <c r="I269" s="48">
        <v>62.8</v>
      </c>
      <c r="J269" s="32"/>
      <c r="K269" s="32"/>
      <c r="L269" s="33">
        <v>0.39</v>
      </c>
      <c r="M269" s="33">
        <v>1.3</v>
      </c>
      <c r="N269" s="32"/>
      <c r="O269" s="33">
        <v>3.3</v>
      </c>
      <c r="P269" s="33">
        <v>38</v>
      </c>
      <c r="Q269" s="33">
        <v>0.7</v>
      </c>
      <c r="R269" s="33" t="s">
        <v>576</v>
      </c>
      <c r="S269" s="33">
        <v>12</v>
      </c>
      <c r="T269" s="33">
        <v>25</v>
      </c>
      <c r="U269" s="49"/>
    </row>
    <row r="270" spans="1:21">
      <c r="A270" s="50" t="s">
        <v>590</v>
      </c>
      <c r="B270" s="33" t="s">
        <v>1628</v>
      </c>
      <c r="C270" s="33">
        <v>100</v>
      </c>
      <c r="D270" s="33">
        <v>313</v>
      </c>
      <c r="E270" s="33">
        <v>17.7</v>
      </c>
      <c r="F270" s="48">
        <v>4.5999999999999996</v>
      </c>
      <c r="G270" s="48">
        <v>1</v>
      </c>
      <c r="H270" s="33">
        <v>2</v>
      </c>
      <c r="I270" s="48">
        <v>71.5</v>
      </c>
      <c r="J270" s="32"/>
      <c r="K270" s="33">
        <v>0.04</v>
      </c>
      <c r="L270" s="33">
        <v>1.03</v>
      </c>
      <c r="M270" s="33">
        <v>8.9</v>
      </c>
      <c r="N270" s="32"/>
      <c r="O270" s="33">
        <v>7.3</v>
      </c>
      <c r="P270" s="33">
        <v>39</v>
      </c>
      <c r="Q270" s="33">
        <v>3.9</v>
      </c>
      <c r="R270" s="33" t="s">
        <v>576</v>
      </c>
      <c r="S270" s="33">
        <v>27</v>
      </c>
      <c r="T270" s="33">
        <v>25</v>
      </c>
      <c r="U270" s="49"/>
    </row>
    <row r="271" spans="1:21">
      <c r="A271" s="50" t="s">
        <v>591</v>
      </c>
      <c r="B271" s="32"/>
      <c r="C271" s="33">
        <v>100</v>
      </c>
      <c r="D271" s="33">
        <v>321</v>
      </c>
      <c r="E271" s="33">
        <v>16.7</v>
      </c>
      <c r="F271" s="48">
        <v>1</v>
      </c>
      <c r="G271" s="48">
        <v>0.8</v>
      </c>
      <c r="H271" s="33">
        <v>2.6</v>
      </c>
      <c r="I271" s="48">
        <v>77.400000000000006</v>
      </c>
      <c r="J271" s="33">
        <v>25</v>
      </c>
      <c r="K271" s="33">
        <v>0.02</v>
      </c>
      <c r="L271" s="33">
        <v>0.03</v>
      </c>
      <c r="M271" s="33">
        <v>0.7</v>
      </c>
      <c r="N271" s="33">
        <v>1.85</v>
      </c>
      <c r="O271" s="33">
        <v>115.5</v>
      </c>
      <c r="P271" s="33">
        <v>52</v>
      </c>
      <c r="Q271" s="33">
        <v>11.6</v>
      </c>
      <c r="R271" s="33" t="s">
        <v>576</v>
      </c>
      <c r="S271" s="33">
        <v>3</v>
      </c>
      <c r="T271" s="33">
        <v>25</v>
      </c>
      <c r="U271" s="49"/>
    </row>
    <row r="272" spans="1:21">
      <c r="A272" s="50" t="s">
        <v>592</v>
      </c>
      <c r="B272" s="32"/>
      <c r="C272" s="33">
        <v>86</v>
      </c>
      <c r="D272" s="33">
        <v>73</v>
      </c>
      <c r="E272" s="33">
        <v>79.900000000000006</v>
      </c>
      <c r="F272" s="48">
        <v>0.3</v>
      </c>
      <c r="G272" s="48">
        <v>0.2</v>
      </c>
      <c r="H272" s="33">
        <v>1.8</v>
      </c>
      <c r="I272" s="48">
        <v>17.399999999999999</v>
      </c>
      <c r="J272" s="33">
        <v>118</v>
      </c>
      <c r="K272" s="33">
        <v>0.05</v>
      </c>
      <c r="L272" s="33">
        <v>0.03</v>
      </c>
      <c r="M272" s="33">
        <v>0.2</v>
      </c>
      <c r="N272" s="33">
        <v>0.25</v>
      </c>
      <c r="O272" s="33">
        <v>0.6</v>
      </c>
      <c r="P272" s="33">
        <v>15</v>
      </c>
      <c r="Q272" s="33">
        <v>0.4</v>
      </c>
      <c r="R272" s="33" t="s">
        <v>576</v>
      </c>
      <c r="S272" s="33">
        <v>20</v>
      </c>
      <c r="T272" s="33">
        <v>25</v>
      </c>
      <c r="U272" s="49"/>
    </row>
    <row r="273" spans="1:21">
      <c r="A273" s="50" t="s">
        <v>593</v>
      </c>
      <c r="B273" s="32"/>
      <c r="C273" s="33">
        <v>100</v>
      </c>
      <c r="D273" s="33">
        <v>286</v>
      </c>
      <c r="E273" s="33">
        <v>25.8</v>
      </c>
      <c r="F273" s="48">
        <v>0.6</v>
      </c>
      <c r="G273" s="48">
        <v>0.2</v>
      </c>
      <c r="H273" s="33">
        <v>2.2000000000000002</v>
      </c>
      <c r="I273" s="48">
        <v>70.400000000000006</v>
      </c>
      <c r="J273" s="33">
        <v>10</v>
      </c>
      <c r="K273" s="33">
        <v>0.02</v>
      </c>
      <c r="L273" s="33">
        <v>0.05</v>
      </c>
      <c r="M273" s="33">
        <v>0.3</v>
      </c>
      <c r="N273" s="33">
        <v>1.1100000000000001</v>
      </c>
      <c r="O273" s="33">
        <v>200.5</v>
      </c>
      <c r="P273" s="33">
        <v>19</v>
      </c>
      <c r="Q273" s="33">
        <v>3.1</v>
      </c>
      <c r="R273" s="33" t="s">
        <v>576</v>
      </c>
      <c r="S273" s="32"/>
      <c r="T273" s="33">
        <v>25</v>
      </c>
      <c r="U273" s="49"/>
    </row>
    <row r="274" spans="1:21">
      <c r="A274" s="50" t="s">
        <v>594</v>
      </c>
      <c r="B274" s="33" t="s">
        <v>1673</v>
      </c>
      <c r="C274" s="33">
        <v>100</v>
      </c>
      <c r="D274" s="33">
        <v>53</v>
      </c>
      <c r="E274" s="33">
        <v>85.4</v>
      </c>
      <c r="F274" s="48">
        <v>0.5</v>
      </c>
      <c r="G274" s="48">
        <v>0.2</v>
      </c>
      <c r="H274" s="33">
        <v>1.3</v>
      </c>
      <c r="I274" s="48">
        <v>12.3</v>
      </c>
      <c r="J274" s="32"/>
      <c r="K274" s="32"/>
      <c r="L274" s="32"/>
      <c r="M274" s="32"/>
      <c r="N274" s="32"/>
      <c r="O274" s="33">
        <v>8.8000000000000007</v>
      </c>
      <c r="P274" s="33">
        <v>43</v>
      </c>
      <c r="Q274" s="33">
        <v>2.2999999999999998</v>
      </c>
      <c r="R274" s="33" t="s">
        <v>576</v>
      </c>
      <c r="S274" s="32"/>
      <c r="T274" s="33">
        <v>25</v>
      </c>
      <c r="U274" s="49"/>
    </row>
    <row r="275" spans="1:21">
      <c r="A275" s="50" t="s">
        <v>595</v>
      </c>
      <c r="B275" s="33" t="s">
        <v>1618</v>
      </c>
      <c r="C275" s="33">
        <v>98</v>
      </c>
      <c r="D275" s="33">
        <v>228</v>
      </c>
      <c r="E275" s="33">
        <v>39</v>
      </c>
      <c r="F275" s="48">
        <v>1.7</v>
      </c>
      <c r="G275" s="48">
        <v>0.3</v>
      </c>
      <c r="H275" s="33">
        <v>2.6</v>
      </c>
      <c r="I275" s="48">
        <v>54.7</v>
      </c>
      <c r="J275" s="33">
        <v>7</v>
      </c>
      <c r="K275" s="32"/>
      <c r="L275" s="32"/>
      <c r="M275" s="33">
        <v>2.1</v>
      </c>
      <c r="N275" s="33">
        <v>1.88</v>
      </c>
      <c r="O275" s="33">
        <v>6.3</v>
      </c>
      <c r="P275" s="33">
        <v>108</v>
      </c>
      <c r="Q275" s="33">
        <v>1.2</v>
      </c>
      <c r="R275" s="33" t="s">
        <v>576</v>
      </c>
      <c r="S275" s="32"/>
      <c r="T275" s="33">
        <v>25</v>
      </c>
      <c r="U275" s="49"/>
    </row>
    <row r="276" spans="1:21">
      <c r="A276" s="50" t="s">
        <v>596</v>
      </c>
      <c r="B276" s="32"/>
      <c r="C276" s="33">
        <v>76</v>
      </c>
      <c r="D276" s="33">
        <v>95</v>
      </c>
      <c r="E276" s="33">
        <v>73</v>
      </c>
      <c r="F276" s="48">
        <v>0.5</v>
      </c>
      <c r="G276" s="48">
        <v>0.6</v>
      </c>
      <c r="H276" s="33">
        <v>3.1</v>
      </c>
      <c r="I276" s="48">
        <v>22</v>
      </c>
      <c r="J276" s="33">
        <v>17</v>
      </c>
      <c r="K276" s="33">
        <v>0.02</v>
      </c>
      <c r="L276" s="33">
        <v>0.02</v>
      </c>
      <c r="M276" s="33">
        <v>0.4</v>
      </c>
      <c r="N276" s="33">
        <v>7.32</v>
      </c>
      <c r="O276" s="33">
        <v>5.4</v>
      </c>
      <c r="P276" s="33">
        <v>52</v>
      </c>
      <c r="Q276" s="33">
        <v>0.9</v>
      </c>
      <c r="R276" s="33" t="s">
        <v>576</v>
      </c>
      <c r="S276" s="33">
        <v>53</v>
      </c>
      <c r="T276" s="33">
        <v>25</v>
      </c>
      <c r="U276" s="49"/>
    </row>
    <row r="277" spans="1:21">
      <c r="A277" s="50" t="s">
        <v>597</v>
      </c>
      <c r="B277" s="32"/>
      <c r="C277" s="33">
        <v>100</v>
      </c>
      <c r="D277" s="33">
        <v>152</v>
      </c>
      <c r="E277" s="33">
        <v>11.1</v>
      </c>
      <c r="F277" s="48">
        <v>4.3</v>
      </c>
      <c r="G277" s="48">
        <v>2.2000000000000002</v>
      </c>
      <c r="H277" s="33">
        <v>49.7</v>
      </c>
      <c r="I277" s="48">
        <v>28.7</v>
      </c>
      <c r="J277" s="33">
        <v>10</v>
      </c>
      <c r="K277" s="33">
        <v>0.02</v>
      </c>
      <c r="L277" s="33">
        <v>0.18</v>
      </c>
      <c r="M277" s="33">
        <v>0.7</v>
      </c>
      <c r="N277" s="33">
        <v>0.47</v>
      </c>
      <c r="O277" s="33">
        <v>9.9</v>
      </c>
      <c r="P277" s="33">
        <v>144</v>
      </c>
      <c r="Q277" s="33">
        <v>0.4</v>
      </c>
      <c r="R277" s="33" t="s">
        <v>576</v>
      </c>
      <c r="S277" s="33">
        <v>2</v>
      </c>
      <c r="T277" s="33">
        <v>25</v>
      </c>
      <c r="U277" s="49"/>
    </row>
    <row r="278" spans="1:21">
      <c r="A278" s="50" t="s">
        <v>598</v>
      </c>
      <c r="B278" s="33" t="s">
        <v>1628</v>
      </c>
      <c r="C278" s="33">
        <v>59</v>
      </c>
      <c r="D278" s="33">
        <v>31</v>
      </c>
      <c r="E278" s="33">
        <v>87.6</v>
      </c>
      <c r="F278" s="48">
        <v>1.6</v>
      </c>
      <c r="G278" s="48">
        <v>0.2</v>
      </c>
      <c r="H278" s="33">
        <v>4.3</v>
      </c>
      <c r="I278" s="48">
        <v>5.6</v>
      </c>
      <c r="J278" s="32"/>
      <c r="K278" s="33">
        <v>0.13</v>
      </c>
      <c r="L278" s="33">
        <v>0.06</v>
      </c>
      <c r="M278" s="32"/>
      <c r="N278" s="32"/>
      <c r="O278" s="33">
        <v>6.5</v>
      </c>
      <c r="P278" s="32"/>
      <c r="Q278" s="33">
        <v>0.4</v>
      </c>
      <c r="R278" s="33" t="s">
        <v>576</v>
      </c>
      <c r="S278" s="33">
        <v>35</v>
      </c>
      <c r="T278" s="33">
        <v>25</v>
      </c>
      <c r="U278" s="49"/>
    </row>
    <row r="279" spans="1:21">
      <c r="A279" s="50" t="s">
        <v>599</v>
      </c>
      <c r="B279" s="33" t="s">
        <v>1618</v>
      </c>
      <c r="C279" s="33">
        <v>100</v>
      </c>
      <c r="D279" s="33">
        <v>176</v>
      </c>
      <c r="E279" s="33">
        <v>55</v>
      </c>
      <c r="F279" s="48">
        <v>0.2</v>
      </c>
      <c r="G279" s="51"/>
      <c r="H279" s="33">
        <v>0.6</v>
      </c>
      <c r="I279" s="48">
        <v>43.7</v>
      </c>
      <c r="J279" s="33">
        <v>3</v>
      </c>
      <c r="K279" s="33">
        <v>0.18</v>
      </c>
      <c r="L279" s="33">
        <v>7.0000000000000007E-2</v>
      </c>
      <c r="M279" s="33">
        <v>0.1</v>
      </c>
      <c r="N279" s="33">
        <v>0.42</v>
      </c>
      <c r="O279" s="33">
        <v>34.299999999999997</v>
      </c>
      <c r="P279" s="33">
        <v>49</v>
      </c>
      <c r="Q279" s="33">
        <v>1.8</v>
      </c>
      <c r="R279" s="33" t="s">
        <v>576</v>
      </c>
      <c r="S279" s="33">
        <v>4</v>
      </c>
      <c r="T279" s="33">
        <v>25</v>
      </c>
      <c r="U279" s="49"/>
    </row>
    <row r="280" spans="1:21">
      <c r="A280" s="50" t="s">
        <v>600</v>
      </c>
      <c r="B280" s="32"/>
      <c r="C280" s="33">
        <v>100</v>
      </c>
      <c r="D280" s="33">
        <v>300</v>
      </c>
      <c r="E280" s="33">
        <v>22.6</v>
      </c>
      <c r="F280" s="48">
        <v>0.6</v>
      </c>
      <c r="G280" s="48">
        <v>0.6</v>
      </c>
      <c r="H280" s="33">
        <v>1.6</v>
      </c>
      <c r="I280" s="48">
        <v>73</v>
      </c>
      <c r="J280" s="33">
        <v>10</v>
      </c>
      <c r="K280" s="33">
        <v>0.02</v>
      </c>
      <c r="L280" s="33">
        <v>0.08</v>
      </c>
      <c r="M280" s="33">
        <v>0.3</v>
      </c>
      <c r="N280" s="33">
        <v>4.54</v>
      </c>
      <c r="O280" s="33">
        <v>192.1</v>
      </c>
      <c r="P280" s="33">
        <v>42</v>
      </c>
      <c r="Q280" s="33">
        <v>6.3</v>
      </c>
      <c r="R280" s="33" t="s">
        <v>576</v>
      </c>
      <c r="S280" s="33">
        <v>10</v>
      </c>
      <c r="T280" s="33">
        <v>25</v>
      </c>
      <c r="U280" s="49"/>
    </row>
    <row r="281" spans="1:21">
      <c r="A281" s="50" t="s">
        <v>601</v>
      </c>
      <c r="B281" s="32"/>
      <c r="C281" s="33">
        <v>89</v>
      </c>
      <c r="D281" s="33">
        <v>55</v>
      </c>
      <c r="E281" s="33">
        <v>84.7</v>
      </c>
      <c r="F281" s="48">
        <v>1</v>
      </c>
      <c r="G281" s="48">
        <v>0.2</v>
      </c>
      <c r="H281" s="33">
        <v>1.4</v>
      </c>
      <c r="I281" s="48">
        <v>12.3</v>
      </c>
      <c r="J281" s="33">
        <v>62</v>
      </c>
      <c r="K281" s="33">
        <v>0.04</v>
      </c>
      <c r="L281" s="33">
        <v>0.03</v>
      </c>
      <c r="M281" s="33">
        <v>0.3</v>
      </c>
      <c r="N281" s="33">
        <v>1.58</v>
      </c>
      <c r="O281" s="33">
        <v>3</v>
      </c>
      <c r="P281" s="33">
        <v>56</v>
      </c>
      <c r="Q281" s="33">
        <v>1</v>
      </c>
      <c r="R281" s="33" t="s">
        <v>576</v>
      </c>
      <c r="S281" s="33">
        <v>35</v>
      </c>
      <c r="T281" s="33">
        <v>25</v>
      </c>
      <c r="U281" s="49"/>
    </row>
    <row r="282" spans="1:21">
      <c r="A282" s="50" t="s">
        <v>602</v>
      </c>
      <c r="B282" s="32"/>
      <c r="C282" s="33">
        <v>78</v>
      </c>
      <c r="D282" s="33">
        <v>43</v>
      </c>
      <c r="E282" s="33">
        <v>88.6</v>
      </c>
      <c r="F282" s="48">
        <v>0.8</v>
      </c>
      <c r="G282" s="48">
        <v>0.1</v>
      </c>
      <c r="H282" s="33">
        <v>0.5</v>
      </c>
      <c r="I282" s="48">
        <v>9.6999999999999993</v>
      </c>
      <c r="J282" s="33">
        <v>82</v>
      </c>
      <c r="K282" s="33">
        <v>0.04</v>
      </c>
      <c r="L282" s="33">
        <v>0.03</v>
      </c>
      <c r="M282" s="33">
        <v>0.2</v>
      </c>
      <c r="N282" s="33">
        <v>1.22</v>
      </c>
      <c r="O282" s="33">
        <v>0.8</v>
      </c>
      <c r="P282" s="33">
        <v>24</v>
      </c>
      <c r="Q282" s="33">
        <v>0.2</v>
      </c>
      <c r="R282" s="33" t="s">
        <v>576</v>
      </c>
      <c r="S282" s="33">
        <v>35</v>
      </c>
      <c r="T282" s="33">
        <v>25</v>
      </c>
      <c r="U282" s="49"/>
    </row>
    <row r="283" spans="1:21">
      <c r="A283" s="50" t="s">
        <v>603</v>
      </c>
      <c r="B283" s="33" t="s">
        <v>1635</v>
      </c>
      <c r="C283" s="33">
        <v>67</v>
      </c>
      <c r="D283" s="33">
        <v>45</v>
      </c>
      <c r="E283" s="33">
        <v>88.1</v>
      </c>
      <c r="F283" s="48">
        <v>1</v>
      </c>
      <c r="G283" s="48">
        <v>0.2</v>
      </c>
      <c r="H283" s="33">
        <v>0.4</v>
      </c>
      <c r="I283" s="48">
        <v>9.9</v>
      </c>
      <c r="J283" s="33">
        <v>100</v>
      </c>
      <c r="K283" s="33">
        <v>0.05</v>
      </c>
      <c r="L283" s="33">
        <v>0.02</v>
      </c>
      <c r="M283" s="33">
        <v>0.3</v>
      </c>
      <c r="N283" s="32"/>
      <c r="O283" s="33">
        <v>0.5</v>
      </c>
      <c r="P283" s="33">
        <v>27</v>
      </c>
      <c r="Q283" s="33">
        <v>0.8</v>
      </c>
      <c r="R283" s="33" t="s">
        <v>576</v>
      </c>
      <c r="S283" s="33">
        <v>11</v>
      </c>
      <c r="T283" s="33">
        <v>25</v>
      </c>
      <c r="U283" s="49"/>
    </row>
    <row r="284" spans="1:21">
      <c r="A284" s="50" t="s">
        <v>604</v>
      </c>
      <c r="B284" s="33" t="s">
        <v>1674</v>
      </c>
      <c r="C284" s="33">
        <v>77</v>
      </c>
      <c r="D284" s="33">
        <v>43</v>
      </c>
      <c r="E284" s="33">
        <v>88.5</v>
      </c>
      <c r="F284" s="48">
        <v>0.6</v>
      </c>
      <c r="G284" s="48">
        <v>0.2</v>
      </c>
      <c r="H284" s="33">
        <v>0.6</v>
      </c>
      <c r="I284" s="48">
        <v>9.6999999999999993</v>
      </c>
      <c r="J284" s="33">
        <v>87</v>
      </c>
      <c r="K284" s="33">
        <v>0.02</v>
      </c>
      <c r="L284" s="33">
        <v>0.03</v>
      </c>
      <c r="M284" s="33">
        <v>0.2</v>
      </c>
      <c r="N284" s="32"/>
      <c r="O284" s="33">
        <v>1.3</v>
      </c>
      <c r="P284" s="33">
        <v>45</v>
      </c>
      <c r="Q284" s="33">
        <v>1.4</v>
      </c>
      <c r="R284" s="33" t="s">
        <v>576</v>
      </c>
      <c r="S284" s="33">
        <v>19</v>
      </c>
      <c r="T284" s="33">
        <v>25</v>
      </c>
      <c r="U284" s="49"/>
    </row>
    <row r="285" spans="1:21">
      <c r="A285" s="50" t="s">
        <v>605</v>
      </c>
      <c r="B285" s="33" t="s">
        <v>1675</v>
      </c>
      <c r="C285" s="33">
        <v>68</v>
      </c>
      <c r="D285" s="33">
        <v>41</v>
      </c>
      <c r="E285" s="33">
        <v>88.5</v>
      </c>
      <c r="F285" s="48">
        <v>0.8</v>
      </c>
      <c r="G285" s="48">
        <v>0.3</v>
      </c>
      <c r="H285" s="33">
        <v>1.3</v>
      </c>
      <c r="I285" s="48">
        <v>8.6999999999999993</v>
      </c>
      <c r="J285" s="32"/>
      <c r="K285" s="33">
        <v>0.03</v>
      </c>
      <c r="L285" s="33">
        <v>0.02</v>
      </c>
      <c r="M285" s="33">
        <v>0.3</v>
      </c>
      <c r="N285" s="33">
        <v>0.3</v>
      </c>
      <c r="O285" s="33">
        <v>1.4</v>
      </c>
      <c r="P285" s="33">
        <v>33</v>
      </c>
      <c r="Q285" s="33">
        <v>0.2</v>
      </c>
      <c r="R285" s="33" t="s">
        <v>576</v>
      </c>
      <c r="S285" s="33">
        <v>3</v>
      </c>
      <c r="T285" s="33">
        <v>25</v>
      </c>
      <c r="U285" s="49"/>
    </row>
    <row r="286" spans="1:21">
      <c r="A286" s="50" t="s">
        <v>606</v>
      </c>
      <c r="B286" s="33" t="s">
        <v>1618</v>
      </c>
      <c r="C286" s="33">
        <v>78</v>
      </c>
      <c r="D286" s="33">
        <v>40</v>
      </c>
      <c r="E286" s="33">
        <v>89.1</v>
      </c>
      <c r="F286" s="48">
        <v>0.7</v>
      </c>
      <c r="G286" s="48">
        <v>0.1</v>
      </c>
      <c r="H286" s="33">
        <v>0.7</v>
      </c>
      <c r="I286" s="48">
        <v>9.1</v>
      </c>
      <c r="J286" s="33">
        <v>30</v>
      </c>
      <c r="K286" s="33">
        <v>0.24</v>
      </c>
      <c r="L286" s="33">
        <v>0.04</v>
      </c>
      <c r="M286" s="33">
        <v>0.3</v>
      </c>
      <c r="N286" s="33">
        <v>0.27</v>
      </c>
      <c r="O286" s="33">
        <v>1.7</v>
      </c>
      <c r="P286" s="33">
        <v>42</v>
      </c>
      <c r="Q286" s="33">
        <v>0.5</v>
      </c>
      <c r="R286" s="33" t="s">
        <v>576</v>
      </c>
      <c r="S286" s="33">
        <v>33</v>
      </c>
      <c r="T286" s="33">
        <v>25</v>
      </c>
      <c r="U286" s="49"/>
    </row>
    <row r="287" spans="1:21">
      <c r="A287" s="50" t="s">
        <v>607</v>
      </c>
      <c r="B287" s="33" t="s">
        <v>1618</v>
      </c>
      <c r="C287" s="33">
        <v>81</v>
      </c>
      <c r="D287" s="33">
        <v>38</v>
      </c>
      <c r="E287" s="33">
        <v>89.5</v>
      </c>
      <c r="F287" s="48">
        <v>1.1000000000000001</v>
      </c>
      <c r="G287" s="48">
        <v>0.2</v>
      </c>
      <c r="H287" s="33">
        <v>0.9</v>
      </c>
      <c r="I287" s="48">
        <v>7.9</v>
      </c>
      <c r="J287" s="32"/>
      <c r="K287" s="33">
        <v>0.25</v>
      </c>
      <c r="L287" s="33">
        <v>0.03</v>
      </c>
      <c r="M287" s="33">
        <v>0.7</v>
      </c>
      <c r="N287" s="33">
        <v>0.74</v>
      </c>
      <c r="O287" s="33">
        <v>2.1</v>
      </c>
      <c r="P287" s="33">
        <v>72</v>
      </c>
      <c r="Q287" s="33">
        <v>0.2</v>
      </c>
      <c r="R287" s="33" t="s">
        <v>576</v>
      </c>
      <c r="S287" s="32"/>
      <c r="T287" s="33">
        <v>25</v>
      </c>
      <c r="U287" s="49"/>
    </row>
    <row r="288" spans="1:21">
      <c r="A288" s="50" t="s">
        <v>608</v>
      </c>
      <c r="B288" s="33" t="s">
        <v>1676</v>
      </c>
      <c r="C288" s="33">
        <v>82</v>
      </c>
      <c r="D288" s="33">
        <v>57</v>
      </c>
      <c r="E288" s="33">
        <v>85.6</v>
      </c>
      <c r="F288" s="48">
        <v>1.2</v>
      </c>
      <c r="G288" s="48">
        <v>0.2</v>
      </c>
      <c r="H288" s="33">
        <v>0.1</v>
      </c>
      <c r="I288" s="48">
        <v>12.5</v>
      </c>
      <c r="J288" s="33">
        <v>857</v>
      </c>
      <c r="K288" s="33">
        <v>0.09</v>
      </c>
      <c r="L288" s="33">
        <v>0.03</v>
      </c>
      <c r="M288" s="33">
        <v>0.3</v>
      </c>
      <c r="N288" s="33">
        <v>1.45</v>
      </c>
      <c r="O288" s="33">
        <v>0.9</v>
      </c>
      <c r="P288" s="33">
        <v>21</v>
      </c>
      <c r="Q288" s="33">
        <v>0.9</v>
      </c>
      <c r="R288" s="33" t="s">
        <v>576</v>
      </c>
      <c r="S288" s="33">
        <v>25</v>
      </c>
      <c r="T288" s="33">
        <v>25</v>
      </c>
      <c r="U288" s="49"/>
    </row>
    <row r="289" spans="1:21">
      <c r="A289" s="50" t="s">
        <v>609</v>
      </c>
      <c r="B289" s="32"/>
      <c r="C289" s="33">
        <v>76</v>
      </c>
      <c r="D289" s="33">
        <v>42</v>
      </c>
      <c r="E289" s="33">
        <v>88.2</v>
      </c>
      <c r="F289" s="48">
        <v>0.8</v>
      </c>
      <c r="G289" s="48">
        <v>0.4</v>
      </c>
      <c r="H289" s="33">
        <v>1.4</v>
      </c>
      <c r="I289" s="48">
        <v>8.9</v>
      </c>
      <c r="J289" s="33">
        <v>277</v>
      </c>
      <c r="K289" s="33">
        <v>0.05</v>
      </c>
      <c r="L289" s="33">
        <v>0.04</v>
      </c>
      <c r="M289" s="33">
        <v>0.2</v>
      </c>
      <c r="N289" s="33">
        <v>0.45</v>
      </c>
      <c r="O289" s="33">
        <v>1.3</v>
      </c>
      <c r="P289" s="33">
        <v>19</v>
      </c>
      <c r="Q289" s="33">
        <v>0.2</v>
      </c>
      <c r="R289" s="33" t="s">
        <v>576</v>
      </c>
      <c r="S289" s="33">
        <v>19</v>
      </c>
      <c r="T289" s="33">
        <v>25</v>
      </c>
      <c r="U289" s="49"/>
    </row>
    <row r="290" spans="1:21">
      <c r="A290" s="50" t="s">
        <v>610</v>
      </c>
      <c r="B290" s="33" t="s">
        <v>1655</v>
      </c>
      <c r="C290" s="33">
        <v>100</v>
      </c>
      <c r="D290" s="33">
        <v>364</v>
      </c>
      <c r="E290" s="33">
        <v>5.4</v>
      </c>
      <c r="F290" s="48">
        <v>0.6</v>
      </c>
      <c r="G290" s="48">
        <v>0.4</v>
      </c>
      <c r="H290" s="33">
        <v>3.5</v>
      </c>
      <c r="I290" s="48">
        <v>89.4</v>
      </c>
      <c r="J290" s="33">
        <v>43</v>
      </c>
      <c r="K290" s="33">
        <v>0.03</v>
      </c>
      <c r="L290" s="33">
        <v>0.19</v>
      </c>
      <c r="M290" s="33">
        <v>0.6</v>
      </c>
      <c r="N290" s="32"/>
      <c r="O290" s="33">
        <v>485.9</v>
      </c>
      <c r="P290" s="33">
        <v>125</v>
      </c>
      <c r="Q290" s="33">
        <v>0.8</v>
      </c>
      <c r="R290" s="33" t="s">
        <v>576</v>
      </c>
      <c r="S290" s="32"/>
      <c r="T290" s="33">
        <v>25</v>
      </c>
      <c r="U290" s="49"/>
    </row>
    <row r="291" spans="1:21">
      <c r="A291" s="50" t="s">
        <v>611</v>
      </c>
      <c r="B291" s="32"/>
      <c r="C291" s="33">
        <v>91</v>
      </c>
      <c r="D291" s="33">
        <v>36</v>
      </c>
      <c r="E291" s="33">
        <v>90</v>
      </c>
      <c r="F291" s="48">
        <v>0.7</v>
      </c>
      <c r="G291" s="48">
        <v>0.2</v>
      </c>
      <c r="H291" s="33">
        <v>0.9</v>
      </c>
      <c r="I291" s="48">
        <v>7.8</v>
      </c>
      <c r="J291" s="33">
        <v>25</v>
      </c>
      <c r="K291" s="33">
        <v>0.03</v>
      </c>
      <c r="L291" s="33">
        <v>0.02</v>
      </c>
      <c r="M291" s="33">
        <v>0.4</v>
      </c>
      <c r="N291" s="33">
        <v>0.74</v>
      </c>
      <c r="O291" s="33">
        <v>3.8</v>
      </c>
      <c r="P291" s="33">
        <v>8</v>
      </c>
      <c r="Q291" s="33">
        <v>0.6</v>
      </c>
      <c r="R291" s="33" t="s">
        <v>576</v>
      </c>
      <c r="S291" s="33">
        <v>5</v>
      </c>
      <c r="T291" s="33">
        <v>25</v>
      </c>
      <c r="U291" s="49"/>
    </row>
    <row r="292" spans="1:21">
      <c r="A292" s="50" t="s">
        <v>612</v>
      </c>
      <c r="B292" s="33" t="s">
        <v>1655</v>
      </c>
      <c r="C292" s="33">
        <v>75</v>
      </c>
      <c r="D292" s="33">
        <v>32</v>
      </c>
      <c r="E292" s="33">
        <v>90</v>
      </c>
      <c r="F292" s="48">
        <v>0.4</v>
      </c>
      <c r="G292" s="48">
        <v>0.1</v>
      </c>
      <c r="H292" s="33">
        <v>2</v>
      </c>
      <c r="I292" s="48">
        <v>7.3</v>
      </c>
      <c r="J292" s="32"/>
      <c r="K292" s="33">
        <v>0.01</v>
      </c>
      <c r="L292" s="33">
        <v>0.04</v>
      </c>
      <c r="M292" s="33">
        <v>0.1</v>
      </c>
      <c r="N292" s="32"/>
      <c r="O292" s="33">
        <v>3.9</v>
      </c>
      <c r="P292" s="33">
        <v>11</v>
      </c>
      <c r="Q292" s="32"/>
      <c r="R292" s="33" t="s">
        <v>576</v>
      </c>
      <c r="S292" s="33">
        <v>1</v>
      </c>
      <c r="T292" s="33">
        <v>25</v>
      </c>
      <c r="U292" s="49"/>
    </row>
    <row r="293" spans="1:21">
      <c r="A293" s="50" t="s">
        <v>613</v>
      </c>
      <c r="B293" s="32"/>
      <c r="C293" s="33">
        <v>79</v>
      </c>
      <c r="D293" s="33">
        <v>46</v>
      </c>
      <c r="E293" s="33">
        <v>86.1</v>
      </c>
      <c r="F293" s="48">
        <v>0.4</v>
      </c>
      <c r="G293" s="48">
        <v>0.2</v>
      </c>
      <c r="H293" s="33">
        <v>2.2000000000000002</v>
      </c>
      <c r="I293" s="48">
        <v>10.7</v>
      </c>
      <c r="J293" s="33">
        <v>2</v>
      </c>
      <c r="K293" s="33">
        <v>0.03</v>
      </c>
      <c r="L293" s="33">
        <v>0.05</v>
      </c>
      <c r="M293" s="33">
        <v>0.2</v>
      </c>
      <c r="N293" s="33">
        <v>0.52</v>
      </c>
      <c r="O293" s="33">
        <v>1</v>
      </c>
      <c r="P293" s="33">
        <v>6</v>
      </c>
      <c r="Q293" s="33">
        <v>0.2</v>
      </c>
      <c r="R293" s="33" t="s">
        <v>576</v>
      </c>
      <c r="S293" s="33">
        <v>11</v>
      </c>
      <c r="T293" s="33">
        <v>25</v>
      </c>
      <c r="U293" s="49"/>
    </row>
    <row r="294" spans="1:21">
      <c r="A294" s="50" t="s">
        <v>614</v>
      </c>
      <c r="B294" s="32"/>
      <c r="C294" s="33">
        <v>87</v>
      </c>
      <c r="D294" s="33">
        <v>37</v>
      </c>
      <c r="E294" s="33">
        <v>86.2</v>
      </c>
      <c r="F294" s="48">
        <v>0.4</v>
      </c>
      <c r="G294" s="48">
        <v>0.2</v>
      </c>
      <c r="H294" s="33">
        <v>4.3</v>
      </c>
      <c r="I294" s="48">
        <v>8.5</v>
      </c>
      <c r="J294" s="33">
        <v>3</v>
      </c>
      <c r="K294" s="32"/>
      <c r="L294" s="33">
        <v>0.03</v>
      </c>
      <c r="M294" s="33">
        <v>0.2</v>
      </c>
      <c r="N294" s="32"/>
      <c r="O294" s="32"/>
      <c r="P294" s="32"/>
      <c r="Q294" s="32"/>
      <c r="R294" s="33" t="s">
        <v>576</v>
      </c>
      <c r="S294" s="33">
        <v>6</v>
      </c>
      <c r="T294" s="33">
        <v>25</v>
      </c>
      <c r="U294" s="49"/>
    </row>
    <row r="295" spans="1:21">
      <c r="A295" s="50" t="s">
        <v>615</v>
      </c>
      <c r="B295" s="33" t="s">
        <v>1677</v>
      </c>
      <c r="C295" s="33">
        <v>68</v>
      </c>
      <c r="D295" s="33">
        <v>37</v>
      </c>
      <c r="E295" s="33">
        <v>88.6</v>
      </c>
      <c r="F295" s="48">
        <v>0.3</v>
      </c>
      <c r="G295" s="48">
        <v>0.1</v>
      </c>
      <c r="H295" s="33">
        <v>1.9</v>
      </c>
      <c r="I295" s="48">
        <v>8.8000000000000007</v>
      </c>
      <c r="J295" s="32"/>
      <c r="K295" s="33">
        <v>0.03</v>
      </c>
      <c r="L295" s="33">
        <v>0.02</v>
      </c>
      <c r="M295" s="32"/>
      <c r="N295" s="33">
        <v>1.77</v>
      </c>
      <c r="O295" s="33">
        <v>1.7</v>
      </c>
      <c r="P295" s="33">
        <v>1</v>
      </c>
      <c r="Q295" s="32"/>
      <c r="R295" s="33" t="s">
        <v>576</v>
      </c>
      <c r="S295" s="33">
        <v>8</v>
      </c>
      <c r="T295" s="33">
        <v>25</v>
      </c>
      <c r="U295" s="49"/>
    </row>
    <row r="296" spans="1:21">
      <c r="A296" s="50" t="s">
        <v>616</v>
      </c>
      <c r="B296" s="33" t="s">
        <v>1678</v>
      </c>
      <c r="C296" s="33">
        <v>92</v>
      </c>
      <c r="D296" s="33">
        <v>43</v>
      </c>
      <c r="E296" s="33">
        <v>85.8</v>
      </c>
      <c r="F296" s="48">
        <v>0.2</v>
      </c>
      <c r="G296" s="48">
        <v>0.2</v>
      </c>
      <c r="H296" s="33">
        <v>3.6</v>
      </c>
      <c r="I296" s="48">
        <v>10</v>
      </c>
      <c r="J296" s="33">
        <v>7</v>
      </c>
      <c r="K296" s="32"/>
      <c r="L296" s="32"/>
      <c r="M296" s="32"/>
      <c r="N296" s="32"/>
      <c r="O296" s="33">
        <v>0.2</v>
      </c>
      <c r="P296" s="33">
        <v>12</v>
      </c>
      <c r="Q296" s="33">
        <v>0.2</v>
      </c>
      <c r="R296" s="33" t="s">
        <v>576</v>
      </c>
      <c r="S296" s="33">
        <v>12</v>
      </c>
      <c r="T296" s="33">
        <v>25</v>
      </c>
      <c r="U296" s="49"/>
    </row>
    <row r="297" spans="1:21">
      <c r="A297" s="50" t="s">
        <v>617</v>
      </c>
      <c r="B297" s="33" t="s">
        <v>1618</v>
      </c>
      <c r="C297" s="33">
        <v>87</v>
      </c>
      <c r="D297" s="33">
        <v>30</v>
      </c>
      <c r="E297" s="33">
        <v>89.1</v>
      </c>
      <c r="F297" s="48">
        <v>0.2</v>
      </c>
      <c r="G297" s="51"/>
      <c r="H297" s="33">
        <v>3.2</v>
      </c>
      <c r="I297" s="48">
        <v>7.3</v>
      </c>
      <c r="J297" s="33">
        <v>2</v>
      </c>
      <c r="K297" s="33">
        <v>7.0000000000000007E-2</v>
      </c>
      <c r="L297" s="33">
        <v>0.46</v>
      </c>
      <c r="M297" s="33">
        <v>0.6</v>
      </c>
      <c r="N297" s="33">
        <v>0.46</v>
      </c>
      <c r="O297" s="33">
        <v>3.4</v>
      </c>
      <c r="P297" s="33">
        <v>11</v>
      </c>
      <c r="Q297" s="33">
        <v>0.4</v>
      </c>
      <c r="R297" s="33" t="s">
        <v>576</v>
      </c>
      <c r="S297" s="33">
        <v>4</v>
      </c>
      <c r="T297" s="33">
        <v>25</v>
      </c>
      <c r="U297" s="49"/>
    </row>
    <row r="298" spans="1:21">
      <c r="A298" s="50" t="s">
        <v>618</v>
      </c>
      <c r="B298" s="32"/>
      <c r="C298" s="33">
        <v>92</v>
      </c>
      <c r="D298" s="33">
        <v>44</v>
      </c>
      <c r="E298" s="33">
        <v>85.5</v>
      </c>
      <c r="F298" s="48">
        <v>0.2</v>
      </c>
      <c r="G298" s="48">
        <v>0.1</v>
      </c>
      <c r="H298" s="33">
        <v>3.2</v>
      </c>
      <c r="I298" s="48">
        <v>10.7</v>
      </c>
      <c r="J298" s="33">
        <v>3</v>
      </c>
      <c r="K298" s="32"/>
      <c r="L298" s="32"/>
      <c r="M298" s="32"/>
      <c r="N298" s="32"/>
      <c r="O298" s="32"/>
      <c r="P298" s="32"/>
      <c r="Q298" s="32"/>
      <c r="R298" s="33" t="s">
        <v>576</v>
      </c>
      <c r="S298" s="33">
        <v>6</v>
      </c>
      <c r="T298" s="33">
        <v>25</v>
      </c>
      <c r="U298" s="49"/>
    </row>
    <row r="299" spans="1:21">
      <c r="A299" s="50" t="s">
        <v>619</v>
      </c>
      <c r="B299" s="32"/>
      <c r="C299" s="33">
        <v>79</v>
      </c>
      <c r="D299" s="33">
        <v>54</v>
      </c>
      <c r="E299" s="33">
        <v>85.3</v>
      </c>
      <c r="F299" s="48">
        <v>0.2</v>
      </c>
      <c r="G299" s="48">
        <v>0.5</v>
      </c>
      <c r="H299" s="33">
        <v>1.4</v>
      </c>
      <c r="I299" s="48">
        <v>12.3</v>
      </c>
      <c r="J299" s="32"/>
      <c r="K299" s="33">
        <v>0.02</v>
      </c>
      <c r="L299" s="33">
        <v>0.02</v>
      </c>
      <c r="M299" s="33">
        <v>0.2</v>
      </c>
      <c r="N299" s="33">
        <v>0.08</v>
      </c>
      <c r="O299" s="33">
        <v>0.7</v>
      </c>
      <c r="P299" s="33">
        <v>7</v>
      </c>
      <c r="Q299" s="33">
        <v>0.3</v>
      </c>
      <c r="R299" s="33" t="s">
        <v>576</v>
      </c>
      <c r="S299" s="33">
        <v>3</v>
      </c>
      <c r="T299" s="33">
        <v>25</v>
      </c>
      <c r="U299" s="49"/>
    </row>
    <row r="300" spans="1:21">
      <c r="A300" s="50" t="s">
        <v>620</v>
      </c>
      <c r="B300" s="33" t="s">
        <v>1679</v>
      </c>
      <c r="C300" s="33">
        <v>91</v>
      </c>
      <c r="D300" s="33">
        <v>28</v>
      </c>
      <c r="E300" s="33">
        <v>85.9</v>
      </c>
      <c r="F300" s="48">
        <v>0.1</v>
      </c>
      <c r="G300" s="48">
        <v>0.1</v>
      </c>
      <c r="H300" s="33">
        <v>6.7</v>
      </c>
      <c r="I300" s="48">
        <v>6.7</v>
      </c>
      <c r="J300" s="32"/>
      <c r="K300" s="32"/>
      <c r="L300" s="32"/>
      <c r="M300" s="32"/>
      <c r="N300" s="32"/>
      <c r="O300" s="33">
        <v>3.7</v>
      </c>
      <c r="P300" s="33">
        <v>22</v>
      </c>
      <c r="Q300" s="33">
        <v>1.2</v>
      </c>
      <c r="R300" s="33" t="s">
        <v>576</v>
      </c>
      <c r="S300" s="32"/>
      <c r="T300" s="33">
        <v>25</v>
      </c>
      <c r="U300" s="49"/>
    </row>
    <row r="301" spans="1:21">
      <c r="A301" s="50" t="s">
        <v>621</v>
      </c>
      <c r="B301" s="32"/>
      <c r="C301" s="33">
        <v>80</v>
      </c>
      <c r="D301" s="33">
        <v>49</v>
      </c>
      <c r="E301" s="33">
        <v>84.8</v>
      </c>
      <c r="F301" s="48">
        <v>0.3</v>
      </c>
      <c r="G301" s="48">
        <v>0.2</v>
      </c>
      <c r="H301" s="33">
        <v>2.6</v>
      </c>
      <c r="I301" s="48">
        <v>11.5</v>
      </c>
      <c r="J301" s="32"/>
      <c r="K301" s="33">
        <v>0.03</v>
      </c>
      <c r="L301" s="33">
        <v>0.02</v>
      </c>
      <c r="M301" s="33">
        <v>0.3</v>
      </c>
      <c r="N301" s="33">
        <v>0.61</v>
      </c>
      <c r="O301" s="33">
        <v>1.8</v>
      </c>
      <c r="P301" s="33">
        <v>10</v>
      </c>
      <c r="Q301" s="33">
        <v>0.4</v>
      </c>
      <c r="R301" s="33" t="s">
        <v>576</v>
      </c>
      <c r="S301" s="33">
        <v>3</v>
      </c>
      <c r="T301" s="33">
        <v>25</v>
      </c>
      <c r="U301" s="49"/>
    </row>
    <row r="302" spans="1:21">
      <c r="A302" s="50" t="s">
        <v>622</v>
      </c>
      <c r="B302" s="33" t="s">
        <v>1679</v>
      </c>
      <c r="C302" s="33">
        <v>91</v>
      </c>
      <c r="D302" s="33">
        <v>48</v>
      </c>
      <c r="E302" s="33">
        <v>83.7</v>
      </c>
      <c r="F302" s="48">
        <v>0.2</v>
      </c>
      <c r="G302" s="48">
        <v>0.2</v>
      </c>
      <c r="H302" s="33">
        <v>4.2</v>
      </c>
      <c r="I302" s="48">
        <v>11.4</v>
      </c>
      <c r="J302" s="32"/>
      <c r="K302" s="32"/>
      <c r="L302" s="32"/>
      <c r="M302" s="32"/>
      <c r="N302" s="32"/>
      <c r="O302" s="32"/>
      <c r="P302" s="32"/>
      <c r="Q302" s="32"/>
      <c r="R302" s="33" t="s">
        <v>576</v>
      </c>
      <c r="S302" s="32"/>
      <c r="T302" s="33">
        <v>25</v>
      </c>
      <c r="U302" s="49"/>
    </row>
    <row r="303" spans="1:21">
      <c r="A303" s="50" t="s">
        <v>623</v>
      </c>
      <c r="B303" s="33" t="s">
        <v>1677</v>
      </c>
      <c r="C303" s="33">
        <v>74</v>
      </c>
      <c r="D303" s="33">
        <v>47</v>
      </c>
      <c r="E303" s="33">
        <v>86.8</v>
      </c>
      <c r="F303" s="48">
        <v>0.3</v>
      </c>
      <c r="G303" s="48">
        <v>0.1</v>
      </c>
      <c r="H303" s="33">
        <v>1.3</v>
      </c>
      <c r="I303" s="48">
        <v>11.2</v>
      </c>
      <c r="J303" s="32"/>
      <c r="K303" s="33">
        <v>0.03</v>
      </c>
      <c r="L303" s="33">
        <v>0.03</v>
      </c>
      <c r="M303" s="32"/>
      <c r="N303" s="33">
        <v>1.8</v>
      </c>
      <c r="O303" s="33">
        <v>3.3</v>
      </c>
      <c r="P303" s="33">
        <v>2</v>
      </c>
      <c r="Q303" s="33">
        <v>0.1</v>
      </c>
      <c r="R303" s="33" t="s">
        <v>576</v>
      </c>
      <c r="S303" s="33">
        <v>10</v>
      </c>
      <c r="T303" s="33">
        <v>25</v>
      </c>
      <c r="U303" s="49"/>
    </row>
    <row r="304" spans="1:21">
      <c r="A304" s="50" t="s">
        <v>624</v>
      </c>
      <c r="B304" s="32"/>
      <c r="C304" s="33">
        <v>81</v>
      </c>
      <c r="D304" s="33">
        <v>53</v>
      </c>
      <c r="E304" s="33">
        <v>85.9</v>
      </c>
      <c r="F304" s="48">
        <v>0.3</v>
      </c>
      <c r="G304" s="48">
        <v>0.2</v>
      </c>
      <c r="H304" s="33">
        <v>0.9</v>
      </c>
      <c r="I304" s="48">
        <v>12.4</v>
      </c>
      <c r="J304" s="32"/>
      <c r="K304" s="33">
        <v>0.02</v>
      </c>
      <c r="L304" s="33">
        <v>0.03</v>
      </c>
      <c r="M304" s="32"/>
      <c r="N304" s="33">
        <v>2.09</v>
      </c>
      <c r="O304" s="33">
        <v>1.4</v>
      </c>
      <c r="P304" s="33">
        <v>2</v>
      </c>
      <c r="Q304" s="33">
        <v>0.4</v>
      </c>
      <c r="R304" s="33" t="s">
        <v>576</v>
      </c>
      <c r="S304" s="33">
        <v>6</v>
      </c>
      <c r="T304" s="33">
        <v>25</v>
      </c>
      <c r="U304" s="49"/>
    </row>
    <row r="305" spans="1:21">
      <c r="A305" s="50" t="s">
        <v>625</v>
      </c>
      <c r="B305" s="33" t="s">
        <v>1627</v>
      </c>
      <c r="C305" s="33">
        <v>80</v>
      </c>
      <c r="D305" s="33">
        <v>28</v>
      </c>
      <c r="E305" s="33">
        <v>91</v>
      </c>
      <c r="F305" s="48">
        <v>0.4</v>
      </c>
      <c r="G305" s="48">
        <v>0.1</v>
      </c>
      <c r="H305" s="33">
        <v>1.9</v>
      </c>
      <c r="I305" s="48">
        <v>6.3</v>
      </c>
      <c r="J305" s="32"/>
      <c r="K305" s="33">
        <v>0.01</v>
      </c>
      <c r="L305" s="33">
        <v>0.04</v>
      </c>
      <c r="M305" s="33">
        <v>0.1</v>
      </c>
      <c r="N305" s="33">
        <v>0.47</v>
      </c>
      <c r="O305" s="33">
        <v>3</v>
      </c>
      <c r="P305" s="33">
        <v>4</v>
      </c>
      <c r="Q305" s="33">
        <v>0.1</v>
      </c>
      <c r="R305" s="33" t="s">
        <v>576</v>
      </c>
      <c r="S305" s="33">
        <v>5</v>
      </c>
      <c r="T305" s="33">
        <v>25</v>
      </c>
      <c r="U305" s="49"/>
    </row>
    <row r="306" spans="1:21">
      <c r="A306" s="50" t="s">
        <v>626</v>
      </c>
      <c r="B306" s="32"/>
      <c r="C306" s="33">
        <v>94</v>
      </c>
      <c r="D306" s="33">
        <v>48</v>
      </c>
      <c r="E306" s="33">
        <v>85.4</v>
      </c>
      <c r="F306" s="48">
        <v>0.2</v>
      </c>
      <c r="G306" s="48">
        <v>0.1</v>
      </c>
      <c r="H306" s="33">
        <v>2.2999999999999998</v>
      </c>
      <c r="I306" s="48">
        <v>11.6</v>
      </c>
      <c r="J306" s="33">
        <v>5</v>
      </c>
      <c r="K306" s="32"/>
      <c r="L306" s="33">
        <v>0.01</v>
      </c>
      <c r="M306" s="33">
        <v>0.5</v>
      </c>
      <c r="N306" s="32"/>
      <c r="O306" s="33">
        <v>2.4</v>
      </c>
      <c r="P306" s="33">
        <v>4</v>
      </c>
      <c r="Q306" s="33">
        <v>0.4</v>
      </c>
      <c r="R306" s="33" t="s">
        <v>576</v>
      </c>
      <c r="S306" s="33">
        <v>4</v>
      </c>
      <c r="T306" s="33">
        <v>25</v>
      </c>
      <c r="U306" s="49"/>
    </row>
    <row r="307" spans="1:21">
      <c r="A307" s="50" t="s">
        <v>627</v>
      </c>
      <c r="B307" s="33" t="s">
        <v>1680</v>
      </c>
      <c r="C307" s="33">
        <v>68</v>
      </c>
      <c r="D307" s="33">
        <v>14</v>
      </c>
      <c r="E307" s="33">
        <v>87.4</v>
      </c>
      <c r="F307" s="48">
        <v>0.4</v>
      </c>
      <c r="G307" s="48">
        <v>0.2</v>
      </c>
      <c r="H307" s="33">
        <v>9.1</v>
      </c>
      <c r="I307" s="48">
        <v>2.6</v>
      </c>
      <c r="J307" s="33">
        <v>3</v>
      </c>
      <c r="K307" s="32"/>
      <c r="L307" s="32"/>
      <c r="M307" s="32"/>
      <c r="N307" s="32"/>
      <c r="O307" s="33">
        <v>1</v>
      </c>
      <c r="P307" s="33">
        <v>25</v>
      </c>
      <c r="Q307" s="33">
        <v>0.9</v>
      </c>
      <c r="R307" s="33" t="s">
        <v>576</v>
      </c>
      <c r="S307" s="32"/>
      <c r="T307" s="33">
        <v>25</v>
      </c>
      <c r="U307" s="49"/>
    </row>
    <row r="308" spans="1:21">
      <c r="A308" s="50" t="s">
        <v>628</v>
      </c>
      <c r="B308" s="33" t="s">
        <v>1656</v>
      </c>
      <c r="C308" s="33">
        <v>88</v>
      </c>
      <c r="D308" s="33">
        <v>48</v>
      </c>
      <c r="E308" s="33">
        <v>85.6</v>
      </c>
      <c r="F308" s="48">
        <v>0.6</v>
      </c>
      <c r="G308" s="48">
        <v>0.3</v>
      </c>
      <c r="H308" s="33">
        <v>2.5</v>
      </c>
      <c r="I308" s="48">
        <v>10.6</v>
      </c>
      <c r="J308" s="32"/>
      <c r="K308" s="33">
        <v>0.01</v>
      </c>
      <c r="L308" s="33">
        <v>0.02</v>
      </c>
      <c r="M308" s="33">
        <v>0.4</v>
      </c>
      <c r="N308" s="32"/>
      <c r="O308" s="32"/>
      <c r="P308" s="32"/>
      <c r="Q308" s="32"/>
      <c r="R308" s="33" t="s">
        <v>576</v>
      </c>
      <c r="S308" s="33">
        <v>5</v>
      </c>
      <c r="T308" s="33">
        <v>25</v>
      </c>
      <c r="U308" s="49"/>
    </row>
    <row r="309" spans="1:21">
      <c r="A309" s="50" t="s">
        <v>629</v>
      </c>
      <c r="B309" s="33" t="s">
        <v>1677</v>
      </c>
      <c r="C309" s="33">
        <v>72</v>
      </c>
      <c r="D309" s="33">
        <v>43</v>
      </c>
      <c r="E309" s="33">
        <v>88</v>
      </c>
      <c r="F309" s="48">
        <v>0.3</v>
      </c>
      <c r="G309" s="48">
        <v>0.1</v>
      </c>
      <c r="H309" s="33">
        <v>1.2</v>
      </c>
      <c r="I309" s="48">
        <v>10.199999999999999</v>
      </c>
      <c r="J309" s="32"/>
      <c r="K309" s="33">
        <v>0.03</v>
      </c>
      <c r="L309" s="33">
        <v>0.02</v>
      </c>
      <c r="M309" s="32"/>
      <c r="N309" s="33">
        <v>1.82</v>
      </c>
      <c r="O309" s="33">
        <v>2.2999999999999998</v>
      </c>
      <c r="P309" s="33">
        <v>2</v>
      </c>
      <c r="Q309" s="32"/>
      <c r="R309" s="33" t="s">
        <v>576</v>
      </c>
      <c r="S309" s="33">
        <v>11</v>
      </c>
      <c r="T309" s="33">
        <v>25</v>
      </c>
      <c r="U309" s="49"/>
    </row>
    <row r="310" spans="1:21">
      <c r="A310" s="50" t="s">
        <v>630</v>
      </c>
      <c r="B310" s="33" t="s">
        <v>1681</v>
      </c>
      <c r="C310" s="33">
        <v>85</v>
      </c>
      <c r="D310" s="33">
        <v>26</v>
      </c>
      <c r="E310" s="33">
        <v>89.6</v>
      </c>
      <c r="F310" s="48">
        <v>0.1</v>
      </c>
      <c r="G310" s="48">
        <v>0.1</v>
      </c>
      <c r="H310" s="33">
        <v>3.7</v>
      </c>
      <c r="I310" s="48">
        <v>6.1</v>
      </c>
      <c r="J310" s="32"/>
      <c r="K310" s="33">
        <v>0.03</v>
      </c>
      <c r="L310" s="33">
        <v>0.22</v>
      </c>
      <c r="M310" s="33">
        <v>0.8</v>
      </c>
      <c r="N310" s="33">
        <v>1.28</v>
      </c>
      <c r="O310" s="33">
        <v>8.5</v>
      </c>
      <c r="P310" s="33">
        <v>12</v>
      </c>
      <c r="Q310" s="33">
        <v>0.6</v>
      </c>
      <c r="R310" s="33" t="s">
        <v>576</v>
      </c>
      <c r="S310" s="33">
        <v>14</v>
      </c>
      <c r="T310" s="33">
        <v>25</v>
      </c>
      <c r="U310" s="49"/>
    </row>
    <row r="311" spans="1:21">
      <c r="A311" s="50" t="s">
        <v>631</v>
      </c>
      <c r="B311" s="33" t="s">
        <v>1678</v>
      </c>
      <c r="C311" s="33">
        <v>89</v>
      </c>
      <c r="D311" s="33">
        <v>46</v>
      </c>
      <c r="E311" s="33">
        <v>85.8</v>
      </c>
      <c r="F311" s="48">
        <v>0.3</v>
      </c>
      <c r="G311" s="48">
        <v>0.1</v>
      </c>
      <c r="H311" s="33">
        <v>2.7</v>
      </c>
      <c r="I311" s="48">
        <v>10.9</v>
      </c>
      <c r="J311" s="33">
        <v>12</v>
      </c>
      <c r="K311" s="32"/>
      <c r="L311" s="32"/>
      <c r="M311" s="33">
        <v>0.1</v>
      </c>
      <c r="N311" s="32"/>
      <c r="O311" s="33">
        <v>0.8</v>
      </c>
      <c r="P311" s="33">
        <v>6</v>
      </c>
      <c r="Q311" s="33">
        <v>0.4</v>
      </c>
      <c r="R311" s="33" t="s">
        <v>576</v>
      </c>
      <c r="S311" s="32"/>
      <c r="T311" s="33">
        <v>25</v>
      </c>
      <c r="U311" s="49"/>
    </row>
    <row r="312" spans="1:21">
      <c r="A312" s="50" t="s">
        <v>632</v>
      </c>
      <c r="B312" s="32"/>
      <c r="C312" s="33">
        <v>86</v>
      </c>
      <c r="D312" s="33">
        <v>41</v>
      </c>
      <c r="E312" s="33">
        <v>88.8</v>
      </c>
      <c r="F312" s="48">
        <v>0.2</v>
      </c>
      <c r="G312" s="48">
        <v>0.1</v>
      </c>
      <c r="H312" s="33">
        <v>0.8</v>
      </c>
      <c r="I312" s="48">
        <v>9.8000000000000007</v>
      </c>
      <c r="J312" s="33">
        <v>17</v>
      </c>
      <c r="K312" s="33">
        <v>0.01</v>
      </c>
      <c r="L312" s="33">
        <v>0.01</v>
      </c>
      <c r="M312" s="33">
        <v>0.3</v>
      </c>
      <c r="N312" s="33">
        <v>0.19</v>
      </c>
      <c r="O312" s="33">
        <v>0.6</v>
      </c>
      <c r="P312" s="33">
        <v>5</v>
      </c>
      <c r="Q312" s="33">
        <v>0.3</v>
      </c>
      <c r="R312" s="33" t="s">
        <v>576</v>
      </c>
      <c r="S312" s="33">
        <v>4</v>
      </c>
      <c r="T312" s="33">
        <v>25</v>
      </c>
      <c r="U312" s="49"/>
    </row>
    <row r="313" spans="1:21">
      <c r="A313" s="50" t="s">
        <v>633</v>
      </c>
      <c r="B313" s="32"/>
      <c r="C313" s="33">
        <v>82</v>
      </c>
      <c r="D313" s="33">
        <v>43</v>
      </c>
      <c r="E313" s="33">
        <v>88.3</v>
      </c>
      <c r="F313" s="48">
        <v>0.2</v>
      </c>
      <c r="G313" s="48">
        <v>0.2</v>
      </c>
      <c r="H313" s="33">
        <v>1.1000000000000001</v>
      </c>
      <c r="I313" s="48">
        <v>10</v>
      </c>
      <c r="J313" s="33">
        <v>2</v>
      </c>
      <c r="K313" s="33">
        <v>0.03</v>
      </c>
      <c r="L313" s="33">
        <v>0.03</v>
      </c>
      <c r="M313" s="33">
        <v>0.2</v>
      </c>
      <c r="N313" s="33">
        <v>0.31</v>
      </c>
      <c r="O313" s="33">
        <v>1.5</v>
      </c>
      <c r="P313" s="33">
        <v>4</v>
      </c>
      <c r="Q313" s="33">
        <v>0.9</v>
      </c>
      <c r="R313" s="33" t="s">
        <v>576</v>
      </c>
      <c r="S313" s="33">
        <v>4</v>
      </c>
      <c r="T313" s="33">
        <v>25</v>
      </c>
      <c r="U313" s="49"/>
    </row>
    <row r="314" spans="1:21">
      <c r="A314" s="50" t="s">
        <v>634</v>
      </c>
      <c r="B314" s="33" t="s">
        <v>1618</v>
      </c>
      <c r="C314" s="33">
        <v>76</v>
      </c>
      <c r="D314" s="33">
        <v>50</v>
      </c>
      <c r="E314" s="33">
        <v>82.4</v>
      </c>
      <c r="F314" s="48">
        <v>0.6</v>
      </c>
      <c r="G314" s="48">
        <v>0.2</v>
      </c>
      <c r="H314" s="33">
        <v>5.0999999999999996</v>
      </c>
      <c r="I314" s="48">
        <v>11.4</v>
      </c>
      <c r="J314" s="32"/>
      <c r="K314" s="32"/>
      <c r="L314" s="33">
        <v>0.02</v>
      </c>
      <c r="M314" s="33">
        <v>0.3</v>
      </c>
      <c r="N314" s="33">
        <v>0.48</v>
      </c>
      <c r="O314" s="33">
        <v>1</v>
      </c>
      <c r="P314" s="33">
        <v>18</v>
      </c>
      <c r="Q314" s="33">
        <v>0.2</v>
      </c>
      <c r="R314" s="33" t="s">
        <v>576</v>
      </c>
      <c r="S314" s="33">
        <v>4</v>
      </c>
      <c r="T314" s="33">
        <v>25</v>
      </c>
      <c r="U314" s="49"/>
    </row>
    <row r="315" spans="1:21">
      <c r="A315" s="50" t="s">
        <v>635</v>
      </c>
      <c r="B315" s="33" t="s">
        <v>1682</v>
      </c>
      <c r="C315" s="33">
        <v>74</v>
      </c>
      <c r="D315" s="33">
        <v>35</v>
      </c>
      <c r="E315" s="33">
        <v>87.7</v>
      </c>
      <c r="F315" s="48">
        <v>0.5</v>
      </c>
      <c r="G315" s="48">
        <v>1.3</v>
      </c>
      <c r="H315" s="33">
        <v>4.9000000000000004</v>
      </c>
      <c r="I315" s="48">
        <v>5.3</v>
      </c>
      <c r="J315" s="32"/>
      <c r="K315" s="33">
        <v>0.01</v>
      </c>
      <c r="L315" s="33">
        <v>0.12</v>
      </c>
      <c r="M315" s="33">
        <v>0.1</v>
      </c>
      <c r="N315" s="32"/>
      <c r="O315" s="33">
        <v>5.3</v>
      </c>
      <c r="P315" s="33">
        <v>5</v>
      </c>
      <c r="Q315" s="33">
        <v>0.2</v>
      </c>
      <c r="R315" s="33" t="s">
        <v>576</v>
      </c>
      <c r="S315" s="33">
        <v>4</v>
      </c>
      <c r="T315" s="33">
        <v>25</v>
      </c>
      <c r="U315" s="49"/>
    </row>
    <row r="316" spans="1:21">
      <c r="A316" s="50" t="s">
        <v>636</v>
      </c>
      <c r="B316" s="33" t="s">
        <v>1677</v>
      </c>
      <c r="C316" s="33">
        <v>59</v>
      </c>
      <c r="D316" s="33">
        <v>47</v>
      </c>
      <c r="E316" s="33">
        <v>86</v>
      </c>
      <c r="F316" s="48">
        <v>0.3</v>
      </c>
      <c r="G316" s="48">
        <v>0.1</v>
      </c>
      <c r="H316" s="33">
        <v>2</v>
      </c>
      <c r="I316" s="48">
        <v>11.3</v>
      </c>
      <c r="J316" s="32"/>
      <c r="K316" s="33">
        <v>0.03</v>
      </c>
      <c r="L316" s="33">
        <v>0.04</v>
      </c>
      <c r="M316" s="32"/>
      <c r="N316" s="33">
        <v>3.64</v>
      </c>
      <c r="O316" s="33">
        <v>1.7</v>
      </c>
      <c r="P316" s="33">
        <v>1</v>
      </c>
      <c r="Q316" s="32"/>
      <c r="R316" s="33" t="s">
        <v>576</v>
      </c>
      <c r="S316" s="33">
        <v>9</v>
      </c>
      <c r="T316" s="33">
        <v>25</v>
      </c>
      <c r="U316" s="49"/>
    </row>
    <row r="317" spans="1:21">
      <c r="A317" s="50" t="s">
        <v>637</v>
      </c>
      <c r="B317" s="33" t="s">
        <v>1673</v>
      </c>
      <c r="C317" s="33">
        <v>100</v>
      </c>
      <c r="D317" s="33">
        <v>47</v>
      </c>
      <c r="E317" s="33">
        <v>83.6</v>
      </c>
      <c r="F317" s="48">
        <v>0.3</v>
      </c>
      <c r="G317" s="51"/>
      <c r="H317" s="33">
        <v>4.5</v>
      </c>
      <c r="I317" s="48">
        <v>11.4</v>
      </c>
      <c r="J317" s="32"/>
      <c r="K317" s="33">
        <v>0.01</v>
      </c>
      <c r="L317" s="32"/>
      <c r="M317" s="32"/>
      <c r="N317" s="33">
        <v>2</v>
      </c>
      <c r="O317" s="33">
        <v>2</v>
      </c>
      <c r="P317" s="33">
        <v>16</v>
      </c>
      <c r="Q317" s="33">
        <v>1.4</v>
      </c>
      <c r="R317" s="33" t="s">
        <v>576</v>
      </c>
      <c r="S317" s="32"/>
      <c r="T317" s="33">
        <v>25</v>
      </c>
      <c r="U317" s="49"/>
    </row>
    <row r="318" spans="1:21">
      <c r="A318" s="50" t="s">
        <v>638</v>
      </c>
      <c r="B318" s="33" t="s">
        <v>1618</v>
      </c>
      <c r="C318" s="33">
        <v>100</v>
      </c>
      <c r="D318" s="33">
        <v>33</v>
      </c>
      <c r="E318" s="33">
        <v>90.4</v>
      </c>
      <c r="F318" s="48">
        <v>0.5</v>
      </c>
      <c r="G318" s="48">
        <v>0.2</v>
      </c>
      <c r="H318" s="33">
        <v>1.4</v>
      </c>
      <c r="I318" s="48">
        <v>7.4</v>
      </c>
      <c r="J318" s="32"/>
      <c r="K318" s="33">
        <v>0.02</v>
      </c>
      <c r="L318" s="33">
        <v>0.04</v>
      </c>
      <c r="M318" s="33">
        <v>0.2</v>
      </c>
      <c r="N318" s="33">
        <v>0.02</v>
      </c>
      <c r="O318" s="33">
        <v>2.1</v>
      </c>
      <c r="P318" s="33">
        <v>2</v>
      </c>
      <c r="Q318" s="33">
        <v>0.3</v>
      </c>
      <c r="R318" s="33" t="s">
        <v>576</v>
      </c>
      <c r="S318" s="32"/>
      <c r="T318" s="33">
        <v>25</v>
      </c>
      <c r="U318" s="49"/>
    </row>
    <row r="319" spans="1:21">
      <c r="A319" s="50" t="s">
        <v>639</v>
      </c>
      <c r="B319" s="32"/>
      <c r="C319" s="33">
        <v>73</v>
      </c>
      <c r="D319" s="33">
        <v>70</v>
      </c>
      <c r="E319" s="33">
        <v>81.900000000000006</v>
      </c>
      <c r="F319" s="48">
        <v>0.9</v>
      </c>
      <c r="G319" s="48">
        <v>0.2</v>
      </c>
      <c r="H319" s="33">
        <v>0.5</v>
      </c>
      <c r="I319" s="48">
        <v>16.100000000000001</v>
      </c>
      <c r="J319" s="33">
        <v>2</v>
      </c>
      <c r="K319" s="33">
        <v>0.1</v>
      </c>
      <c r="L319" s="33">
        <v>0.04</v>
      </c>
      <c r="M319" s="33">
        <v>1.1000000000000001</v>
      </c>
      <c r="N319" s="32"/>
      <c r="O319" s="33">
        <v>1.7</v>
      </c>
      <c r="P319" s="33">
        <v>2</v>
      </c>
      <c r="Q319" s="33">
        <v>0.4</v>
      </c>
      <c r="R319" s="33" t="s">
        <v>576</v>
      </c>
      <c r="S319" s="33">
        <v>41</v>
      </c>
      <c r="T319" s="33">
        <v>25</v>
      </c>
      <c r="U319" s="49"/>
    </row>
    <row r="320" spans="1:21">
      <c r="A320" s="50" t="s">
        <v>640</v>
      </c>
      <c r="B320" s="33" t="s">
        <v>1628</v>
      </c>
      <c r="C320" s="33">
        <v>60</v>
      </c>
      <c r="D320" s="33">
        <v>32</v>
      </c>
      <c r="E320" s="33">
        <v>90.6</v>
      </c>
      <c r="F320" s="48">
        <v>0.6</v>
      </c>
      <c r="G320" s="48">
        <v>0.2</v>
      </c>
      <c r="H320" s="33">
        <v>1.3</v>
      </c>
      <c r="I320" s="48">
        <v>7</v>
      </c>
      <c r="J320" s="33">
        <v>1342</v>
      </c>
      <c r="K320" s="33">
        <v>0.01</v>
      </c>
      <c r="L320" s="33">
        <v>0.04</v>
      </c>
      <c r="M320" s="33">
        <v>0.3</v>
      </c>
      <c r="N320" s="33">
        <v>1.21</v>
      </c>
      <c r="O320" s="33">
        <v>2.8</v>
      </c>
      <c r="P320" s="32"/>
      <c r="Q320" s="33">
        <v>0.2</v>
      </c>
      <c r="R320" s="33" t="s">
        <v>576</v>
      </c>
      <c r="S320" s="33">
        <v>23</v>
      </c>
      <c r="T320" s="33">
        <v>25</v>
      </c>
      <c r="U320" s="49"/>
    </row>
    <row r="321" spans="1:21">
      <c r="A321" s="50" t="s">
        <v>641</v>
      </c>
      <c r="B321" s="33" t="s">
        <v>1652</v>
      </c>
      <c r="C321" s="33">
        <v>60</v>
      </c>
      <c r="D321" s="33">
        <v>84</v>
      </c>
      <c r="E321" s="33">
        <v>74.5</v>
      </c>
      <c r="F321" s="48">
        <v>1.6</v>
      </c>
      <c r="G321" s="48">
        <v>0.5</v>
      </c>
      <c r="H321" s="33">
        <v>3.3</v>
      </c>
      <c r="I321" s="48">
        <v>18.399999999999999</v>
      </c>
      <c r="J321" s="33">
        <v>22</v>
      </c>
      <c r="K321" s="33">
        <v>0.03</v>
      </c>
      <c r="L321" s="32"/>
      <c r="M321" s="32"/>
      <c r="N321" s="33">
        <v>4.1100000000000003</v>
      </c>
      <c r="O321" s="33">
        <v>3.8</v>
      </c>
      <c r="P321" s="33">
        <v>206</v>
      </c>
      <c r="Q321" s="33">
        <v>4.3</v>
      </c>
      <c r="R321" s="33" t="s">
        <v>576</v>
      </c>
      <c r="S321" s="32"/>
      <c r="T321" s="33">
        <v>25</v>
      </c>
      <c r="U321" s="49"/>
    </row>
    <row r="322" spans="1:21">
      <c r="A322" s="50" t="s">
        <v>642</v>
      </c>
      <c r="B322" s="33" t="s">
        <v>1683</v>
      </c>
      <c r="C322" s="33">
        <v>100</v>
      </c>
      <c r="D322" s="33">
        <v>336</v>
      </c>
      <c r="E322" s="33">
        <v>15.4</v>
      </c>
      <c r="F322" s="48">
        <v>0.9</v>
      </c>
      <c r="G322" s="48">
        <v>0.2</v>
      </c>
      <c r="H322" s="33">
        <v>0.7</v>
      </c>
      <c r="I322" s="48">
        <v>82.6</v>
      </c>
      <c r="J322" s="32"/>
      <c r="K322" s="33">
        <v>0.01</v>
      </c>
      <c r="L322" s="32"/>
      <c r="M322" s="32"/>
      <c r="N322" s="32"/>
      <c r="O322" s="33">
        <v>16.399999999999999</v>
      </c>
      <c r="P322" s="33">
        <v>176</v>
      </c>
      <c r="Q322" s="32"/>
      <c r="R322" s="33" t="s">
        <v>576</v>
      </c>
      <c r="S322" s="33">
        <v>7</v>
      </c>
      <c r="T322" s="33">
        <v>25</v>
      </c>
      <c r="U322" s="49"/>
    </row>
    <row r="323" spans="1:21">
      <c r="A323" s="50" t="s">
        <v>643</v>
      </c>
      <c r="B323" s="33" t="s">
        <v>1618</v>
      </c>
      <c r="C323" s="33">
        <v>66</v>
      </c>
      <c r="D323" s="33">
        <v>35</v>
      </c>
      <c r="E323" s="33">
        <v>91</v>
      </c>
      <c r="F323" s="48">
        <v>1.1000000000000001</v>
      </c>
      <c r="G323" s="48">
        <v>1.2</v>
      </c>
      <c r="H323" s="33">
        <v>1.3</v>
      </c>
      <c r="I323" s="48">
        <v>4.9000000000000004</v>
      </c>
      <c r="J323" s="32"/>
      <c r="K323" s="33">
        <v>0.05</v>
      </c>
      <c r="L323" s="33">
        <v>0.02</v>
      </c>
      <c r="M323" s="33">
        <v>0.6</v>
      </c>
      <c r="N323" s="33">
        <v>1.1399999999999999</v>
      </c>
      <c r="O323" s="33">
        <v>1.1000000000000001</v>
      </c>
      <c r="P323" s="33">
        <v>101</v>
      </c>
      <c r="Q323" s="33">
        <v>0.8</v>
      </c>
      <c r="R323" s="33" t="s">
        <v>576</v>
      </c>
      <c r="S323" s="33">
        <v>22</v>
      </c>
      <c r="T323" s="33">
        <v>25</v>
      </c>
      <c r="U323" s="49"/>
    </row>
    <row r="324" spans="1:21">
      <c r="A324" s="50" t="s">
        <v>644</v>
      </c>
      <c r="B324" s="33" t="s">
        <v>1628</v>
      </c>
      <c r="C324" s="33">
        <v>100</v>
      </c>
      <c r="D324" s="33">
        <v>26</v>
      </c>
      <c r="E324" s="33">
        <v>93.1</v>
      </c>
      <c r="F324" s="48">
        <v>0.9</v>
      </c>
      <c r="G324" s="48">
        <v>0.2</v>
      </c>
      <c r="H324" s="33">
        <v>0.3</v>
      </c>
      <c r="I324" s="48">
        <v>5.2</v>
      </c>
      <c r="J324" s="32"/>
      <c r="K324" s="33">
        <v>0.01</v>
      </c>
      <c r="L324" s="33">
        <v>0.02</v>
      </c>
      <c r="M324" s="33">
        <v>0.1</v>
      </c>
      <c r="N324" s="32"/>
      <c r="O324" s="33">
        <v>1.2</v>
      </c>
      <c r="P324" s="33">
        <v>24</v>
      </c>
      <c r="Q324" s="33">
        <v>0.1</v>
      </c>
      <c r="R324" s="33" t="s">
        <v>576</v>
      </c>
      <c r="S324" s="33">
        <v>11</v>
      </c>
      <c r="T324" s="33">
        <v>25</v>
      </c>
      <c r="U324" s="49"/>
    </row>
    <row r="325" spans="1:21">
      <c r="A325" s="50" t="s">
        <v>645</v>
      </c>
      <c r="B325" s="32"/>
      <c r="C325" s="33">
        <v>62</v>
      </c>
      <c r="D325" s="33">
        <v>39</v>
      </c>
      <c r="E325" s="33">
        <v>89.3</v>
      </c>
      <c r="F325" s="48">
        <v>0.8</v>
      </c>
      <c r="G325" s="48">
        <v>0.2</v>
      </c>
      <c r="H325" s="33">
        <v>0.8</v>
      </c>
      <c r="I325" s="48">
        <v>8.5</v>
      </c>
      <c r="J325" s="33">
        <v>117</v>
      </c>
      <c r="K325" s="33">
        <v>0.01</v>
      </c>
      <c r="L325" s="33">
        <v>0.03</v>
      </c>
      <c r="M325" s="33">
        <v>0.3</v>
      </c>
      <c r="N325" s="33">
        <v>0.24</v>
      </c>
      <c r="O325" s="33">
        <v>4</v>
      </c>
      <c r="P325" s="33">
        <v>17</v>
      </c>
      <c r="Q325" s="33">
        <v>1.1000000000000001</v>
      </c>
      <c r="R325" s="33" t="s">
        <v>576</v>
      </c>
      <c r="S325" s="33">
        <v>8</v>
      </c>
      <c r="T325" s="33">
        <v>25</v>
      </c>
      <c r="U325" s="49"/>
    </row>
    <row r="326" spans="1:21">
      <c r="A326" s="50" t="s">
        <v>646</v>
      </c>
      <c r="B326" s="32"/>
      <c r="C326" s="33">
        <v>76</v>
      </c>
      <c r="D326" s="33">
        <v>52</v>
      </c>
      <c r="E326" s="33">
        <v>85.9</v>
      </c>
      <c r="F326" s="48">
        <v>0.2</v>
      </c>
      <c r="G326" s="48">
        <v>0.2</v>
      </c>
      <c r="H326" s="33">
        <v>1.2</v>
      </c>
      <c r="I326" s="48">
        <v>12.3</v>
      </c>
      <c r="J326" s="33">
        <v>3</v>
      </c>
      <c r="K326" s="33">
        <v>0.06</v>
      </c>
      <c r="L326" s="33">
        <v>0.02</v>
      </c>
      <c r="M326" s="33">
        <v>0.2</v>
      </c>
      <c r="N326" s="33">
        <v>2.12</v>
      </c>
      <c r="O326" s="33">
        <v>1.6</v>
      </c>
      <c r="P326" s="33">
        <v>4</v>
      </c>
      <c r="Q326" s="33">
        <v>0.6</v>
      </c>
      <c r="R326" s="33" t="s">
        <v>576</v>
      </c>
      <c r="S326" s="33">
        <v>4</v>
      </c>
      <c r="T326" s="33">
        <v>25</v>
      </c>
      <c r="U326" s="49"/>
    </row>
    <row r="327" spans="1:21">
      <c r="A327" s="50" t="s">
        <v>647</v>
      </c>
      <c r="B327" s="33" t="s">
        <v>1618</v>
      </c>
      <c r="C327" s="33">
        <v>86</v>
      </c>
      <c r="D327" s="33">
        <v>45</v>
      </c>
      <c r="E327" s="33">
        <v>87.3</v>
      </c>
      <c r="F327" s="48">
        <v>0.5</v>
      </c>
      <c r="G327" s="48">
        <v>0.1</v>
      </c>
      <c r="H327" s="33">
        <v>1.2</v>
      </c>
      <c r="I327" s="48">
        <v>10.6</v>
      </c>
      <c r="J327" s="32"/>
      <c r="K327" s="33">
        <v>0.04</v>
      </c>
      <c r="L327" s="33">
        <v>0.04</v>
      </c>
      <c r="M327" s="33">
        <v>0.4</v>
      </c>
      <c r="N327" s="33">
        <v>0.15</v>
      </c>
      <c r="O327" s="33">
        <v>1.3</v>
      </c>
      <c r="P327" s="33">
        <v>15</v>
      </c>
      <c r="Q327" s="33">
        <v>0.3</v>
      </c>
      <c r="R327" s="33" t="s">
        <v>576</v>
      </c>
      <c r="S327" s="33">
        <v>2</v>
      </c>
      <c r="T327" s="33">
        <v>25</v>
      </c>
      <c r="U327" s="49"/>
    </row>
    <row r="328" spans="1:21">
      <c r="A328" s="50" t="s">
        <v>648</v>
      </c>
      <c r="B328" s="33" t="s">
        <v>1684</v>
      </c>
      <c r="C328" s="33">
        <v>85</v>
      </c>
      <c r="D328" s="33">
        <v>57</v>
      </c>
      <c r="E328" s="33">
        <v>85</v>
      </c>
      <c r="F328" s="48">
        <v>0.4</v>
      </c>
      <c r="G328" s="48">
        <v>0.1</v>
      </c>
      <c r="H328" s="33">
        <v>0.8</v>
      </c>
      <c r="I328" s="48">
        <v>13.5</v>
      </c>
      <c r="J328" s="33">
        <v>2</v>
      </c>
      <c r="K328" s="32"/>
      <c r="L328" s="33">
        <v>0.02</v>
      </c>
      <c r="M328" s="32"/>
      <c r="N328" s="33">
        <v>0.21</v>
      </c>
      <c r="O328" s="33">
        <v>2.2999999999999998</v>
      </c>
      <c r="P328" s="33">
        <v>2</v>
      </c>
      <c r="Q328" s="33">
        <v>0.2</v>
      </c>
      <c r="R328" s="33" t="s">
        <v>576</v>
      </c>
      <c r="S328" s="33">
        <v>1</v>
      </c>
      <c r="T328" s="33">
        <v>25</v>
      </c>
      <c r="U328" s="49"/>
    </row>
    <row r="329" spans="1:21">
      <c r="A329" s="50" t="s">
        <v>649</v>
      </c>
      <c r="B329" s="32"/>
      <c r="C329" s="33">
        <v>80</v>
      </c>
      <c r="D329" s="33">
        <v>55</v>
      </c>
      <c r="E329" s="33">
        <v>84.6</v>
      </c>
      <c r="F329" s="48">
        <v>0.2</v>
      </c>
      <c r="G329" s="48">
        <v>0.3</v>
      </c>
      <c r="H329" s="33">
        <v>1.8</v>
      </c>
      <c r="I329" s="48">
        <v>12.9</v>
      </c>
      <c r="J329" s="33">
        <v>15</v>
      </c>
      <c r="K329" s="33">
        <v>0.02</v>
      </c>
      <c r="L329" s="33">
        <v>0.02</v>
      </c>
      <c r="M329" s="33">
        <v>0.1</v>
      </c>
      <c r="N329" s="33">
        <v>0.21</v>
      </c>
      <c r="O329" s="33">
        <v>0.6</v>
      </c>
      <c r="P329" s="33">
        <v>5</v>
      </c>
      <c r="Q329" s="33">
        <v>0.3</v>
      </c>
      <c r="R329" s="33" t="s">
        <v>576</v>
      </c>
      <c r="S329" s="33">
        <v>4</v>
      </c>
      <c r="T329" s="33">
        <v>25</v>
      </c>
      <c r="U329" s="49"/>
    </row>
    <row r="330" spans="1:21">
      <c r="A330" s="50" t="s">
        <v>650</v>
      </c>
      <c r="B330" s="32"/>
      <c r="C330" s="33">
        <v>78</v>
      </c>
      <c r="D330" s="33">
        <v>54</v>
      </c>
      <c r="E330" s="33">
        <v>85.9</v>
      </c>
      <c r="F330" s="48">
        <v>0.3</v>
      </c>
      <c r="G330" s="48">
        <v>0.3</v>
      </c>
      <c r="H330" s="33">
        <v>0.8</v>
      </c>
      <c r="I330" s="48">
        <v>12.5</v>
      </c>
      <c r="J330" s="33">
        <v>10</v>
      </c>
      <c r="K330" s="33">
        <v>0.02</v>
      </c>
      <c r="L330" s="33">
        <v>0.03</v>
      </c>
      <c r="M330" s="33">
        <v>0.2</v>
      </c>
      <c r="N330" s="33">
        <v>0.11</v>
      </c>
      <c r="O330" s="33">
        <v>1.3</v>
      </c>
      <c r="P330" s="33">
        <v>8</v>
      </c>
      <c r="Q330" s="33">
        <v>0.3</v>
      </c>
      <c r="R330" s="33" t="s">
        <v>576</v>
      </c>
      <c r="S330" s="33">
        <v>4</v>
      </c>
      <c r="T330" s="33">
        <v>25</v>
      </c>
      <c r="U330" s="49"/>
    </row>
    <row r="331" spans="1:21">
      <c r="A331" s="50" t="s">
        <v>651</v>
      </c>
      <c r="B331" s="33" t="s">
        <v>1656</v>
      </c>
      <c r="C331" s="33">
        <v>96</v>
      </c>
      <c r="D331" s="33">
        <v>30</v>
      </c>
      <c r="E331" s="33">
        <v>90.8</v>
      </c>
      <c r="F331" s="48">
        <v>0.4</v>
      </c>
      <c r="G331" s="48">
        <v>0.2</v>
      </c>
      <c r="H331" s="33">
        <v>1.7</v>
      </c>
      <c r="I331" s="48">
        <v>6.7</v>
      </c>
      <c r="J331" s="32"/>
      <c r="K331" s="33">
        <v>0.01</v>
      </c>
      <c r="L331" s="33">
        <v>0.03</v>
      </c>
      <c r="M331" s="33">
        <v>0.1</v>
      </c>
      <c r="N331" s="32"/>
      <c r="O331" s="32"/>
      <c r="P331" s="32"/>
      <c r="Q331" s="32"/>
      <c r="R331" s="33" t="s">
        <v>576</v>
      </c>
      <c r="S331" s="32"/>
      <c r="T331" s="33">
        <v>25</v>
      </c>
      <c r="U331" s="49"/>
    </row>
    <row r="332" spans="1:21">
      <c r="A332" s="50" t="s">
        <v>652</v>
      </c>
      <c r="B332" s="33" t="s">
        <v>1685</v>
      </c>
      <c r="C332" s="33">
        <v>85</v>
      </c>
      <c r="D332" s="33">
        <v>45</v>
      </c>
      <c r="E332" s="33">
        <v>86.9</v>
      </c>
      <c r="F332" s="48">
        <v>0.7</v>
      </c>
      <c r="G332" s="48">
        <v>0.4</v>
      </c>
      <c r="H332" s="33">
        <v>2.1</v>
      </c>
      <c r="I332" s="48">
        <v>9.6</v>
      </c>
      <c r="J332" s="33">
        <v>100</v>
      </c>
      <c r="K332" s="33">
        <v>0.01</v>
      </c>
      <c r="L332" s="32"/>
      <c r="M332" s="32"/>
      <c r="N332" s="33">
        <v>1.46</v>
      </c>
      <c r="O332" s="33">
        <v>0.7</v>
      </c>
      <c r="P332" s="33">
        <v>3</v>
      </c>
      <c r="Q332" s="33">
        <v>0.7</v>
      </c>
      <c r="R332" s="33" t="s">
        <v>576</v>
      </c>
      <c r="S332" s="33">
        <v>2</v>
      </c>
      <c r="T332" s="33">
        <v>25</v>
      </c>
      <c r="U332" s="49"/>
    </row>
    <row r="333" spans="1:21">
      <c r="A333" s="50" t="s">
        <v>653</v>
      </c>
      <c r="B333" s="32"/>
      <c r="C333" s="33">
        <v>87</v>
      </c>
      <c r="D333" s="33">
        <v>49</v>
      </c>
      <c r="E333" s="33">
        <v>86.9</v>
      </c>
      <c r="F333" s="48">
        <v>0.4</v>
      </c>
      <c r="G333" s="48">
        <v>0.2</v>
      </c>
      <c r="H333" s="33">
        <v>0.9</v>
      </c>
      <c r="I333" s="48">
        <v>11.4</v>
      </c>
      <c r="J333" s="33">
        <v>17</v>
      </c>
      <c r="K333" s="33">
        <v>0.01</v>
      </c>
      <c r="L333" s="33">
        <v>0.02</v>
      </c>
      <c r="M333" s="33">
        <v>0.1</v>
      </c>
      <c r="N333" s="33">
        <v>0.36</v>
      </c>
      <c r="O333" s="33">
        <v>2</v>
      </c>
      <c r="P333" s="33">
        <v>5</v>
      </c>
      <c r="Q333" s="33">
        <v>0.6</v>
      </c>
      <c r="R333" s="33" t="s">
        <v>576</v>
      </c>
      <c r="S333" s="33">
        <v>3</v>
      </c>
      <c r="T333" s="33">
        <v>25</v>
      </c>
      <c r="U333" s="49"/>
    </row>
    <row r="334" spans="1:21">
      <c r="A334" s="50" t="s">
        <v>654</v>
      </c>
      <c r="B334" s="32"/>
      <c r="C334" s="33">
        <v>78</v>
      </c>
      <c r="D334" s="33">
        <v>50</v>
      </c>
      <c r="E334" s="33">
        <v>86.2</v>
      </c>
      <c r="F334" s="48">
        <v>0.2</v>
      </c>
      <c r="G334" s="48">
        <v>0.1</v>
      </c>
      <c r="H334" s="33">
        <v>1.1000000000000001</v>
      </c>
      <c r="I334" s="48">
        <v>12.2</v>
      </c>
      <c r="J334" s="33">
        <v>15</v>
      </c>
      <c r="K334" s="33">
        <v>0.05</v>
      </c>
      <c r="L334" s="33">
        <v>0.01</v>
      </c>
      <c r="M334" s="33">
        <v>0.1</v>
      </c>
      <c r="N334" s="33">
        <v>0.61</v>
      </c>
      <c r="O334" s="33">
        <v>1.7</v>
      </c>
      <c r="P334" s="33">
        <v>2</v>
      </c>
      <c r="Q334" s="33">
        <v>0.2</v>
      </c>
      <c r="R334" s="33" t="s">
        <v>576</v>
      </c>
      <c r="S334" s="33">
        <v>4</v>
      </c>
      <c r="T334" s="33">
        <v>25</v>
      </c>
      <c r="U334" s="49"/>
    </row>
    <row r="335" spans="1:21">
      <c r="A335" s="50" t="s">
        <v>655</v>
      </c>
      <c r="B335" s="32"/>
      <c r="C335" s="33">
        <v>88</v>
      </c>
      <c r="D335" s="33">
        <v>49</v>
      </c>
      <c r="E335" s="33">
        <v>85.6</v>
      </c>
      <c r="F335" s="48">
        <v>0.3</v>
      </c>
      <c r="G335" s="48">
        <v>0.2</v>
      </c>
      <c r="H335" s="33">
        <v>2.2000000000000002</v>
      </c>
      <c r="I335" s="48">
        <v>11.5</v>
      </c>
      <c r="J335" s="33">
        <v>3</v>
      </c>
      <c r="K335" s="32"/>
      <c r="L335" s="33">
        <v>0.03</v>
      </c>
      <c r="M335" s="33">
        <v>0.3</v>
      </c>
      <c r="N335" s="33">
        <v>0.79</v>
      </c>
      <c r="O335" s="33">
        <v>0.8</v>
      </c>
      <c r="P335" s="33">
        <v>10</v>
      </c>
      <c r="Q335" s="33">
        <v>0.3</v>
      </c>
      <c r="R335" s="33" t="s">
        <v>576</v>
      </c>
      <c r="S335" s="33">
        <v>4</v>
      </c>
      <c r="T335" s="33">
        <v>25</v>
      </c>
      <c r="U335" s="49"/>
    </row>
    <row r="336" spans="1:21">
      <c r="A336" s="50" t="s">
        <v>656</v>
      </c>
      <c r="B336" s="33" t="s">
        <v>1677</v>
      </c>
      <c r="C336" s="33">
        <v>69</v>
      </c>
      <c r="D336" s="33">
        <v>59</v>
      </c>
      <c r="E336" s="33">
        <v>83.4</v>
      </c>
      <c r="F336" s="48">
        <v>0.5</v>
      </c>
      <c r="G336" s="48">
        <v>0.1</v>
      </c>
      <c r="H336" s="33">
        <v>1.7</v>
      </c>
      <c r="I336" s="48">
        <v>14</v>
      </c>
      <c r="J336" s="33">
        <v>10</v>
      </c>
      <c r="K336" s="33">
        <v>0.03</v>
      </c>
      <c r="L336" s="33">
        <v>0.02</v>
      </c>
      <c r="M336" s="32"/>
      <c r="N336" s="33">
        <v>0.84</v>
      </c>
      <c r="O336" s="33">
        <v>2.6</v>
      </c>
      <c r="P336" s="33">
        <v>3</v>
      </c>
      <c r="Q336" s="33">
        <v>0.3</v>
      </c>
      <c r="R336" s="33" t="s">
        <v>576</v>
      </c>
      <c r="S336" s="33">
        <v>6</v>
      </c>
      <c r="T336" s="33">
        <v>25</v>
      </c>
      <c r="U336" s="49"/>
    </row>
    <row r="337" spans="1:21">
      <c r="A337" s="50" t="s">
        <v>657</v>
      </c>
      <c r="B337" s="33" t="s">
        <v>1679</v>
      </c>
      <c r="C337" s="33">
        <v>90</v>
      </c>
      <c r="D337" s="33">
        <v>44</v>
      </c>
      <c r="E337" s="33">
        <v>84</v>
      </c>
      <c r="F337" s="48">
        <v>0.6</v>
      </c>
      <c r="G337" s="48">
        <v>0.2</v>
      </c>
      <c r="H337" s="33">
        <v>4.9000000000000004</v>
      </c>
      <c r="I337" s="48">
        <v>9.9</v>
      </c>
      <c r="J337" s="33">
        <v>3</v>
      </c>
      <c r="K337" s="33">
        <v>0.04</v>
      </c>
      <c r="L337" s="33">
        <v>0.02</v>
      </c>
      <c r="M337" s="33">
        <v>0.1</v>
      </c>
      <c r="N337" s="32"/>
      <c r="O337" s="32"/>
      <c r="P337" s="32"/>
      <c r="Q337" s="32"/>
      <c r="R337" s="33" t="s">
        <v>576</v>
      </c>
      <c r="S337" s="32"/>
      <c r="T337" s="33">
        <v>25</v>
      </c>
      <c r="U337" s="49"/>
    </row>
    <row r="338" spans="1:21">
      <c r="A338" s="50" t="s">
        <v>658</v>
      </c>
      <c r="B338" s="32"/>
      <c r="C338" s="33">
        <v>84</v>
      </c>
      <c r="D338" s="33">
        <v>59</v>
      </c>
      <c r="E338" s="33">
        <v>84.9</v>
      </c>
      <c r="F338" s="48">
        <v>0.2</v>
      </c>
      <c r="G338" s="48">
        <v>0.4</v>
      </c>
      <c r="H338" s="33">
        <v>0.6</v>
      </c>
      <c r="I338" s="48">
        <v>13.7</v>
      </c>
      <c r="J338" s="33">
        <v>7</v>
      </c>
      <c r="K338" s="33">
        <v>0.02</v>
      </c>
      <c r="L338" s="33">
        <v>0.01</v>
      </c>
      <c r="M338" s="33">
        <v>0.2</v>
      </c>
      <c r="N338" s="33">
        <v>0.02</v>
      </c>
      <c r="O338" s="33">
        <v>0.7</v>
      </c>
      <c r="P338" s="33">
        <v>2</v>
      </c>
      <c r="Q338" s="33">
        <v>0.3</v>
      </c>
      <c r="R338" s="33" t="s">
        <v>576</v>
      </c>
      <c r="S338" s="33">
        <v>3</v>
      </c>
      <c r="T338" s="33">
        <v>25</v>
      </c>
      <c r="U338" s="49"/>
    </row>
    <row r="339" spans="1:21">
      <c r="A339" s="50" t="s">
        <v>659</v>
      </c>
      <c r="B339" s="33" t="s">
        <v>1677</v>
      </c>
      <c r="C339" s="33">
        <v>86</v>
      </c>
      <c r="D339" s="33">
        <v>46</v>
      </c>
      <c r="E339" s="33">
        <v>86.7</v>
      </c>
      <c r="F339" s="48">
        <v>0.4</v>
      </c>
      <c r="G339" s="48">
        <v>0.1</v>
      </c>
      <c r="H339" s="33">
        <v>1.5</v>
      </c>
      <c r="I339" s="48">
        <v>11</v>
      </c>
      <c r="J339" s="33">
        <v>2</v>
      </c>
      <c r="K339" s="33">
        <v>0.05</v>
      </c>
      <c r="L339" s="33">
        <v>0.01</v>
      </c>
      <c r="M339" s="32"/>
      <c r="N339" s="33">
        <v>7.0000000000000007E-2</v>
      </c>
      <c r="O339" s="33">
        <v>1.7</v>
      </c>
      <c r="P339" s="33">
        <v>3</v>
      </c>
      <c r="Q339" s="33">
        <v>0.3</v>
      </c>
      <c r="R339" s="33" t="s">
        <v>576</v>
      </c>
      <c r="S339" s="33">
        <v>2</v>
      </c>
      <c r="T339" s="33">
        <v>25</v>
      </c>
      <c r="U339" s="49"/>
    </row>
    <row r="340" spans="1:21">
      <c r="A340" s="50" t="s">
        <v>660</v>
      </c>
      <c r="B340" s="32"/>
      <c r="C340" s="33">
        <v>80</v>
      </c>
      <c r="D340" s="33">
        <v>49</v>
      </c>
      <c r="E340" s="33">
        <v>86.3</v>
      </c>
      <c r="F340" s="48">
        <v>0.3</v>
      </c>
      <c r="G340" s="48">
        <v>0.1</v>
      </c>
      <c r="H340" s="33">
        <v>1.3</v>
      </c>
      <c r="I340" s="48">
        <v>11.8</v>
      </c>
      <c r="J340" s="33">
        <v>3</v>
      </c>
      <c r="K340" s="33">
        <v>0.02</v>
      </c>
      <c r="L340" s="33">
        <v>0.02</v>
      </c>
      <c r="M340" s="33">
        <v>0.2</v>
      </c>
      <c r="N340" s="33">
        <v>0.37</v>
      </c>
      <c r="O340" s="33">
        <v>1.3</v>
      </c>
      <c r="P340" s="33">
        <v>9</v>
      </c>
      <c r="Q340" s="33">
        <v>0.2</v>
      </c>
      <c r="R340" s="33" t="s">
        <v>576</v>
      </c>
      <c r="S340" s="33">
        <v>3</v>
      </c>
      <c r="T340" s="33">
        <v>25</v>
      </c>
      <c r="U340" s="49"/>
    </row>
    <row r="341" spans="1:21">
      <c r="A341" s="50" t="s">
        <v>661</v>
      </c>
      <c r="B341" s="33" t="s">
        <v>1678</v>
      </c>
      <c r="C341" s="33">
        <v>85</v>
      </c>
      <c r="D341" s="33">
        <v>35</v>
      </c>
      <c r="E341" s="33">
        <v>87.5</v>
      </c>
      <c r="F341" s="48">
        <v>0.2</v>
      </c>
      <c r="G341" s="48">
        <v>0.2</v>
      </c>
      <c r="H341" s="33">
        <v>3.7</v>
      </c>
      <c r="I341" s="48">
        <v>8.1999999999999993</v>
      </c>
      <c r="J341" s="32"/>
      <c r="K341" s="33">
        <v>0.03</v>
      </c>
      <c r="L341" s="33">
        <v>0.01</v>
      </c>
      <c r="M341" s="33">
        <v>0.8</v>
      </c>
      <c r="N341" s="32"/>
      <c r="O341" s="32"/>
      <c r="P341" s="32"/>
      <c r="Q341" s="32"/>
      <c r="R341" s="33" t="s">
        <v>576</v>
      </c>
      <c r="S341" s="32"/>
      <c r="T341" s="33">
        <v>25</v>
      </c>
      <c r="U341" s="49"/>
    </row>
    <row r="342" spans="1:21">
      <c r="A342" s="50" t="s">
        <v>662</v>
      </c>
      <c r="B342" s="32"/>
      <c r="C342" s="33">
        <v>86</v>
      </c>
      <c r="D342" s="33">
        <v>50</v>
      </c>
      <c r="E342" s="33">
        <v>85.8</v>
      </c>
      <c r="F342" s="48">
        <v>0.2</v>
      </c>
      <c r="G342" s="48">
        <v>0.2</v>
      </c>
      <c r="H342" s="33">
        <v>1.7</v>
      </c>
      <c r="I342" s="48">
        <v>11.9</v>
      </c>
      <c r="J342" s="33">
        <v>8</v>
      </c>
      <c r="K342" s="32"/>
      <c r="L342" s="33">
        <v>0.01</v>
      </c>
      <c r="M342" s="33">
        <v>0.2</v>
      </c>
      <c r="N342" s="32"/>
      <c r="O342" s="33">
        <v>0.6</v>
      </c>
      <c r="P342" s="33">
        <v>4</v>
      </c>
      <c r="Q342" s="33">
        <v>0.6</v>
      </c>
      <c r="R342" s="33" t="s">
        <v>576</v>
      </c>
      <c r="S342" s="33">
        <v>1</v>
      </c>
      <c r="T342" s="33">
        <v>25</v>
      </c>
      <c r="U342" s="49"/>
    </row>
    <row r="343" spans="1:21">
      <c r="A343" s="50" t="s">
        <v>663</v>
      </c>
      <c r="B343" s="33" t="s">
        <v>1679</v>
      </c>
      <c r="C343" s="33">
        <v>84</v>
      </c>
      <c r="D343" s="33">
        <v>43</v>
      </c>
      <c r="E343" s="33">
        <v>84.7</v>
      </c>
      <c r="F343" s="48">
        <v>0.2</v>
      </c>
      <c r="G343" s="48">
        <v>0.2</v>
      </c>
      <c r="H343" s="33">
        <v>4.7</v>
      </c>
      <c r="I343" s="48">
        <v>10</v>
      </c>
      <c r="J343" s="33">
        <v>2</v>
      </c>
      <c r="K343" s="33">
        <v>0.02</v>
      </c>
      <c r="L343" s="33">
        <v>0.02</v>
      </c>
      <c r="M343" s="33">
        <v>0.5</v>
      </c>
      <c r="N343" s="32"/>
      <c r="O343" s="32"/>
      <c r="P343" s="32"/>
      <c r="Q343" s="32"/>
      <c r="R343" s="33" t="s">
        <v>576</v>
      </c>
      <c r="S343" s="32"/>
      <c r="T343" s="33">
        <v>25</v>
      </c>
      <c r="U343" s="49"/>
    </row>
    <row r="344" spans="1:21">
      <c r="A344" s="50" t="s">
        <v>664</v>
      </c>
      <c r="B344" s="33" t="s">
        <v>1673</v>
      </c>
      <c r="C344" s="33">
        <v>100</v>
      </c>
      <c r="D344" s="33">
        <v>39</v>
      </c>
      <c r="E344" s="33">
        <v>89.2</v>
      </c>
      <c r="F344" s="48">
        <v>0.2</v>
      </c>
      <c r="G344" s="48">
        <v>0.2</v>
      </c>
      <c r="H344" s="33">
        <v>1.3</v>
      </c>
      <c r="I344" s="48">
        <v>9</v>
      </c>
      <c r="J344" s="32"/>
      <c r="K344" s="32"/>
      <c r="L344" s="32"/>
      <c r="M344" s="32"/>
      <c r="N344" s="32"/>
      <c r="O344" s="33">
        <v>6.2</v>
      </c>
      <c r="P344" s="33">
        <v>26</v>
      </c>
      <c r="Q344" s="33">
        <v>0.7</v>
      </c>
      <c r="R344" s="33" t="s">
        <v>576</v>
      </c>
      <c r="S344" s="32"/>
      <c r="T344" s="33">
        <v>25</v>
      </c>
      <c r="U344" s="49"/>
    </row>
    <row r="345" spans="1:21">
      <c r="A345" s="50" t="s">
        <v>665</v>
      </c>
      <c r="B345" s="33" t="s">
        <v>1618</v>
      </c>
      <c r="C345" s="33">
        <v>100</v>
      </c>
      <c r="D345" s="33">
        <v>277</v>
      </c>
      <c r="E345" s="33">
        <v>30.4</v>
      </c>
      <c r="F345" s="48">
        <v>0.4</v>
      </c>
      <c r="G345" s="48">
        <v>0.1</v>
      </c>
      <c r="H345" s="33">
        <v>0.3</v>
      </c>
      <c r="I345" s="48">
        <v>68.7</v>
      </c>
      <c r="J345" s="32"/>
      <c r="K345" s="33">
        <v>0.28000000000000003</v>
      </c>
      <c r="L345" s="33">
        <v>0.02</v>
      </c>
      <c r="M345" s="32"/>
      <c r="N345" s="32"/>
      <c r="O345" s="33">
        <v>11</v>
      </c>
      <c r="P345" s="33">
        <v>2</v>
      </c>
      <c r="Q345" s="33">
        <v>1.3</v>
      </c>
      <c r="R345" s="33" t="s">
        <v>576</v>
      </c>
      <c r="S345" s="33">
        <v>1</v>
      </c>
      <c r="T345" s="33">
        <v>25</v>
      </c>
      <c r="U345" s="49"/>
    </row>
    <row r="346" spans="1:21">
      <c r="A346" s="50" t="s">
        <v>666</v>
      </c>
      <c r="B346" s="32"/>
      <c r="C346" s="33">
        <v>100</v>
      </c>
      <c r="D346" s="33">
        <v>336</v>
      </c>
      <c r="E346" s="33">
        <v>14.2</v>
      </c>
      <c r="F346" s="48">
        <v>0.6</v>
      </c>
      <c r="G346" s="48">
        <v>0.1</v>
      </c>
      <c r="H346" s="33">
        <v>1.6</v>
      </c>
      <c r="I346" s="48">
        <v>83.3</v>
      </c>
      <c r="J346" s="33">
        <v>12</v>
      </c>
      <c r="K346" s="33">
        <v>0.01</v>
      </c>
      <c r="L346" s="33">
        <v>0.09</v>
      </c>
      <c r="M346" s="33">
        <v>0.1</v>
      </c>
      <c r="N346" s="33">
        <v>0.44</v>
      </c>
      <c r="O346" s="33">
        <v>12.8</v>
      </c>
      <c r="P346" s="33">
        <v>9</v>
      </c>
      <c r="Q346" s="33">
        <v>1.6</v>
      </c>
      <c r="R346" s="33" t="s">
        <v>576</v>
      </c>
      <c r="S346" s="32"/>
      <c r="T346" s="33">
        <v>25</v>
      </c>
      <c r="U346" s="49"/>
    </row>
    <row r="347" spans="1:21">
      <c r="A347" s="50" t="s">
        <v>667</v>
      </c>
      <c r="B347" s="32"/>
      <c r="C347" s="33">
        <v>86</v>
      </c>
      <c r="D347" s="33">
        <v>43</v>
      </c>
      <c r="E347" s="33">
        <v>88.7</v>
      </c>
      <c r="F347" s="48">
        <v>0.5</v>
      </c>
      <c r="G347" s="48">
        <v>0.2</v>
      </c>
      <c r="H347" s="33">
        <v>0.4</v>
      </c>
      <c r="I347" s="48">
        <v>9.9</v>
      </c>
      <c r="J347" s="33">
        <v>8</v>
      </c>
      <c r="K347" s="33">
        <v>0.04</v>
      </c>
      <c r="L347" s="33">
        <v>0.02</v>
      </c>
      <c r="M347" s="33">
        <v>0.2</v>
      </c>
      <c r="N347" s="33">
        <v>0.7</v>
      </c>
      <c r="O347" s="33">
        <v>1.3</v>
      </c>
      <c r="P347" s="33">
        <v>5</v>
      </c>
      <c r="Q347" s="33">
        <v>0.4</v>
      </c>
      <c r="R347" s="33" t="s">
        <v>576</v>
      </c>
      <c r="S347" s="33">
        <v>25</v>
      </c>
      <c r="T347" s="33">
        <v>25</v>
      </c>
      <c r="U347" s="49"/>
    </row>
    <row r="348" spans="1:21">
      <c r="A348" s="50" t="s">
        <v>668</v>
      </c>
      <c r="B348" s="32"/>
      <c r="C348" s="33">
        <v>88</v>
      </c>
      <c r="D348" s="33">
        <v>43</v>
      </c>
      <c r="E348" s="33">
        <v>88.4</v>
      </c>
      <c r="F348" s="48">
        <v>0.7</v>
      </c>
      <c r="G348" s="48">
        <v>0.3</v>
      </c>
      <c r="H348" s="33">
        <v>1</v>
      </c>
      <c r="I348" s="48">
        <v>9.3000000000000007</v>
      </c>
      <c r="J348" s="33">
        <v>10</v>
      </c>
      <c r="K348" s="33">
        <v>0.03</v>
      </c>
      <c r="L348" s="33">
        <v>0.01</v>
      </c>
      <c r="M348" s="33">
        <v>0.3</v>
      </c>
      <c r="N348" s="32"/>
      <c r="O348" s="33">
        <v>1.8</v>
      </c>
      <c r="P348" s="33">
        <v>10</v>
      </c>
      <c r="Q348" s="33">
        <v>0.5</v>
      </c>
      <c r="R348" s="33" t="s">
        <v>576</v>
      </c>
      <c r="S348" s="33">
        <v>3</v>
      </c>
      <c r="T348" s="33">
        <v>25</v>
      </c>
      <c r="U348" s="49"/>
    </row>
    <row r="349" spans="1:21">
      <c r="A349" s="50" t="s">
        <v>669</v>
      </c>
      <c r="B349" s="33" t="s">
        <v>1686</v>
      </c>
      <c r="C349" s="33">
        <v>96</v>
      </c>
      <c r="D349" s="33">
        <v>37</v>
      </c>
      <c r="E349" s="33">
        <v>88.5</v>
      </c>
      <c r="F349" s="48">
        <v>0.4</v>
      </c>
      <c r="G349" s="48">
        <v>0.2</v>
      </c>
      <c r="H349" s="33">
        <v>2.2000000000000002</v>
      </c>
      <c r="I349" s="48">
        <v>8.5</v>
      </c>
      <c r="J349" s="32"/>
      <c r="K349" s="33">
        <v>0.03</v>
      </c>
      <c r="L349" s="33">
        <v>0.02</v>
      </c>
      <c r="M349" s="32"/>
      <c r="N349" s="33">
        <v>1.66</v>
      </c>
      <c r="O349" s="33">
        <v>1.5</v>
      </c>
      <c r="P349" s="33">
        <v>17</v>
      </c>
      <c r="Q349" s="33">
        <v>0.3</v>
      </c>
      <c r="R349" s="33" t="s">
        <v>576</v>
      </c>
      <c r="S349" s="33">
        <v>5</v>
      </c>
      <c r="T349" s="33">
        <v>25</v>
      </c>
      <c r="U349" s="49"/>
    </row>
    <row r="350" spans="1:21">
      <c r="A350" s="50" t="s">
        <v>670</v>
      </c>
      <c r="B350" s="32"/>
      <c r="C350" s="33">
        <v>84</v>
      </c>
      <c r="D350" s="33">
        <v>50</v>
      </c>
      <c r="E350" s="33">
        <v>87</v>
      </c>
      <c r="F350" s="48">
        <v>0.4</v>
      </c>
      <c r="G350" s="48">
        <v>0.2</v>
      </c>
      <c r="H350" s="33">
        <v>0.4</v>
      </c>
      <c r="I350" s="48">
        <v>11.6</v>
      </c>
      <c r="J350" s="33">
        <v>5</v>
      </c>
      <c r="K350" s="33">
        <v>0.03</v>
      </c>
      <c r="L350" s="33">
        <v>0.01</v>
      </c>
      <c r="M350" s="33">
        <v>0.1</v>
      </c>
      <c r="N350" s="33">
        <v>0.34</v>
      </c>
      <c r="O350" s="33">
        <v>2</v>
      </c>
      <c r="P350" s="33">
        <v>7</v>
      </c>
      <c r="Q350" s="33">
        <v>0.6</v>
      </c>
      <c r="R350" s="33" t="s">
        <v>576</v>
      </c>
      <c r="S350" s="33">
        <v>4</v>
      </c>
      <c r="T350" s="33">
        <v>25</v>
      </c>
      <c r="U350" s="49"/>
    </row>
    <row r="351" spans="1:21">
      <c r="A351" s="50" t="s">
        <v>671</v>
      </c>
      <c r="B351" s="33" t="s">
        <v>1687</v>
      </c>
      <c r="C351" s="33">
        <v>84</v>
      </c>
      <c r="D351" s="33">
        <v>40</v>
      </c>
      <c r="E351" s="33">
        <v>89.6</v>
      </c>
      <c r="F351" s="48">
        <v>0.5</v>
      </c>
      <c r="G351" s="48">
        <v>0.4</v>
      </c>
      <c r="H351" s="33">
        <v>0.4</v>
      </c>
      <c r="I351" s="48">
        <v>8.6999999999999993</v>
      </c>
      <c r="J351" s="33">
        <v>8</v>
      </c>
      <c r="K351" s="32"/>
      <c r="L351" s="33">
        <v>0.03</v>
      </c>
      <c r="M351" s="33">
        <v>0.8</v>
      </c>
      <c r="N351" s="32"/>
      <c r="O351" s="32"/>
      <c r="P351" s="32"/>
      <c r="Q351" s="32"/>
      <c r="R351" s="33" t="s">
        <v>576</v>
      </c>
      <c r="S351" s="32"/>
      <c r="T351" s="33">
        <v>25</v>
      </c>
      <c r="U351" s="49"/>
    </row>
    <row r="352" spans="1:21">
      <c r="A352" s="50" t="s">
        <v>672</v>
      </c>
      <c r="B352" s="33" t="s">
        <v>1686</v>
      </c>
      <c r="C352" s="33">
        <v>86</v>
      </c>
      <c r="D352" s="33">
        <v>50</v>
      </c>
      <c r="E352" s="33">
        <v>86.9</v>
      </c>
      <c r="F352" s="48">
        <v>0.4</v>
      </c>
      <c r="G352" s="48">
        <v>0.4</v>
      </c>
      <c r="H352" s="33">
        <v>1</v>
      </c>
      <c r="I352" s="48">
        <v>11.1</v>
      </c>
      <c r="J352" s="33">
        <v>3</v>
      </c>
      <c r="K352" s="33">
        <v>0.02</v>
      </c>
      <c r="L352" s="33">
        <v>0.02</v>
      </c>
      <c r="M352" s="33">
        <v>0.2</v>
      </c>
      <c r="N352" s="33">
        <v>0.86</v>
      </c>
      <c r="O352" s="33">
        <v>2.4</v>
      </c>
      <c r="P352" s="33">
        <v>8</v>
      </c>
      <c r="Q352" s="33">
        <v>0.1</v>
      </c>
      <c r="R352" s="33" t="s">
        <v>576</v>
      </c>
      <c r="S352" s="33">
        <v>4</v>
      </c>
      <c r="T352" s="33">
        <v>25</v>
      </c>
      <c r="U352" s="49"/>
    </row>
    <row r="353" spans="1:21">
      <c r="A353" s="50" t="s">
        <v>673</v>
      </c>
      <c r="B353" s="33" t="s">
        <v>1679</v>
      </c>
      <c r="C353" s="33">
        <v>100</v>
      </c>
      <c r="D353" s="33">
        <v>341</v>
      </c>
      <c r="E353" s="33">
        <v>11.6</v>
      </c>
      <c r="F353" s="48">
        <v>2.5</v>
      </c>
      <c r="G353" s="48">
        <v>0.4</v>
      </c>
      <c r="H353" s="33">
        <v>1.6</v>
      </c>
      <c r="I353" s="48">
        <v>81.8</v>
      </c>
      <c r="J353" s="32"/>
      <c r="K353" s="33">
        <v>0.09</v>
      </c>
      <c r="L353" s="32"/>
      <c r="M353" s="32"/>
      <c r="N353" s="32"/>
      <c r="O353" s="33">
        <v>19.100000000000001</v>
      </c>
      <c r="P353" s="33">
        <v>52</v>
      </c>
      <c r="Q353" s="33">
        <v>9.1</v>
      </c>
      <c r="R353" s="33" t="s">
        <v>576</v>
      </c>
      <c r="S353" s="33">
        <v>5</v>
      </c>
      <c r="T353" s="33">
        <v>25</v>
      </c>
      <c r="U353" s="49"/>
    </row>
    <row r="354" spans="1:21">
      <c r="A354" s="50" t="s">
        <v>674</v>
      </c>
      <c r="B354" s="32"/>
      <c r="C354" s="33">
        <v>100</v>
      </c>
      <c r="D354" s="33">
        <v>308</v>
      </c>
      <c r="E354" s="33">
        <v>20</v>
      </c>
      <c r="F354" s="48">
        <v>1.2</v>
      </c>
      <c r="G354" s="48">
        <v>0.6</v>
      </c>
      <c r="H354" s="33">
        <v>2.9</v>
      </c>
      <c r="I354" s="48">
        <v>74.5</v>
      </c>
      <c r="J354" s="33">
        <v>2</v>
      </c>
      <c r="K354" s="32"/>
      <c r="L354" s="33">
        <v>0.33</v>
      </c>
      <c r="M354" s="33">
        <v>0.1</v>
      </c>
      <c r="N354" s="33">
        <v>88</v>
      </c>
      <c r="O354" s="33">
        <v>222.8</v>
      </c>
      <c r="P354" s="33">
        <v>106</v>
      </c>
      <c r="Q354" s="33">
        <v>4</v>
      </c>
      <c r="R354" s="33" t="s">
        <v>576</v>
      </c>
      <c r="S354" s="33">
        <v>4</v>
      </c>
      <c r="T354" s="33">
        <v>25</v>
      </c>
      <c r="U354" s="49"/>
    </row>
    <row r="355" spans="1:21">
      <c r="A355" s="50" t="s">
        <v>675</v>
      </c>
      <c r="B355" s="33" t="s">
        <v>1628</v>
      </c>
      <c r="C355" s="33">
        <v>88</v>
      </c>
      <c r="D355" s="33">
        <v>80</v>
      </c>
      <c r="E355" s="33">
        <v>77.099999999999994</v>
      </c>
      <c r="F355" s="48">
        <v>0.6</v>
      </c>
      <c r="G355" s="48">
        <v>0.7</v>
      </c>
      <c r="H355" s="33">
        <v>3.5</v>
      </c>
      <c r="I355" s="48">
        <v>17.7</v>
      </c>
      <c r="J355" s="33">
        <v>8</v>
      </c>
      <c r="K355" s="32"/>
      <c r="L355" s="33">
        <v>0.25</v>
      </c>
      <c r="M355" s="33">
        <v>0.3</v>
      </c>
      <c r="N355" s="32"/>
      <c r="O355" s="33">
        <v>7.1</v>
      </c>
      <c r="P355" s="33">
        <v>13</v>
      </c>
      <c r="Q355" s="33">
        <v>0.2</v>
      </c>
      <c r="R355" s="33" t="s">
        <v>576</v>
      </c>
      <c r="S355" s="33">
        <v>12</v>
      </c>
      <c r="T355" s="33">
        <v>25</v>
      </c>
      <c r="U355" s="49"/>
    </row>
    <row r="356" spans="1:21">
      <c r="A356" s="50" t="s">
        <v>676</v>
      </c>
      <c r="B356" s="32"/>
      <c r="C356" s="33">
        <v>100</v>
      </c>
      <c r="D356" s="33">
        <v>49</v>
      </c>
      <c r="E356" s="33">
        <v>82.8</v>
      </c>
      <c r="F356" s="48">
        <v>1.7</v>
      </c>
      <c r="G356" s="48">
        <v>0.4</v>
      </c>
      <c r="H356" s="33">
        <v>4.0999999999999996</v>
      </c>
      <c r="I356" s="48">
        <v>9.6999999999999993</v>
      </c>
      <c r="J356" s="33">
        <v>5</v>
      </c>
      <c r="K356" s="33">
        <v>0.02</v>
      </c>
      <c r="L356" s="33">
        <v>0.06</v>
      </c>
      <c r="M356" s="32"/>
      <c r="N356" s="33">
        <v>9.8699999999999992</v>
      </c>
      <c r="O356" s="33">
        <v>2</v>
      </c>
      <c r="P356" s="33">
        <v>37</v>
      </c>
      <c r="Q356" s="33">
        <v>0.4</v>
      </c>
      <c r="R356" s="33" t="s">
        <v>576</v>
      </c>
      <c r="S356" s="32"/>
      <c r="T356" s="33">
        <v>25</v>
      </c>
      <c r="U356" s="49"/>
    </row>
    <row r="357" spans="1:21">
      <c r="A357" s="50" t="s">
        <v>677</v>
      </c>
      <c r="B357" s="33" t="s">
        <v>1688</v>
      </c>
      <c r="C357" s="33">
        <v>100</v>
      </c>
      <c r="D357" s="33">
        <v>239</v>
      </c>
      <c r="E357" s="33">
        <v>10.7</v>
      </c>
      <c r="F357" s="48">
        <v>21.1</v>
      </c>
      <c r="G357" s="48">
        <v>6.1</v>
      </c>
      <c r="H357" s="33">
        <v>29.3</v>
      </c>
      <c r="I357" s="48">
        <v>24.9</v>
      </c>
      <c r="J357" s="32"/>
      <c r="K357" s="33">
        <v>0.35</v>
      </c>
      <c r="L357" s="33">
        <v>0.61</v>
      </c>
      <c r="M357" s="33">
        <v>4.8</v>
      </c>
      <c r="N357" s="33">
        <v>32.68</v>
      </c>
      <c r="O357" s="33">
        <v>28.1</v>
      </c>
      <c r="P357" s="33">
        <v>622</v>
      </c>
      <c r="Q357" s="33">
        <v>42.5</v>
      </c>
      <c r="R357" s="33" t="s">
        <v>576</v>
      </c>
      <c r="S357" s="33">
        <v>7</v>
      </c>
      <c r="T357" s="33">
        <v>25</v>
      </c>
      <c r="U357" s="49"/>
    </row>
    <row r="358" spans="1:21">
      <c r="A358" s="50" t="s">
        <v>678</v>
      </c>
      <c r="B358" s="32"/>
      <c r="C358" s="33">
        <v>87</v>
      </c>
      <c r="D358" s="33">
        <v>71</v>
      </c>
      <c r="E358" s="33">
        <v>80.599999999999994</v>
      </c>
      <c r="F358" s="48">
        <v>0.4</v>
      </c>
      <c r="G358" s="48">
        <v>0.1</v>
      </c>
      <c r="H358" s="33">
        <v>1.4</v>
      </c>
      <c r="I358" s="48">
        <v>17.100000000000001</v>
      </c>
      <c r="J358" s="33">
        <v>20</v>
      </c>
      <c r="K358" s="33">
        <v>0.02</v>
      </c>
      <c r="L358" s="33">
        <v>0.02</v>
      </c>
      <c r="M358" s="33">
        <v>0.3</v>
      </c>
      <c r="N358" s="33">
        <v>1.1200000000000001</v>
      </c>
      <c r="O358" s="33">
        <v>0.8</v>
      </c>
      <c r="P358" s="33">
        <v>9</v>
      </c>
      <c r="Q358" s="33">
        <v>0.2</v>
      </c>
      <c r="R358" s="33" t="s">
        <v>576</v>
      </c>
      <c r="S358" s="33">
        <v>30</v>
      </c>
      <c r="T358" s="33">
        <v>25</v>
      </c>
      <c r="U358" s="49"/>
    </row>
    <row r="359" spans="1:21">
      <c r="A359" s="50" t="s">
        <v>679</v>
      </c>
      <c r="B359" s="33" t="s">
        <v>1618</v>
      </c>
      <c r="C359" s="33">
        <v>98</v>
      </c>
      <c r="D359" s="33">
        <v>76</v>
      </c>
      <c r="E359" s="33">
        <v>79.400000000000006</v>
      </c>
      <c r="F359" s="48">
        <v>0.7</v>
      </c>
      <c r="G359" s="48">
        <v>0.1</v>
      </c>
      <c r="H359" s="33">
        <v>1.5</v>
      </c>
      <c r="I359" s="48">
        <v>18.100000000000001</v>
      </c>
      <c r="J359" s="33">
        <v>17</v>
      </c>
      <c r="K359" s="33">
        <v>0.01</v>
      </c>
      <c r="L359" s="32"/>
      <c r="M359" s="33">
        <v>0.2</v>
      </c>
      <c r="N359" s="33">
        <v>1.33</v>
      </c>
      <c r="O359" s="33">
        <v>4.7</v>
      </c>
      <c r="P359" s="33">
        <v>5</v>
      </c>
      <c r="Q359" s="33">
        <v>0.2</v>
      </c>
      <c r="R359" s="33" t="s">
        <v>576</v>
      </c>
      <c r="S359" s="33">
        <v>10</v>
      </c>
      <c r="T359" s="33">
        <v>25</v>
      </c>
      <c r="U359" s="49"/>
    </row>
    <row r="360" spans="1:21">
      <c r="A360" s="50" t="s">
        <v>680</v>
      </c>
      <c r="B360" s="33" t="s">
        <v>1689</v>
      </c>
      <c r="C360" s="33">
        <v>98</v>
      </c>
      <c r="D360" s="33">
        <v>57</v>
      </c>
      <c r="E360" s="33">
        <v>81.7</v>
      </c>
      <c r="F360" s="48">
        <v>0.6</v>
      </c>
      <c r="G360" s="48">
        <v>0.2</v>
      </c>
      <c r="H360" s="33">
        <v>3.8</v>
      </c>
      <c r="I360" s="48">
        <v>13.3</v>
      </c>
      <c r="J360" s="33">
        <v>73</v>
      </c>
      <c r="K360" s="33">
        <v>0.03</v>
      </c>
      <c r="L360" s="33">
        <v>0.04</v>
      </c>
      <c r="M360" s="33">
        <v>0.3</v>
      </c>
      <c r="N360" s="33">
        <v>2.95</v>
      </c>
      <c r="O360" s="33">
        <v>1.1000000000000001</v>
      </c>
      <c r="P360" s="33">
        <v>9</v>
      </c>
      <c r="Q360" s="33">
        <v>0.2</v>
      </c>
      <c r="R360" s="33" t="s">
        <v>576</v>
      </c>
      <c r="S360" s="33">
        <v>11</v>
      </c>
      <c r="T360" s="33">
        <v>25</v>
      </c>
      <c r="U360" s="49"/>
    </row>
    <row r="361" spans="1:21">
      <c r="A361" s="50" t="s">
        <v>681</v>
      </c>
      <c r="B361" s="33" t="s">
        <v>1618</v>
      </c>
      <c r="C361" s="33">
        <v>97</v>
      </c>
      <c r="D361" s="33">
        <v>250</v>
      </c>
      <c r="E361" s="33">
        <v>33.799999999999997</v>
      </c>
      <c r="F361" s="48">
        <v>1.8</v>
      </c>
      <c r="G361" s="48">
        <v>0.2</v>
      </c>
      <c r="H361" s="33">
        <v>2.6</v>
      </c>
      <c r="I361" s="48">
        <v>60.2</v>
      </c>
      <c r="J361" s="33">
        <v>48</v>
      </c>
      <c r="K361" s="33">
        <v>0.01</v>
      </c>
      <c r="L361" s="32"/>
      <c r="M361" s="33">
        <v>0.5</v>
      </c>
      <c r="N361" s="33">
        <v>0.63</v>
      </c>
      <c r="O361" s="33">
        <v>6.4</v>
      </c>
      <c r="P361" s="33">
        <v>54</v>
      </c>
      <c r="Q361" s="33">
        <v>2.7</v>
      </c>
      <c r="R361" s="33" t="s">
        <v>576</v>
      </c>
      <c r="S361" s="32"/>
      <c r="T361" s="33">
        <v>25</v>
      </c>
      <c r="U361" s="49"/>
    </row>
    <row r="362" spans="1:21">
      <c r="A362" s="50" t="s">
        <v>682</v>
      </c>
      <c r="B362" s="33" t="s">
        <v>1690</v>
      </c>
      <c r="C362" s="33">
        <v>57</v>
      </c>
      <c r="D362" s="33">
        <v>64</v>
      </c>
      <c r="E362" s="33">
        <v>78.7</v>
      </c>
      <c r="F362" s="48">
        <v>1.3</v>
      </c>
      <c r="G362" s="48">
        <v>0.1</v>
      </c>
      <c r="H362" s="33">
        <v>4.9000000000000004</v>
      </c>
      <c r="I362" s="48">
        <v>14.5</v>
      </c>
      <c r="J362" s="32"/>
      <c r="K362" s="33">
        <v>0.05</v>
      </c>
      <c r="L362" s="33">
        <v>0.03</v>
      </c>
      <c r="M362" s="32"/>
      <c r="N362" s="33">
        <v>3.72</v>
      </c>
      <c r="O362" s="33">
        <v>0.8</v>
      </c>
      <c r="P362" s="33">
        <v>16</v>
      </c>
      <c r="Q362" s="33">
        <v>0.2</v>
      </c>
      <c r="R362" s="33" t="s">
        <v>576</v>
      </c>
      <c r="S362" s="33">
        <v>13</v>
      </c>
      <c r="T362" s="33">
        <v>25</v>
      </c>
      <c r="U362" s="49"/>
    </row>
    <row r="363" spans="1:21">
      <c r="A363" s="50" t="s">
        <v>683</v>
      </c>
      <c r="B363" s="33" t="s">
        <v>1690</v>
      </c>
      <c r="C363" s="33">
        <v>60</v>
      </c>
      <c r="D363" s="33">
        <v>63</v>
      </c>
      <c r="E363" s="33">
        <v>79.2</v>
      </c>
      <c r="F363" s="48">
        <v>1.6</v>
      </c>
      <c r="G363" s="48">
        <v>0.2</v>
      </c>
      <c r="H363" s="33">
        <v>4.7</v>
      </c>
      <c r="I363" s="48">
        <v>13.7</v>
      </c>
      <c r="J363" s="32"/>
      <c r="K363" s="33">
        <v>0.05</v>
      </c>
      <c r="L363" s="33">
        <v>0.03</v>
      </c>
      <c r="M363" s="32"/>
      <c r="N363" s="33">
        <v>2.2799999999999998</v>
      </c>
      <c r="O363" s="33">
        <v>0.7</v>
      </c>
      <c r="P363" s="33">
        <v>6</v>
      </c>
      <c r="Q363" s="33">
        <v>0.4</v>
      </c>
      <c r="R363" s="33" t="s">
        <v>576</v>
      </c>
      <c r="S363" s="33">
        <v>5</v>
      </c>
      <c r="T363" s="33">
        <v>25</v>
      </c>
      <c r="U363" s="49"/>
    </row>
    <row r="364" spans="1:21">
      <c r="A364" s="50" t="s">
        <v>684</v>
      </c>
      <c r="B364" s="33" t="s">
        <v>1690</v>
      </c>
      <c r="C364" s="33">
        <v>55</v>
      </c>
      <c r="D364" s="33">
        <v>61</v>
      </c>
      <c r="E364" s="33">
        <v>79.5</v>
      </c>
      <c r="F364" s="48">
        <v>1.2</v>
      </c>
      <c r="G364" s="48">
        <v>0.2</v>
      </c>
      <c r="H364" s="33">
        <v>4.9000000000000004</v>
      </c>
      <c r="I364" s="48">
        <v>13.6</v>
      </c>
      <c r="J364" s="32"/>
      <c r="K364" s="33">
        <v>0.05</v>
      </c>
      <c r="L364" s="33">
        <v>0.03</v>
      </c>
      <c r="M364" s="32"/>
      <c r="N364" s="33">
        <v>4.53</v>
      </c>
      <c r="O364" s="33">
        <v>1.3</v>
      </c>
      <c r="P364" s="33">
        <v>6</v>
      </c>
      <c r="Q364" s="33">
        <v>0.2</v>
      </c>
      <c r="R364" s="33" t="s">
        <v>576</v>
      </c>
      <c r="S364" s="33">
        <v>8</v>
      </c>
      <c r="T364" s="33">
        <v>25</v>
      </c>
      <c r="U364" s="49"/>
    </row>
    <row r="365" spans="1:21">
      <c r="A365" s="50" t="s">
        <v>685</v>
      </c>
      <c r="B365" s="33" t="s">
        <v>1691</v>
      </c>
      <c r="C365" s="33">
        <v>16</v>
      </c>
      <c r="D365" s="33">
        <v>107</v>
      </c>
      <c r="E365" s="33">
        <v>70.7</v>
      </c>
      <c r="F365" s="48">
        <v>2.8</v>
      </c>
      <c r="G365" s="48">
        <v>0.3</v>
      </c>
      <c r="H365" s="33">
        <v>2.2000000000000002</v>
      </c>
      <c r="I365" s="48">
        <v>23.3</v>
      </c>
      <c r="J365" s="33">
        <v>25</v>
      </c>
      <c r="K365" s="33">
        <v>0.02</v>
      </c>
      <c r="L365" s="33">
        <v>0.04</v>
      </c>
      <c r="M365" s="33">
        <v>0.2</v>
      </c>
      <c r="N365" s="33">
        <v>1.52</v>
      </c>
      <c r="O365" s="33">
        <v>8.3000000000000007</v>
      </c>
      <c r="P365" s="33">
        <v>105</v>
      </c>
      <c r="Q365" s="33">
        <v>11.7</v>
      </c>
      <c r="R365" s="33" t="s">
        <v>576</v>
      </c>
      <c r="S365" s="33">
        <v>74</v>
      </c>
      <c r="T365" s="33">
        <v>25</v>
      </c>
      <c r="U365" s="49"/>
    </row>
    <row r="366" spans="1:21">
      <c r="A366" s="50" t="s">
        <v>686</v>
      </c>
      <c r="B366" s="33" t="s">
        <v>1618</v>
      </c>
      <c r="C366" s="33">
        <v>52</v>
      </c>
      <c r="D366" s="33">
        <v>278</v>
      </c>
      <c r="E366" s="33">
        <v>18.3</v>
      </c>
      <c r="F366" s="48">
        <v>3.5</v>
      </c>
      <c r="G366" s="48">
        <v>1.5</v>
      </c>
      <c r="H366" s="33">
        <v>10.6</v>
      </c>
      <c r="I366" s="48">
        <v>62.7</v>
      </c>
      <c r="J366" s="32"/>
      <c r="K366" s="33">
        <v>0.01</v>
      </c>
      <c r="L366" s="33">
        <v>0.02</v>
      </c>
      <c r="M366" s="33">
        <v>0.9</v>
      </c>
      <c r="N366" s="32"/>
      <c r="O366" s="33">
        <v>3.8</v>
      </c>
      <c r="P366" s="33">
        <v>435</v>
      </c>
      <c r="Q366" s="33">
        <v>6.6</v>
      </c>
      <c r="R366" s="33" t="s">
        <v>576</v>
      </c>
      <c r="S366" s="32"/>
      <c r="T366" s="33">
        <v>25</v>
      </c>
      <c r="U366" s="49"/>
    </row>
    <row r="367" spans="1:21">
      <c r="A367" s="50" t="s">
        <v>687</v>
      </c>
      <c r="B367" s="32"/>
      <c r="C367" s="33">
        <v>86</v>
      </c>
      <c r="D367" s="33">
        <v>48</v>
      </c>
      <c r="E367" s="33">
        <v>86.4</v>
      </c>
      <c r="F367" s="48">
        <v>0.9</v>
      </c>
      <c r="G367" s="48">
        <v>0.1</v>
      </c>
      <c r="H367" s="33">
        <v>1.3</v>
      </c>
      <c r="I367" s="48">
        <v>10.9</v>
      </c>
      <c r="J367" s="33">
        <v>3</v>
      </c>
      <c r="K367" s="33">
        <v>0.01</v>
      </c>
      <c r="L367" s="33">
        <v>0.03</v>
      </c>
      <c r="M367" s="33">
        <v>0.7</v>
      </c>
      <c r="N367" s="33">
        <v>1.54</v>
      </c>
      <c r="O367" s="33">
        <v>5.7</v>
      </c>
      <c r="P367" s="33">
        <v>6</v>
      </c>
      <c r="Q367" s="33">
        <v>0.8</v>
      </c>
      <c r="R367" s="33" t="s">
        <v>576</v>
      </c>
      <c r="S367" s="33">
        <v>7</v>
      </c>
      <c r="T367" s="33">
        <v>25</v>
      </c>
      <c r="U367" s="49"/>
    </row>
    <row r="368" spans="1:21">
      <c r="A368" s="50" t="s">
        <v>688</v>
      </c>
      <c r="B368" s="33" t="s">
        <v>1656</v>
      </c>
      <c r="C368" s="33">
        <v>93</v>
      </c>
      <c r="D368" s="33">
        <v>24</v>
      </c>
      <c r="E368" s="33">
        <v>92.7</v>
      </c>
      <c r="F368" s="48">
        <v>1.3</v>
      </c>
      <c r="G368" s="48">
        <v>0.1</v>
      </c>
      <c r="H368" s="33">
        <v>0.9</v>
      </c>
      <c r="I368" s="48">
        <v>4.5999999999999996</v>
      </c>
      <c r="J368" s="32"/>
      <c r="K368" s="33">
        <v>0.01</v>
      </c>
      <c r="L368" s="33">
        <v>0.04</v>
      </c>
      <c r="M368" s="33">
        <v>0.2</v>
      </c>
      <c r="N368" s="32"/>
      <c r="O368" s="32"/>
      <c r="P368" s="32"/>
      <c r="Q368" s="32"/>
      <c r="R368" s="33" t="s">
        <v>576</v>
      </c>
      <c r="S368" s="33">
        <v>9</v>
      </c>
      <c r="T368" s="33">
        <v>25</v>
      </c>
      <c r="U368" s="49"/>
    </row>
    <row r="369" spans="1:21">
      <c r="A369" s="50" t="s">
        <v>689</v>
      </c>
      <c r="B369" s="33" t="s">
        <v>1677</v>
      </c>
      <c r="C369" s="33">
        <v>69</v>
      </c>
      <c r="D369" s="33">
        <v>40</v>
      </c>
      <c r="E369" s="33">
        <v>88.5</v>
      </c>
      <c r="F369" s="48">
        <v>0.7</v>
      </c>
      <c r="G369" s="48">
        <v>0.2</v>
      </c>
      <c r="H369" s="33">
        <v>1.3</v>
      </c>
      <c r="I369" s="48">
        <v>8.8000000000000007</v>
      </c>
      <c r="J369" s="33">
        <v>3</v>
      </c>
      <c r="K369" s="33">
        <v>0.04</v>
      </c>
      <c r="L369" s="33">
        <v>0.01</v>
      </c>
      <c r="M369" s="32"/>
      <c r="N369" s="33">
        <v>1.05</v>
      </c>
      <c r="O369" s="33">
        <v>0.7</v>
      </c>
      <c r="P369" s="33">
        <v>7</v>
      </c>
      <c r="Q369" s="33">
        <v>0.8</v>
      </c>
      <c r="R369" s="33" t="s">
        <v>576</v>
      </c>
      <c r="S369" s="33">
        <v>10</v>
      </c>
      <c r="T369" s="33">
        <v>25</v>
      </c>
      <c r="U369" s="49"/>
    </row>
    <row r="370" spans="1:21">
      <c r="A370" s="50" t="s">
        <v>690</v>
      </c>
      <c r="B370" s="33" t="s">
        <v>1618</v>
      </c>
      <c r="C370" s="33">
        <v>89</v>
      </c>
      <c r="D370" s="33">
        <v>46</v>
      </c>
      <c r="E370" s="33">
        <v>87.3</v>
      </c>
      <c r="F370" s="48">
        <v>0.9</v>
      </c>
      <c r="G370" s="48">
        <v>0.1</v>
      </c>
      <c r="H370" s="33">
        <v>0.8</v>
      </c>
      <c r="I370" s="48">
        <v>10.5</v>
      </c>
      <c r="J370" s="33">
        <v>2</v>
      </c>
      <c r="K370" s="33">
        <v>0.03</v>
      </c>
      <c r="L370" s="33">
        <v>0.02</v>
      </c>
      <c r="M370" s="33">
        <v>0.8</v>
      </c>
      <c r="N370" s="33">
        <v>0.53</v>
      </c>
      <c r="O370" s="33">
        <v>1.8</v>
      </c>
      <c r="P370" s="33">
        <v>12</v>
      </c>
      <c r="Q370" s="33">
        <v>0.2</v>
      </c>
      <c r="R370" s="33" t="s">
        <v>576</v>
      </c>
      <c r="S370" s="33">
        <v>10</v>
      </c>
      <c r="T370" s="33">
        <v>25</v>
      </c>
      <c r="U370" s="49"/>
    </row>
    <row r="371" spans="1:21">
      <c r="A371" s="50" t="s">
        <v>691</v>
      </c>
      <c r="B371" s="33" t="s">
        <v>1644</v>
      </c>
      <c r="C371" s="33">
        <v>93</v>
      </c>
      <c r="D371" s="33">
        <v>54</v>
      </c>
      <c r="E371" s="33">
        <v>85.2</v>
      </c>
      <c r="F371" s="48">
        <v>0.5</v>
      </c>
      <c r="G371" s="48">
        <v>0.1</v>
      </c>
      <c r="H371" s="33">
        <v>1.2</v>
      </c>
      <c r="I371" s="48">
        <v>12.8</v>
      </c>
      <c r="J371" s="33">
        <v>15</v>
      </c>
      <c r="K371" s="32"/>
      <c r="L371" s="33">
        <v>0.01</v>
      </c>
      <c r="M371" s="33">
        <v>0.3</v>
      </c>
      <c r="N371" s="33">
        <v>0.92</v>
      </c>
      <c r="O371" s="32"/>
      <c r="P371" s="32"/>
      <c r="Q371" s="32"/>
      <c r="R371" s="33" t="s">
        <v>576</v>
      </c>
      <c r="S371" s="33">
        <v>9</v>
      </c>
      <c r="T371" s="33">
        <v>25</v>
      </c>
      <c r="U371" s="49"/>
    </row>
    <row r="372" spans="1:21">
      <c r="A372" s="50" t="s">
        <v>692</v>
      </c>
      <c r="B372" s="33" t="s">
        <v>1656</v>
      </c>
      <c r="C372" s="33">
        <v>88</v>
      </c>
      <c r="D372" s="33">
        <v>26</v>
      </c>
      <c r="E372" s="33">
        <v>92.2</v>
      </c>
      <c r="F372" s="48">
        <v>0.7</v>
      </c>
      <c r="G372" s="48">
        <v>0.1</v>
      </c>
      <c r="H372" s="33">
        <v>1</v>
      </c>
      <c r="I372" s="48">
        <v>5.6</v>
      </c>
      <c r="J372" s="32"/>
      <c r="K372" s="32"/>
      <c r="L372" s="33">
        <v>0.03</v>
      </c>
      <c r="M372" s="33">
        <v>0.2</v>
      </c>
      <c r="N372" s="32"/>
      <c r="O372" s="32"/>
      <c r="P372" s="32"/>
      <c r="Q372" s="32"/>
      <c r="R372" s="33" t="s">
        <v>576</v>
      </c>
      <c r="S372" s="33">
        <v>9</v>
      </c>
      <c r="T372" s="33">
        <v>25</v>
      </c>
      <c r="U372" s="49"/>
    </row>
    <row r="373" spans="1:21">
      <c r="A373" s="50" t="s">
        <v>693</v>
      </c>
      <c r="B373" s="32"/>
      <c r="C373" s="33">
        <v>94</v>
      </c>
      <c r="D373" s="33">
        <v>41</v>
      </c>
      <c r="E373" s="33">
        <v>89</v>
      </c>
      <c r="F373" s="48">
        <v>0.6</v>
      </c>
      <c r="G373" s="48">
        <v>0.1</v>
      </c>
      <c r="H373" s="33">
        <v>0.6</v>
      </c>
      <c r="I373" s="48">
        <v>9.4</v>
      </c>
      <c r="J373" s="32"/>
      <c r="K373" s="33">
        <v>0.04</v>
      </c>
      <c r="L373" s="33">
        <v>0.04</v>
      </c>
      <c r="M373" s="33">
        <v>1.2</v>
      </c>
      <c r="N373" s="33">
        <v>1.1499999999999999</v>
      </c>
      <c r="O373" s="33">
        <v>2</v>
      </c>
      <c r="P373" s="33">
        <v>10</v>
      </c>
      <c r="Q373" s="33">
        <v>0.4</v>
      </c>
      <c r="R373" s="33" t="s">
        <v>576</v>
      </c>
      <c r="S373" s="33">
        <v>8</v>
      </c>
      <c r="T373" s="33">
        <v>25</v>
      </c>
      <c r="U373" s="49"/>
    </row>
    <row r="374" spans="1:21">
      <c r="A374" s="50" t="s">
        <v>694</v>
      </c>
      <c r="B374" s="33" t="s">
        <v>1628</v>
      </c>
      <c r="C374" s="33">
        <v>69</v>
      </c>
      <c r="D374" s="33">
        <v>33</v>
      </c>
      <c r="E374" s="33">
        <v>88.7</v>
      </c>
      <c r="F374" s="48">
        <v>0.5</v>
      </c>
      <c r="G374" s="48">
        <v>0.2</v>
      </c>
      <c r="H374" s="33">
        <v>2.8</v>
      </c>
      <c r="I374" s="48">
        <v>7.4</v>
      </c>
      <c r="J374" s="32"/>
      <c r="K374" s="32"/>
      <c r="L374" s="33">
        <v>0.02</v>
      </c>
      <c r="M374" s="33">
        <v>0.1</v>
      </c>
      <c r="N374" s="33">
        <v>0.7</v>
      </c>
      <c r="O374" s="33">
        <v>1</v>
      </c>
      <c r="P374" s="33">
        <v>4</v>
      </c>
      <c r="Q374" s="33">
        <v>0.3</v>
      </c>
      <c r="R374" s="33" t="s">
        <v>576</v>
      </c>
      <c r="S374" s="33">
        <v>25</v>
      </c>
      <c r="T374" s="33">
        <v>25</v>
      </c>
      <c r="U374" s="49"/>
    </row>
    <row r="375" spans="1:21">
      <c r="A375" s="50" t="s">
        <v>695</v>
      </c>
      <c r="B375" s="32"/>
      <c r="C375" s="33">
        <v>88</v>
      </c>
      <c r="D375" s="33">
        <v>41</v>
      </c>
      <c r="E375" s="33">
        <v>88.7</v>
      </c>
      <c r="F375" s="48">
        <v>0.9</v>
      </c>
      <c r="G375" s="48">
        <v>0.2</v>
      </c>
      <c r="H375" s="33">
        <v>0.8</v>
      </c>
      <c r="I375" s="48">
        <v>9</v>
      </c>
      <c r="J375" s="33">
        <v>2</v>
      </c>
      <c r="K375" s="33">
        <v>0.02</v>
      </c>
      <c r="L375" s="33">
        <v>0.03</v>
      </c>
      <c r="M375" s="33">
        <v>1</v>
      </c>
      <c r="N375" s="33">
        <v>1</v>
      </c>
      <c r="O375" s="33">
        <v>2.9</v>
      </c>
      <c r="P375" s="33">
        <v>10</v>
      </c>
      <c r="Q375" s="33">
        <v>0.5</v>
      </c>
      <c r="R375" s="33" t="s">
        <v>576</v>
      </c>
      <c r="S375" s="33">
        <v>4</v>
      </c>
      <c r="T375" s="33">
        <v>25</v>
      </c>
      <c r="U375" s="49"/>
    </row>
    <row r="376" spans="1:21">
      <c r="A376" s="50" t="s">
        <v>696</v>
      </c>
      <c r="B376" s="33" t="s">
        <v>1677</v>
      </c>
      <c r="C376" s="33">
        <v>75</v>
      </c>
      <c r="D376" s="33">
        <v>39</v>
      </c>
      <c r="E376" s="33">
        <v>89</v>
      </c>
      <c r="F376" s="48">
        <v>0.7</v>
      </c>
      <c r="G376" s="48">
        <v>0.2</v>
      </c>
      <c r="H376" s="33">
        <v>1</v>
      </c>
      <c r="I376" s="48">
        <v>8.6</v>
      </c>
      <c r="J376" s="33">
        <v>3</v>
      </c>
      <c r="K376" s="33">
        <v>0.05</v>
      </c>
      <c r="L376" s="33">
        <v>0.01</v>
      </c>
      <c r="M376" s="32"/>
      <c r="N376" s="33">
        <v>0.21</v>
      </c>
      <c r="O376" s="33">
        <v>0.5</v>
      </c>
      <c r="P376" s="33">
        <v>6</v>
      </c>
      <c r="Q376" s="33">
        <v>0.3</v>
      </c>
      <c r="R376" s="33" t="s">
        <v>576</v>
      </c>
      <c r="S376" s="33">
        <v>11</v>
      </c>
      <c r="T376" s="33">
        <v>25</v>
      </c>
      <c r="U376" s="49"/>
    </row>
    <row r="377" spans="1:21">
      <c r="A377" s="50" t="s">
        <v>697</v>
      </c>
      <c r="B377" s="33" t="s">
        <v>1692</v>
      </c>
      <c r="C377" s="33">
        <v>93</v>
      </c>
      <c r="D377" s="33">
        <v>44</v>
      </c>
      <c r="E377" s="33">
        <v>88.8</v>
      </c>
      <c r="F377" s="48">
        <v>0.6</v>
      </c>
      <c r="G377" s="48">
        <v>0.1</v>
      </c>
      <c r="H377" s="32"/>
      <c r="I377" s="48">
        <v>10.1</v>
      </c>
      <c r="J377" s="32"/>
      <c r="K377" s="33">
        <v>0.01</v>
      </c>
      <c r="L377" s="33">
        <v>0.21</v>
      </c>
      <c r="M377" s="33">
        <v>0.1</v>
      </c>
      <c r="N377" s="33">
        <v>0.76</v>
      </c>
      <c r="O377" s="33">
        <v>2.1</v>
      </c>
      <c r="P377" s="32"/>
      <c r="Q377" s="33">
        <v>0.3</v>
      </c>
      <c r="R377" s="33" t="s">
        <v>576</v>
      </c>
      <c r="S377" s="32"/>
      <c r="T377" s="33">
        <v>25</v>
      </c>
      <c r="U377" s="49"/>
    </row>
    <row r="378" spans="1:21">
      <c r="A378" s="50" t="s">
        <v>698</v>
      </c>
      <c r="B378" s="33" t="s">
        <v>1692</v>
      </c>
      <c r="C378" s="33">
        <v>93</v>
      </c>
      <c r="D378" s="33">
        <v>42</v>
      </c>
      <c r="E378" s="33">
        <v>89.4</v>
      </c>
      <c r="F378" s="48">
        <v>0.4</v>
      </c>
      <c r="G378" s="48">
        <v>0.1</v>
      </c>
      <c r="H378" s="32"/>
      <c r="I378" s="48">
        <v>10</v>
      </c>
      <c r="J378" s="32"/>
      <c r="K378" s="32"/>
      <c r="L378" s="33">
        <v>0.28999999999999998</v>
      </c>
      <c r="M378" s="32"/>
      <c r="N378" s="33">
        <v>0.67</v>
      </c>
      <c r="O378" s="32"/>
      <c r="P378" s="33">
        <v>7</v>
      </c>
      <c r="Q378" s="33">
        <v>0.3</v>
      </c>
      <c r="R378" s="33" t="s">
        <v>576</v>
      </c>
      <c r="S378" s="32"/>
      <c r="T378" s="33">
        <v>25</v>
      </c>
      <c r="U378" s="49"/>
    </row>
    <row r="379" spans="1:21">
      <c r="A379" s="50" t="s">
        <v>699</v>
      </c>
      <c r="B379" s="33" t="s">
        <v>1677</v>
      </c>
      <c r="C379" s="33">
        <v>73</v>
      </c>
      <c r="D379" s="33">
        <v>38</v>
      </c>
      <c r="E379" s="33">
        <v>89</v>
      </c>
      <c r="F379" s="48">
        <v>0.4</v>
      </c>
      <c r="G379" s="48">
        <v>0.1</v>
      </c>
      <c r="H379" s="33">
        <v>1.1000000000000001</v>
      </c>
      <c r="I379" s="48">
        <v>9</v>
      </c>
      <c r="J379" s="33">
        <v>10</v>
      </c>
      <c r="K379" s="33">
        <v>0.05</v>
      </c>
      <c r="L379" s="33">
        <v>0.02</v>
      </c>
      <c r="M379" s="32"/>
      <c r="N379" s="33">
        <v>0.71</v>
      </c>
      <c r="O379" s="33">
        <v>1.3</v>
      </c>
      <c r="P379" s="33">
        <v>4</v>
      </c>
      <c r="Q379" s="33">
        <v>0.4</v>
      </c>
      <c r="R379" s="33" t="s">
        <v>576</v>
      </c>
      <c r="S379" s="33">
        <v>12</v>
      </c>
      <c r="T379" s="33">
        <v>25</v>
      </c>
      <c r="U379" s="49"/>
    </row>
    <row r="380" spans="1:21">
      <c r="A380" s="50" t="s">
        <v>700</v>
      </c>
      <c r="B380" s="33" t="s">
        <v>1618</v>
      </c>
      <c r="C380" s="33">
        <v>100</v>
      </c>
      <c r="D380" s="33">
        <v>58</v>
      </c>
      <c r="E380" s="33">
        <v>84.9</v>
      </c>
      <c r="F380" s="48">
        <v>0.3</v>
      </c>
      <c r="G380" s="51"/>
      <c r="H380" s="33">
        <v>0.4</v>
      </c>
      <c r="I380" s="48">
        <v>14.3</v>
      </c>
      <c r="J380" s="32"/>
      <c r="K380" s="32"/>
      <c r="L380" s="33">
        <v>0.04</v>
      </c>
      <c r="M380" s="33">
        <v>0.2</v>
      </c>
      <c r="N380" s="33">
        <v>0.75</v>
      </c>
      <c r="O380" s="33">
        <v>28</v>
      </c>
      <c r="P380" s="33">
        <v>16</v>
      </c>
      <c r="Q380" s="33">
        <v>0.4</v>
      </c>
      <c r="R380" s="33" t="s">
        <v>576</v>
      </c>
      <c r="S380" s="32"/>
      <c r="T380" s="33">
        <v>25</v>
      </c>
      <c r="U380" s="49"/>
    </row>
    <row r="381" spans="1:21">
      <c r="A381" s="50" t="s">
        <v>701</v>
      </c>
      <c r="B381" s="33" t="s">
        <v>1618</v>
      </c>
      <c r="C381" s="33">
        <v>100</v>
      </c>
      <c r="D381" s="33">
        <v>273</v>
      </c>
      <c r="E381" s="33">
        <v>31.2</v>
      </c>
      <c r="F381" s="48">
        <v>0.4</v>
      </c>
      <c r="G381" s="48">
        <v>0.2</v>
      </c>
      <c r="H381" s="33">
        <v>0.5</v>
      </c>
      <c r="I381" s="48">
        <v>67.5</v>
      </c>
      <c r="J381" s="32"/>
      <c r="K381" s="33">
        <v>0.01</v>
      </c>
      <c r="L381" s="33">
        <v>0.01</v>
      </c>
      <c r="M381" s="33">
        <v>0.5</v>
      </c>
      <c r="N381" s="33">
        <v>0.43</v>
      </c>
      <c r="O381" s="33">
        <v>14.2</v>
      </c>
      <c r="P381" s="33">
        <v>5</v>
      </c>
      <c r="Q381" s="33">
        <v>1.3</v>
      </c>
      <c r="R381" s="33" t="s">
        <v>576</v>
      </c>
      <c r="S381" s="33">
        <v>3</v>
      </c>
      <c r="T381" s="33">
        <v>25</v>
      </c>
      <c r="U381" s="49"/>
    </row>
    <row r="382" spans="1:21">
      <c r="A382" s="50" t="s">
        <v>702</v>
      </c>
      <c r="B382" s="32"/>
      <c r="C382" s="33">
        <v>100</v>
      </c>
      <c r="D382" s="33">
        <v>310</v>
      </c>
      <c r="E382" s="33">
        <v>19.2</v>
      </c>
      <c r="F382" s="48">
        <v>1.4</v>
      </c>
      <c r="G382" s="48">
        <v>0.4</v>
      </c>
      <c r="H382" s="33">
        <v>2.4</v>
      </c>
      <c r="I382" s="48">
        <v>75.2</v>
      </c>
      <c r="J382" s="33">
        <v>8</v>
      </c>
      <c r="K382" s="33">
        <v>0.01</v>
      </c>
      <c r="L382" s="33">
        <v>0.12</v>
      </c>
      <c r="M382" s="33">
        <v>0.8</v>
      </c>
      <c r="N382" s="33">
        <v>6.25</v>
      </c>
      <c r="O382" s="33">
        <v>243</v>
      </c>
      <c r="P382" s="33">
        <v>96</v>
      </c>
      <c r="Q382" s="33">
        <v>10.4</v>
      </c>
      <c r="R382" s="33" t="s">
        <v>576</v>
      </c>
      <c r="S382" s="33">
        <v>6</v>
      </c>
      <c r="T382" s="33">
        <v>25</v>
      </c>
      <c r="U382" s="49"/>
    </row>
    <row r="383" spans="1:21">
      <c r="A383" s="50" t="s">
        <v>703</v>
      </c>
      <c r="B383" s="33" t="s">
        <v>1637</v>
      </c>
      <c r="C383" s="33">
        <v>100</v>
      </c>
      <c r="D383" s="33">
        <v>59</v>
      </c>
      <c r="E383" s="33">
        <v>81.3</v>
      </c>
      <c r="F383" s="48">
        <v>1.5</v>
      </c>
      <c r="G383" s="48">
        <v>0.1</v>
      </c>
      <c r="H383" s="33">
        <v>3</v>
      </c>
      <c r="I383" s="48">
        <v>13</v>
      </c>
      <c r="J383" s="33">
        <v>5</v>
      </c>
      <c r="K383" s="33">
        <v>0.03</v>
      </c>
      <c r="L383" s="33">
        <v>0.02</v>
      </c>
      <c r="M383" s="33">
        <v>0.1</v>
      </c>
      <c r="N383" s="33">
        <v>1.82</v>
      </c>
      <c r="O383" s="33">
        <v>5.5</v>
      </c>
      <c r="P383" s="33">
        <v>67</v>
      </c>
      <c r="Q383" s="33">
        <v>0.1</v>
      </c>
      <c r="R383" s="33" t="s">
        <v>576</v>
      </c>
      <c r="S383" s="33">
        <v>2</v>
      </c>
      <c r="T383" s="33">
        <v>25</v>
      </c>
      <c r="U383" s="49"/>
    </row>
    <row r="384" spans="1:21">
      <c r="A384" s="50" t="s">
        <v>704</v>
      </c>
      <c r="B384" s="32"/>
      <c r="C384" s="33">
        <v>59</v>
      </c>
      <c r="D384" s="33">
        <v>91</v>
      </c>
      <c r="E384" s="33">
        <v>75.8</v>
      </c>
      <c r="F384" s="48">
        <v>1.4</v>
      </c>
      <c r="G384" s="48">
        <v>0.2</v>
      </c>
      <c r="H384" s="33">
        <v>1.2</v>
      </c>
      <c r="I384" s="48">
        <v>20.8</v>
      </c>
      <c r="J384" s="33">
        <v>10</v>
      </c>
      <c r="K384" s="33">
        <v>0.02</v>
      </c>
      <c r="L384" s="33">
        <v>0.04</v>
      </c>
      <c r="M384" s="33">
        <v>0.7</v>
      </c>
      <c r="N384" s="33">
        <v>0.24</v>
      </c>
      <c r="O384" s="33">
        <v>0.8</v>
      </c>
      <c r="P384" s="33">
        <v>7</v>
      </c>
      <c r="Q384" s="33">
        <v>0.4</v>
      </c>
      <c r="R384" s="33" t="s">
        <v>576</v>
      </c>
      <c r="S384" s="33">
        <v>8</v>
      </c>
      <c r="T384" s="33">
        <v>25</v>
      </c>
      <c r="U384" s="49"/>
    </row>
    <row r="385" spans="1:21">
      <c r="A385" s="50" t="s">
        <v>705</v>
      </c>
      <c r="B385" s="33" t="s">
        <v>1679</v>
      </c>
      <c r="C385" s="33">
        <v>100</v>
      </c>
      <c r="D385" s="33">
        <v>305</v>
      </c>
      <c r="E385" s="33">
        <v>18.7</v>
      </c>
      <c r="F385" s="48">
        <v>0.7</v>
      </c>
      <c r="G385" s="48">
        <v>0.2</v>
      </c>
      <c r="H385" s="33">
        <v>2</v>
      </c>
      <c r="I385" s="48">
        <v>75.5</v>
      </c>
      <c r="J385" s="33">
        <v>3</v>
      </c>
      <c r="K385" s="33">
        <v>0.01</v>
      </c>
      <c r="L385" s="33">
        <v>0.03</v>
      </c>
      <c r="M385" s="33">
        <v>0.4</v>
      </c>
      <c r="N385" s="32"/>
      <c r="O385" s="33">
        <v>529.29999999999995</v>
      </c>
      <c r="P385" s="33">
        <v>253</v>
      </c>
      <c r="Q385" s="33">
        <v>11</v>
      </c>
      <c r="R385" s="33" t="s">
        <v>576</v>
      </c>
      <c r="S385" s="33">
        <v>13</v>
      </c>
      <c r="T385" s="33">
        <v>25</v>
      </c>
      <c r="U385" s="49"/>
    </row>
    <row r="386" spans="1:21">
      <c r="A386" s="50" t="s">
        <v>706</v>
      </c>
      <c r="B386" s="32"/>
      <c r="C386" s="33">
        <v>91</v>
      </c>
      <c r="D386" s="33">
        <v>36</v>
      </c>
      <c r="E386" s="33">
        <v>89.4</v>
      </c>
      <c r="F386" s="48">
        <v>0.9</v>
      </c>
      <c r="G386" s="48">
        <v>0.1</v>
      </c>
      <c r="H386" s="33">
        <v>1.3</v>
      </c>
      <c r="I386" s="48">
        <v>7.8</v>
      </c>
      <c r="J386" s="33">
        <v>75</v>
      </c>
      <c r="K386" s="33">
        <v>0.02</v>
      </c>
      <c r="L386" s="33">
        <v>0.03</v>
      </c>
      <c r="M386" s="33">
        <v>0.6</v>
      </c>
      <c r="N386" s="33">
        <v>0.95</v>
      </c>
      <c r="O386" s="33">
        <v>2.2999999999999998</v>
      </c>
      <c r="P386" s="33">
        <v>14</v>
      </c>
      <c r="Q386" s="33">
        <v>0.6</v>
      </c>
      <c r="R386" s="33" t="s">
        <v>576</v>
      </c>
      <c r="S386" s="33">
        <v>4</v>
      </c>
      <c r="T386" s="33">
        <v>25</v>
      </c>
      <c r="U386" s="49"/>
    </row>
    <row r="387" spans="1:21">
      <c r="A387" s="50" t="s">
        <v>707</v>
      </c>
      <c r="B387" s="33" t="s">
        <v>1649</v>
      </c>
      <c r="C387" s="33">
        <v>92</v>
      </c>
      <c r="D387" s="33">
        <v>35</v>
      </c>
      <c r="E387" s="33">
        <v>89.9</v>
      </c>
      <c r="F387" s="48">
        <v>1</v>
      </c>
      <c r="G387" s="48">
        <v>0.1</v>
      </c>
      <c r="H387" s="33">
        <v>1.1000000000000001</v>
      </c>
      <c r="I387" s="48">
        <v>7.5</v>
      </c>
      <c r="J387" s="33">
        <v>13</v>
      </c>
      <c r="K387" s="33">
        <v>0.03</v>
      </c>
      <c r="L387" s="33">
        <v>0.01</v>
      </c>
      <c r="M387" s="33">
        <v>0.5</v>
      </c>
      <c r="N387" s="32"/>
      <c r="O387" s="33">
        <v>1.5</v>
      </c>
      <c r="P387" s="33">
        <v>3</v>
      </c>
      <c r="Q387" s="33">
        <v>0.2</v>
      </c>
      <c r="R387" s="33" t="s">
        <v>576</v>
      </c>
      <c r="S387" s="33">
        <v>16</v>
      </c>
      <c r="T387" s="33">
        <v>25</v>
      </c>
      <c r="U387" s="49"/>
    </row>
    <row r="388" spans="1:21">
      <c r="A388" s="50" t="s">
        <v>708</v>
      </c>
      <c r="B388" s="33" t="s">
        <v>1679</v>
      </c>
      <c r="C388" s="33">
        <v>25</v>
      </c>
      <c r="D388" s="33">
        <v>330</v>
      </c>
      <c r="E388" s="33">
        <v>8.8000000000000007</v>
      </c>
      <c r="F388" s="48">
        <v>2.7</v>
      </c>
      <c r="G388" s="48">
        <v>0.4</v>
      </c>
      <c r="H388" s="33">
        <v>4.4000000000000004</v>
      </c>
      <c r="I388" s="48">
        <v>78.8</v>
      </c>
      <c r="J388" s="33">
        <v>102</v>
      </c>
      <c r="K388" s="32"/>
      <c r="L388" s="33">
        <v>0.01</v>
      </c>
      <c r="M388" s="33">
        <v>1.2</v>
      </c>
      <c r="N388" s="32"/>
      <c r="O388" s="33">
        <v>40.4</v>
      </c>
      <c r="P388" s="33">
        <v>147</v>
      </c>
      <c r="Q388" s="33">
        <v>0.3</v>
      </c>
      <c r="R388" s="33" t="s">
        <v>576</v>
      </c>
      <c r="S388" s="32"/>
      <c r="T388" s="33">
        <v>25</v>
      </c>
      <c r="U388" s="49"/>
    </row>
    <row r="389" spans="1:21">
      <c r="A389" s="50" t="s">
        <v>709</v>
      </c>
      <c r="B389" s="33" t="s">
        <v>1618</v>
      </c>
      <c r="C389" s="33">
        <v>100</v>
      </c>
      <c r="D389" s="33">
        <v>286</v>
      </c>
      <c r="E389" s="33">
        <v>28.3</v>
      </c>
      <c r="F389" s="48">
        <v>0.2</v>
      </c>
      <c r="G389" s="48">
        <v>0.3</v>
      </c>
      <c r="H389" s="33">
        <v>0.4</v>
      </c>
      <c r="I389" s="48">
        <v>70.5</v>
      </c>
      <c r="J389" s="33">
        <v>5</v>
      </c>
      <c r="K389" s="33">
        <v>0.1</v>
      </c>
      <c r="L389" s="33">
        <v>7.0000000000000007E-2</v>
      </c>
      <c r="M389" s="33">
        <v>0.2</v>
      </c>
      <c r="N389" s="33">
        <v>0.31</v>
      </c>
      <c r="O389" s="33">
        <v>5</v>
      </c>
      <c r="P389" s="33">
        <v>6</v>
      </c>
      <c r="Q389" s="33">
        <v>0.4</v>
      </c>
      <c r="R389" s="33" t="s">
        <v>576</v>
      </c>
      <c r="S389" s="33">
        <v>1</v>
      </c>
      <c r="T389" s="33">
        <v>25</v>
      </c>
      <c r="U389" s="49"/>
    </row>
    <row r="390" spans="1:21">
      <c r="A390" s="50" t="s">
        <v>710</v>
      </c>
      <c r="B390" s="32"/>
      <c r="C390" s="33">
        <v>100</v>
      </c>
      <c r="D390" s="33">
        <v>329</v>
      </c>
      <c r="E390" s="33">
        <v>15.3</v>
      </c>
      <c r="F390" s="48">
        <v>0.8</v>
      </c>
      <c r="G390" s="48">
        <v>0.6</v>
      </c>
      <c r="H390" s="33">
        <v>1.8</v>
      </c>
      <c r="I390" s="48">
        <v>80.2</v>
      </c>
      <c r="J390" s="33">
        <v>157</v>
      </c>
      <c r="K390" s="33">
        <v>0.02</v>
      </c>
      <c r="L390" s="33">
        <v>0.09</v>
      </c>
      <c r="M390" s="33">
        <v>0.6</v>
      </c>
      <c r="N390" s="33">
        <v>0.61</v>
      </c>
      <c r="O390" s="33">
        <v>213.3</v>
      </c>
      <c r="P390" s="33">
        <v>68</v>
      </c>
      <c r="Q390" s="33">
        <v>4.8</v>
      </c>
      <c r="R390" s="33" t="s">
        <v>576</v>
      </c>
      <c r="S390" s="33">
        <v>6</v>
      </c>
      <c r="T390" s="33">
        <v>25</v>
      </c>
      <c r="U390" s="49"/>
    </row>
    <row r="391" spans="1:21">
      <c r="A391" s="50" t="s">
        <v>711</v>
      </c>
      <c r="B391" s="33" t="s">
        <v>1679</v>
      </c>
      <c r="C391" s="33">
        <v>100</v>
      </c>
      <c r="D391" s="33">
        <v>284</v>
      </c>
      <c r="E391" s="33">
        <v>23.7</v>
      </c>
      <c r="F391" s="48">
        <v>2.8</v>
      </c>
      <c r="G391" s="48">
        <v>0.3</v>
      </c>
      <c r="H391" s="33">
        <v>4.5999999999999996</v>
      </c>
      <c r="I391" s="48">
        <v>67.5</v>
      </c>
      <c r="J391" s="33">
        <v>80</v>
      </c>
      <c r="K391" s="32"/>
      <c r="L391" s="33">
        <v>0.03</v>
      </c>
      <c r="M391" s="33">
        <v>1.5</v>
      </c>
      <c r="N391" s="32"/>
      <c r="O391" s="33">
        <v>146.5</v>
      </c>
      <c r="P391" s="33">
        <v>397</v>
      </c>
      <c r="Q391" s="33">
        <v>12.3</v>
      </c>
      <c r="R391" s="33" t="s">
        <v>576</v>
      </c>
      <c r="S391" s="33">
        <v>8</v>
      </c>
      <c r="T391" s="33">
        <v>25</v>
      </c>
      <c r="U391" s="49"/>
    </row>
    <row r="392" spans="1:21">
      <c r="A392" s="50" t="s">
        <v>712</v>
      </c>
      <c r="B392" s="32"/>
      <c r="C392" s="33">
        <v>100</v>
      </c>
      <c r="D392" s="33">
        <v>37</v>
      </c>
      <c r="E392" s="33">
        <v>89.2</v>
      </c>
      <c r="F392" s="48">
        <v>0.6</v>
      </c>
      <c r="G392" s="48">
        <v>0.2</v>
      </c>
      <c r="H392" s="33">
        <v>1.4</v>
      </c>
      <c r="I392" s="48">
        <v>8.3000000000000007</v>
      </c>
      <c r="J392" s="33">
        <v>72</v>
      </c>
      <c r="K392" s="32"/>
      <c r="L392" s="32"/>
      <c r="M392" s="32"/>
      <c r="N392" s="33">
        <v>1.32</v>
      </c>
      <c r="O392" s="33">
        <v>22.3</v>
      </c>
      <c r="P392" s="33">
        <v>6</v>
      </c>
      <c r="Q392" s="33">
        <v>2.1</v>
      </c>
      <c r="R392" s="33" t="s">
        <v>576</v>
      </c>
      <c r="S392" s="32"/>
      <c r="T392" s="33">
        <v>25</v>
      </c>
      <c r="U392" s="49"/>
    </row>
    <row r="393" spans="1:21">
      <c r="A393" s="50" t="s">
        <v>713</v>
      </c>
      <c r="B393" s="32"/>
      <c r="C393" s="33">
        <v>82</v>
      </c>
      <c r="D393" s="33">
        <v>28</v>
      </c>
      <c r="E393" s="33">
        <v>92</v>
      </c>
      <c r="F393" s="48">
        <v>0.8</v>
      </c>
      <c r="G393" s="48">
        <v>0.2</v>
      </c>
      <c r="H393" s="33">
        <v>1</v>
      </c>
      <c r="I393" s="48">
        <v>5.7</v>
      </c>
      <c r="J393" s="33">
        <v>7</v>
      </c>
      <c r="K393" s="33">
        <v>0.01</v>
      </c>
      <c r="L393" s="33">
        <v>0.05</v>
      </c>
      <c r="M393" s="33">
        <v>0.3</v>
      </c>
      <c r="N393" s="33">
        <v>0.81</v>
      </c>
      <c r="O393" s="33">
        <v>0.7</v>
      </c>
      <c r="P393" s="33">
        <v>14</v>
      </c>
      <c r="Q393" s="33">
        <v>1</v>
      </c>
      <c r="R393" s="33" t="s">
        <v>576</v>
      </c>
      <c r="S393" s="33">
        <v>9</v>
      </c>
      <c r="T393" s="33">
        <v>25</v>
      </c>
      <c r="U393" s="49"/>
    </row>
    <row r="394" spans="1:21">
      <c r="A394" s="50" t="s">
        <v>714</v>
      </c>
      <c r="B394" s="32"/>
      <c r="C394" s="33">
        <v>88</v>
      </c>
      <c r="D394" s="33">
        <v>29</v>
      </c>
      <c r="E394" s="33">
        <v>91.4</v>
      </c>
      <c r="F394" s="48">
        <v>0.6</v>
      </c>
      <c r="G394" s="48">
        <v>0.2</v>
      </c>
      <c r="H394" s="33">
        <v>1.2</v>
      </c>
      <c r="I394" s="48">
        <v>6.2</v>
      </c>
      <c r="J394" s="33">
        <v>3</v>
      </c>
      <c r="K394" s="33">
        <v>0.02</v>
      </c>
      <c r="L394" s="33">
        <v>0.03</v>
      </c>
      <c r="M394" s="33">
        <v>0.7</v>
      </c>
      <c r="N394" s="32"/>
      <c r="O394" s="33">
        <v>1.4</v>
      </c>
      <c r="P394" s="33">
        <v>4</v>
      </c>
      <c r="Q394" s="33">
        <v>0.4</v>
      </c>
      <c r="R394" s="33" t="s">
        <v>576</v>
      </c>
      <c r="S394" s="33">
        <v>7</v>
      </c>
      <c r="T394" s="33">
        <v>25</v>
      </c>
      <c r="U394" s="49"/>
    </row>
    <row r="395" spans="1:21">
      <c r="A395" s="50" t="s">
        <v>715</v>
      </c>
      <c r="B395" s="33" t="s">
        <v>1628</v>
      </c>
      <c r="C395" s="33">
        <v>33</v>
      </c>
      <c r="D395" s="33">
        <v>231</v>
      </c>
      <c r="E395" s="33">
        <v>51.8</v>
      </c>
      <c r="F395" s="48">
        <v>4</v>
      </c>
      <c r="G395" s="48">
        <v>12.1</v>
      </c>
      <c r="H395" s="33">
        <v>4.7</v>
      </c>
      <c r="I395" s="48">
        <v>26.6</v>
      </c>
      <c r="J395" s="32"/>
      <c r="K395" s="33">
        <v>0.01</v>
      </c>
      <c r="L395" s="33">
        <v>0.01</v>
      </c>
      <c r="M395" s="33">
        <v>0.5</v>
      </c>
      <c r="N395" s="32"/>
      <c r="O395" s="33">
        <v>55.6</v>
      </c>
      <c r="P395" s="33">
        <v>2</v>
      </c>
      <c r="Q395" s="33">
        <v>1.8</v>
      </c>
      <c r="R395" s="33" t="s">
        <v>576</v>
      </c>
      <c r="S395" s="33">
        <v>6</v>
      </c>
      <c r="T395" s="33">
        <v>25</v>
      </c>
      <c r="U395" s="49"/>
    </row>
    <row r="396" spans="1:21">
      <c r="A396" s="50" t="s">
        <v>716</v>
      </c>
      <c r="B396" s="33" t="s">
        <v>1693</v>
      </c>
      <c r="C396" s="33">
        <v>23</v>
      </c>
      <c r="D396" s="33">
        <v>288</v>
      </c>
      <c r="E396" s="33">
        <v>18.8</v>
      </c>
      <c r="F396" s="48">
        <v>11.4</v>
      </c>
      <c r="G396" s="48">
        <v>3.9</v>
      </c>
      <c r="H396" s="33">
        <v>7.9</v>
      </c>
      <c r="I396" s="48">
        <v>51.9</v>
      </c>
      <c r="J396" s="32"/>
      <c r="K396" s="33">
        <v>0.12</v>
      </c>
      <c r="L396" s="33">
        <v>0.22</v>
      </c>
      <c r="M396" s="33">
        <v>3.5</v>
      </c>
      <c r="N396" s="32"/>
      <c r="O396" s="33">
        <v>98.5</v>
      </c>
      <c r="P396" s="33">
        <v>59</v>
      </c>
      <c r="Q396" s="33">
        <v>11.4</v>
      </c>
      <c r="R396" s="33" t="s">
        <v>576</v>
      </c>
      <c r="S396" s="32"/>
      <c r="T396" s="33">
        <v>25</v>
      </c>
      <c r="U396" s="49"/>
    </row>
    <row r="397" spans="1:21">
      <c r="A397" s="50" t="s">
        <v>717</v>
      </c>
      <c r="B397" s="32"/>
      <c r="C397" s="33">
        <v>80</v>
      </c>
      <c r="D397" s="33">
        <v>46</v>
      </c>
      <c r="E397" s="33">
        <v>88</v>
      </c>
      <c r="F397" s="48">
        <v>1.1000000000000001</v>
      </c>
      <c r="G397" s="48">
        <v>0.2</v>
      </c>
      <c r="H397" s="33">
        <v>0.3</v>
      </c>
      <c r="I397" s="48">
        <v>9.9</v>
      </c>
      <c r="J397" s="33">
        <v>35</v>
      </c>
      <c r="K397" s="33">
        <v>0.02</v>
      </c>
      <c r="L397" s="33">
        <v>0.02</v>
      </c>
      <c r="M397" s="33">
        <v>0.6</v>
      </c>
      <c r="N397" s="33">
        <v>2.2200000000000002</v>
      </c>
      <c r="O397" s="33">
        <v>8</v>
      </c>
      <c r="P397" s="33">
        <v>11</v>
      </c>
      <c r="Q397" s="33">
        <v>0.4</v>
      </c>
      <c r="R397" s="33" t="s">
        <v>576</v>
      </c>
      <c r="S397" s="33">
        <v>10</v>
      </c>
      <c r="T397" s="33">
        <v>25</v>
      </c>
      <c r="U397" s="49"/>
    </row>
    <row r="398" spans="1:21">
      <c r="A398" s="50" t="s">
        <v>718</v>
      </c>
      <c r="B398" s="33" t="s">
        <v>1694</v>
      </c>
      <c r="C398" s="33">
        <v>69</v>
      </c>
      <c r="D398" s="33">
        <v>41</v>
      </c>
      <c r="E398" s="33">
        <v>89</v>
      </c>
      <c r="F398" s="48">
        <v>0.8</v>
      </c>
      <c r="G398" s="48">
        <v>0.2</v>
      </c>
      <c r="H398" s="33">
        <v>0.4</v>
      </c>
      <c r="I398" s="48">
        <v>9.1</v>
      </c>
      <c r="J398" s="33">
        <v>2</v>
      </c>
      <c r="K398" s="32"/>
      <c r="L398" s="33">
        <v>0.03</v>
      </c>
      <c r="M398" s="33">
        <v>0.3</v>
      </c>
      <c r="N398" s="32"/>
      <c r="O398" s="33">
        <v>3</v>
      </c>
      <c r="P398" s="33">
        <v>4</v>
      </c>
      <c r="Q398" s="33">
        <v>0.3</v>
      </c>
      <c r="R398" s="33" t="s">
        <v>576</v>
      </c>
      <c r="S398" s="33">
        <v>23</v>
      </c>
      <c r="T398" s="33">
        <v>25</v>
      </c>
      <c r="U398" s="49"/>
    </row>
    <row r="399" spans="1:21">
      <c r="A399" s="50" t="s">
        <v>719</v>
      </c>
      <c r="B399" s="33" t="s">
        <v>1672</v>
      </c>
      <c r="C399" s="33">
        <v>80</v>
      </c>
      <c r="D399" s="33">
        <v>38</v>
      </c>
      <c r="E399" s="33">
        <v>86.6</v>
      </c>
      <c r="F399" s="48">
        <v>0.3</v>
      </c>
      <c r="G399" s="48">
        <v>0.1</v>
      </c>
      <c r="H399" s="33">
        <v>3.4</v>
      </c>
      <c r="I399" s="48">
        <v>9</v>
      </c>
      <c r="J399" s="33">
        <v>8</v>
      </c>
      <c r="K399" s="32"/>
      <c r="L399" s="33">
        <v>0.01</v>
      </c>
      <c r="M399" s="33">
        <v>0.5</v>
      </c>
      <c r="N399" s="32"/>
      <c r="O399" s="32"/>
      <c r="P399" s="33">
        <v>6</v>
      </c>
      <c r="Q399" s="33">
        <v>0.2</v>
      </c>
      <c r="R399" s="33" t="s">
        <v>576</v>
      </c>
      <c r="S399" s="33">
        <v>62</v>
      </c>
      <c r="T399" s="33">
        <v>25</v>
      </c>
      <c r="U399" s="49"/>
    </row>
    <row r="400" spans="1:21">
      <c r="A400" s="50" t="s">
        <v>720</v>
      </c>
      <c r="B400" s="32"/>
      <c r="C400" s="33">
        <v>87</v>
      </c>
      <c r="D400" s="33">
        <v>122</v>
      </c>
      <c r="E400" s="33">
        <v>67.400000000000006</v>
      </c>
      <c r="F400" s="48">
        <v>1.1000000000000001</v>
      </c>
      <c r="G400" s="48">
        <v>0.3</v>
      </c>
      <c r="H400" s="33">
        <v>1.9</v>
      </c>
      <c r="I400" s="48">
        <v>28.6</v>
      </c>
      <c r="J400" s="33">
        <v>40</v>
      </c>
      <c r="K400" s="33">
        <v>0.06</v>
      </c>
      <c r="L400" s="33">
        <v>0.09</v>
      </c>
      <c r="M400" s="33">
        <v>0.9</v>
      </c>
      <c r="N400" s="33">
        <v>0.78</v>
      </c>
      <c r="O400" s="33">
        <v>1.2</v>
      </c>
      <c r="P400" s="33">
        <v>22</v>
      </c>
      <c r="Q400" s="33">
        <v>1.2</v>
      </c>
      <c r="R400" s="33" t="s">
        <v>576</v>
      </c>
      <c r="S400" s="33">
        <v>243</v>
      </c>
      <c r="T400" s="33">
        <v>25</v>
      </c>
      <c r="U400" s="49"/>
    </row>
    <row r="401" spans="1:21">
      <c r="A401" s="50" t="s">
        <v>721</v>
      </c>
      <c r="B401" s="32"/>
      <c r="C401" s="33">
        <v>80</v>
      </c>
      <c r="D401" s="33">
        <v>264</v>
      </c>
      <c r="E401" s="33">
        <v>26.9</v>
      </c>
      <c r="F401" s="48">
        <v>3.2</v>
      </c>
      <c r="G401" s="48">
        <v>0.5</v>
      </c>
      <c r="H401" s="33">
        <v>6.2</v>
      </c>
      <c r="I401" s="48">
        <v>61.6</v>
      </c>
      <c r="J401" s="33">
        <v>2</v>
      </c>
      <c r="K401" s="33">
        <v>0.04</v>
      </c>
      <c r="L401" s="33">
        <v>0.16</v>
      </c>
      <c r="M401" s="33">
        <v>0.9</v>
      </c>
      <c r="N401" s="33">
        <v>3.04</v>
      </c>
      <c r="O401" s="33">
        <v>6.2</v>
      </c>
      <c r="P401" s="33">
        <v>64</v>
      </c>
      <c r="Q401" s="33">
        <v>2.2999999999999998</v>
      </c>
      <c r="R401" s="33" t="s">
        <v>576</v>
      </c>
      <c r="S401" s="33">
        <v>14</v>
      </c>
      <c r="T401" s="33">
        <v>25</v>
      </c>
      <c r="U401" s="49"/>
    </row>
    <row r="402" spans="1:21">
      <c r="A402" s="50" t="s">
        <v>722</v>
      </c>
      <c r="B402" s="32"/>
      <c r="C402" s="33">
        <v>88</v>
      </c>
      <c r="D402" s="33">
        <v>298</v>
      </c>
      <c r="E402" s="33">
        <v>14.5</v>
      </c>
      <c r="F402" s="48">
        <v>2.1</v>
      </c>
      <c r="G402" s="48">
        <v>0.4</v>
      </c>
      <c r="H402" s="33">
        <v>9.5</v>
      </c>
      <c r="I402" s="48">
        <v>71.599999999999994</v>
      </c>
      <c r="J402" s="32"/>
      <c r="K402" s="33">
        <v>0.08</v>
      </c>
      <c r="L402" s="33">
        <v>0.15</v>
      </c>
      <c r="M402" s="33">
        <v>1.6</v>
      </c>
      <c r="N402" s="32"/>
      <c r="O402" s="33">
        <v>8.3000000000000007</v>
      </c>
      <c r="P402" s="33">
        <v>54</v>
      </c>
      <c r="Q402" s="33">
        <v>2.1</v>
      </c>
      <c r="R402" s="33" t="s">
        <v>576</v>
      </c>
      <c r="S402" s="33">
        <v>7</v>
      </c>
      <c r="T402" s="33">
        <v>25</v>
      </c>
      <c r="U402" s="49"/>
    </row>
    <row r="403" spans="1:21">
      <c r="A403" s="50" t="s">
        <v>723</v>
      </c>
      <c r="B403" s="33" t="s">
        <v>1695</v>
      </c>
      <c r="C403" s="33">
        <v>81</v>
      </c>
      <c r="D403" s="33">
        <v>322</v>
      </c>
      <c r="E403" s="33">
        <v>19.3</v>
      </c>
      <c r="F403" s="48">
        <v>1.2</v>
      </c>
      <c r="G403" s="48">
        <v>1.1000000000000001</v>
      </c>
      <c r="H403" s="32"/>
      <c r="I403" s="48">
        <v>76.7</v>
      </c>
      <c r="J403" s="32"/>
      <c r="K403" s="33">
        <v>0.04</v>
      </c>
      <c r="L403" s="33">
        <v>0.5</v>
      </c>
      <c r="M403" s="33">
        <v>0.4</v>
      </c>
      <c r="N403" s="33">
        <v>1.31</v>
      </c>
      <c r="O403" s="33">
        <v>7.4</v>
      </c>
      <c r="P403" s="33">
        <v>23</v>
      </c>
      <c r="Q403" s="33">
        <v>1.5</v>
      </c>
      <c r="R403" s="33" t="s">
        <v>576</v>
      </c>
      <c r="S403" s="32"/>
      <c r="T403" s="33">
        <v>25</v>
      </c>
      <c r="U403" s="49"/>
    </row>
    <row r="404" spans="1:21">
      <c r="A404" s="50" t="s">
        <v>724</v>
      </c>
      <c r="B404" s="33" t="s">
        <v>1696</v>
      </c>
      <c r="C404" s="33">
        <v>91</v>
      </c>
      <c r="D404" s="33">
        <v>145</v>
      </c>
      <c r="E404" s="33">
        <v>61.7</v>
      </c>
      <c r="F404" s="48">
        <v>1.6</v>
      </c>
      <c r="G404" s="48">
        <v>0.2</v>
      </c>
      <c r="H404" s="33">
        <v>1.4</v>
      </c>
      <c r="I404" s="48">
        <v>34.299999999999997</v>
      </c>
      <c r="J404" s="32"/>
      <c r="K404" s="33">
        <v>0.05</v>
      </c>
      <c r="L404" s="33">
        <v>0.04</v>
      </c>
      <c r="M404" s="33">
        <v>0.4</v>
      </c>
      <c r="N404" s="32"/>
      <c r="O404" s="33">
        <v>0.8</v>
      </c>
      <c r="P404" s="33">
        <v>75</v>
      </c>
      <c r="Q404" s="33">
        <v>1.4</v>
      </c>
      <c r="R404" s="33" t="s">
        <v>576</v>
      </c>
      <c r="S404" s="32"/>
      <c r="T404" s="33">
        <v>25</v>
      </c>
      <c r="U404" s="49"/>
    </row>
    <row r="405" spans="1:21">
      <c r="A405" s="50" t="s">
        <v>725</v>
      </c>
      <c r="B405" s="32"/>
      <c r="C405" s="33">
        <v>100</v>
      </c>
      <c r="D405" s="33">
        <v>320</v>
      </c>
      <c r="E405" s="33">
        <v>16.600000000000001</v>
      </c>
      <c r="F405" s="48">
        <v>1</v>
      </c>
      <c r="G405" s="48">
        <v>0.1</v>
      </c>
      <c r="H405" s="33">
        <v>3</v>
      </c>
      <c r="I405" s="48">
        <v>78.900000000000006</v>
      </c>
      <c r="J405" s="33">
        <v>5</v>
      </c>
      <c r="K405" s="33">
        <v>0</v>
      </c>
      <c r="L405" s="33">
        <v>0.14000000000000001</v>
      </c>
      <c r="M405" s="33">
        <v>0.4</v>
      </c>
      <c r="N405" s="33">
        <v>0.3</v>
      </c>
      <c r="O405" s="33">
        <v>15.8</v>
      </c>
      <c r="P405" s="33">
        <v>24</v>
      </c>
      <c r="Q405" s="33">
        <v>2.4</v>
      </c>
      <c r="R405" s="33" t="s">
        <v>576</v>
      </c>
      <c r="S405" s="33">
        <v>104</v>
      </c>
      <c r="T405" s="33">
        <v>25</v>
      </c>
      <c r="U405" s="49"/>
    </row>
    <row r="406" spans="1:21">
      <c r="A406" s="50" t="s">
        <v>726</v>
      </c>
      <c r="B406" s="33" t="s">
        <v>1644</v>
      </c>
      <c r="C406" s="33">
        <v>100</v>
      </c>
      <c r="D406" s="33">
        <v>321</v>
      </c>
      <c r="E406" s="33">
        <v>13.4</v>
      </c>
      <c r="F406" s="48">
        <v>1.3</v>
      </c>
      <c r="G406" s="48">
        <v>0.2</v>
      </c>
      <c r="H406" s="33">
        <v>5.8</v>
      </c>
      <c r="I406" s="48">
        <v>78.599999999999994</v>
      </c>
      <c r="J406" s="32"/>
      <c r="K406" s="33">
        <v>0.01</v>
      </c>
      <c r="L406" s="33">
        <v>0.1</v>
      </c>
      <c r="M406" s="33">
        <v>0.4</v>
      </c>
      <c r="N406" s="32"/>
      <c r="O406" s="33">
        <v>25.1</v>
      </c>
      <c r="P406" s="33">
        <v>59</v>
      </c>
      <c r="Q406" s="33">
        <v>3.5</v>
      </c>
      <c r="R406" s="33" t="s">
        <v>576</v>
      </c>
      <c r="S406" s="33">
        <v>55</v>
      </c>
      <c r="T406" s="33">
        <v>25</v>
      </c>
      <c r="U406" s="49"/>
    </row>
    <row r="407" spans="1:21">
      <c r="A407" s="50" t="s">
        <v>727</v>
      </c>
      <c r="B407" s="33" t="s">
        <v>1618</v>
      </c>
      <c r="C407" s="33">
        <v>92</v>
      </c>
      <c r="D407" s="33">
        <v>214</v>
      </c>
      <c r="E407" s="33">
        <v>38.700000000000003</v>
      </c>
      <c r="F407" s="48">
        <v>3.9</v>
      </c>
      <c r="G407" s="48">
        <v>0.8</v>
      </c>
      <c r="H407" s="33">
        <v>7.3</v>
      </c>
      <c r="I407" s="48">
        <v>47.9</v>
      </c>
      <c r="J407" s="32"/>
      <c r="K407" s="33">
        <v>0.06</v>
      </c>
      <c r="L407" s="33">
        <v>0.04</v>
      </c>
      <c r="M407" s="33">
        <v>0.9</v>
      </c>
      <c r="N407" s="32"/>
      <c r="O407" s="33">
        <v>9.3000000000000007</v>
      </c>
      <c r="P407" s="33">
        <v>80</v>
      </c>
      <c r="Q407" s="33">
        <v>2.7</v>
      </c>
      <c r="R407" s="33" t="s">
        <v>576</v>
      </c>
      <c r="S407" s="32"/>
      <c r="T407" s="33">
        <v>25</v>
      </c>
      <c r="U407" s="49"/>
    </row>
    <row r="408" spans="1:21">
      <c r="A408" s="50" t="s">
        <v>728</v>
      </c>
      <c r="B408" s="33" t="s">
        <v>1641</v>
      </c>
      <c r="C408" s="33">
        <v>41</v>
      </c>
      <c r="D408" s="33">
        <v>200</v>
      </c>
      <c r="E408" s="33">
        <v>30.5</v>
      </c>
      <c r="F408" s="48">
        <v>5.9</v>
      </c>
      <c r="G408" s="48">
        <v>0.8</v>
      </c>
      <c r="H408" s="33">
        <v>18.399999999999999</v>
      </c>
      <c r="I408" s="48">
        <v>42.4</v>
      </c>
      <c r="J408" s="32"/>
      <c r="K408" s="32"/>
      <c r="L408" s="32"/>
      <c r="M408" s="32"/>
      <c r="N408" s="32"/>
      <c r="O408" s="32"/>
      <c r="P408" s="32"/>
      <c r="Q408" s="32"/>
      <c r="R408" s="33" t="s">
        <v>576</v>
      </c>
      <c r="S408" s="32"/>
      <c r="T408" s="33">
        <v>25</v>
      </c>
      <c r="U408" s="49"/>
    </row>
    <row r="409" spans="1:21">
      <c r="A409" s="50" t="s">
        <v>729</v>
      </c>
      <c r="B409" s="33" t="s">
        <v>1697</v>
      </c>
      <c r="C409" s="33">
        <v>59</v>
      </c>
      <c r="D409" s="33">
        <v>228</v>
      </c>
      <c r="E409" s="33">
        <v>32.6</v>
      </c>
      <c r="F409" s="48">
        <v>3.7</v>
      </c>
      <c r="G409" s="48">
        <v>0.5</v>
      </c>
      <c r="H409" s="33">
        <v>9.1999999999999993</v>
      </c>
      <c r="I409" s="48">
        <v>52.2</v>
      </c>
      <c r="J409" s="32"/>
      <c r="K409" s="33">
        <v>7.0000000000000007E-2</v>
      </c>
      <c r="L409" s="33">
        <v>0.09</v>
      </c>
      <c r="M409" s="33">
        <v>1.1000000000000001</v>
      </c>
      <c r="N409" s="33">
        <v>1.24</v>
      </c>
      <c r="O409" s="33">
        <v>1.2</v>
      </c>
      <c r="P409" s="33">
        <v>42</v>
      </c>
      <c r="Q409" s="33">
        <v>3.7</v>
      </c>
      <c r="R409" s="33" t="s">
        <v>576</v>
      </c>
      <c r="S409" s="33">
        <v>6</v>
      </c>
      <c r="T409" s="33">
        <v>25</v>
      </c>
      <c r="U409" s="49"/>
    </row>
    <row r="410" spans="1:21">
      <c r="A410" s="50" t="s">
        <v>730</v>
      </c>
      <c r="B410" s="32"/>
      <c r="C410" s="33">
        <v>83</v>
      </c>
      <c r="D410" s="33">
        <v>56</v>
      </c>
      <c r="E410" s="33">
        <v>83.4</v>
      </c>
      <c r="F410" s="48">
        <v>0.8</v>
      </c>
      <c r="G410" s="48">
        <v>0.6</v>
      </c>
      <c r="H410" s="33">
        <v>2.6</v>
      </c>
      <c r="I410" s="48">
        <v>11.9</v>
      </c>
      <c r="J410" s="33">
        <v>22</v>
      </c>
      <c r="K410" s="33">
        <v>0.05</v>
      </c>
      <c r="L410" s="33">
        <v>0.02</v>
      </c>
      <c r="M410" s="33">
        <v>0.3</v>
      </c>
      <c r="N410" s="33">
        <v>2.4300000000000002</v>
      </c>
      <c r="O410" s="33">
        <v>10</v>
      </c>
      <c r="P410" s="33">
        <v>27</v>
      </c>
      <c r="Q410" s="33">
        <v>1.2</v>
      </c>
      <c r="R410" s="33" t="s">
        <v>576</v>
      </c>
      <c r="S410" s="33">
        <v>62</v>
      </c>
      <c r="T410" s="33">
        <v>25</v>
      </c>
      <c r="U410" s="49"/>
    </row>
    <row r="411" spans="1:21">
      <c r="A411" s="50" t="s">
        <v>731</v>
      </c>
      <c r="B411" s="33" t="s">
        <v>1659</v>
      </c>
      <c r="C411" s="33">
        <v>100</v>
      </c>
      <c r="D411" s="33">
        <v>355</v>
      </c>
      <c r="E411" s="33">
        <v>9.9</v>
      </c>
      <c r="F411" s="48">
        <v>13.2</v>
      </c>
      <c r="G411" s="48">
        <v>1.3</v>
      </c>
      <c r="H411" s="32"/>
      <c r="I411" s="48">
        <v>72.599999999999994</v>
      </c>
      <c r="J411" s="32"/>
      <c r="K411" s="32"/>
      <c r="L411" s="32"/>
      <c r="M411" s="32"/>
      <c r="N411" s="33">
        <v>0.73</v>
      </c>
      <c r="O411" s="33">
        <v>17.5</v>
      </c>
      <c r="P411" s="33">
        <v>54</v>
      </c>
      <c r="Q411" s="33">
        <v>0.2</v>
      </c>
      <c r="R411" s="33" t="s">
        <v>732</v>
      </c>
      <c r="S411" s="32"/>
      <c r="T411" s="33">
        <v>5</v>
      </c>
      <c r="U411" s="49"/>
    </row>
    <row r="412" spans="1:21">
      <c r="A412" s="50" t="s">
        <v>733</v>
      </c>
      <c r="B412" s="33" t="s">
        <v>1659</v>
      </c>
      <c r="C412" s="33">
        <v>67</v>
      </c>
      <c r="D412" s="33">
        <v>355</v>
      </c>
      <c r="E412" s="33">
        <v>9.9</v>
      </c>
      <c r="F412" s="48">
        <v>13.2</v>
      </c>
      <c r="G412" s="48">
        <v>1.3</v>
      </c>
      <c r="H412" s="32"/>
      <c r="I412" s="48">
        <v>72.599999999999994</v>
      </c>
      <c r="J412" s="32"/>
      <c r="K412" s="32"/>
      <c r="L412" s="33">
        <v>0.1</v>
      </c>
      <c r="M412" s="32"/>
      <c r="N412" s="33">
        <v>24.7</v>
      </c>
      <c r="O412" s="33">
        <v>17.5</v>
      </c>
      <c r="P412" s="33">
        <v>54</v>
      </c>
      <c r="Q412" s="33">
        <v>0.2</v>
      </c>
      <c r="R412" s="33" t="s">
        <v>732</v>
      </c>
      <c r="S412" s="32"/>
      <c r="T412" s="33">
        <v>5</v>
      </c>
      <c r="U412" s="49"/>
    </row>
    <row r="413" spans="1:21">
      <c r="A413" s="50" t="s">
        <v>734</v>
      </c>
      <c r="B413" s="32"/>
      <c r="C413" s="33">
        <v>43</v>
      </c>
      <c r="D413" s="33">
        <v>627</v>
      </c>
      <c r="E413" s="33">
        <v>5.2</v>
      </c>
      <c r="F413" s="48">
        <v>14.9</v>
      </c>
      <c r="G413" s="48">
        <v>58.8</v>
      </c>
      <c r="H413" s="33">
        <v>9.5</v>
      </c>
      <c r="I413" s="48">
        <v>9.6</v>
      </c>
      <c r="J413" s="33">
        <v>5</v>
      </c>
      <c r="K413" s="33">
        <v>0.15</v>
      </c>
      <c r="L413" s="33">
        <v>0.14000000000000001</v>
      </c>
      <c r="M413" s="33">
        <v>0.9</v>
      </c>
      <c r="N413" s="33">
        <v>43.21</v>
      </c>
      <c r="O413" s="33">
        <v>6.4</v>
      </c>
      <c r="P413" s="33">
        <v>56</v>
      </c>
      <c r="Q413" s="33">
        <v>2.7</v>
      </c>
      <c r="R413" s="33" t="s">
        <v>732</v>
      </c>
      <c r="S413" s="33">
        <v>1</v>
      </c>
      <c r="T413" s="33">
        <v>5</v>
      </c>
      <c r="U413" s="49"/>
    </row>
    <row r="414" spans="1:21">
      <c r="A414" s="50" t="s">
        <v>735</v>
      </c>
      <c r="B414" s="33" t="s">
        <v>1698</v>
      </c>
      <c r="C414" s="33">
        <v>43</v>
      </c>
      <c r="D414" s="33">
        <v>327</v>
      </c>
      <c r="E414" s="33">
        <v>49.8</v>
      </c>
      <c r="F414" s="48">
        <v>12.8</v>
      </c>
      <c r="G414" s="48">
        <v>29.9</v>
      </c>
      <c r="H414" s="33">
        <v>4.3</v>
      </c>
      <c r="I414" s="48">
        <v>1.8</v>
      </c>
      <c r="J414" s="32"/>
      <c r="K414" s="33">
        <v>7.0000000000000007E-2</v>
      </c>
      <c r="L414" s="33">
        <v>0.14000000000000001</v>
      </c>
      <c r="M414" s="33">
        <v>1.4</v>
      </c>
      <c r="N414" s="33">
        <v>41.17</v>
      </c>
      <c r="O414" s="32"/>
      <c r="P414" s="32"/>
      <c r="Q414" s="32"/>
      <c r="R414" s="33" t="s">
        <v>732</v>
      </c>
      <c r="S414" s="33">
        <v>10</v>
      </c>
      <c r="T414" s="33">
        <v>5</v>
      </c>
      <c r="U414" s="49"/>
    </row>
    <row r="415" spans="1:21">
      <c r="A415" s="50" t="s">
        <v>736</v>
      </c>
      <c r="B415" s="33" t="s">
        <v>1618</v>
      </c>
      <c r="C415" s="33">
        <v>53</v>
      </c>
      <c r="D415" s="33">
        <v>298</v>
      </c>
      <c r="E415" s="33">
        <v>48.3</v>
      </c>
      <c r="F415" s="48">
        <v>12.1</v>
      </c>
      <c r="G415" s="48">
        <v>25.4</v>
      </c>
      <c r="H415" s="33">
        <v>7.7</v>
      </c>
      <c r="I415" s="48">
        <v>5.2</v>
      </c>
      <c r="J415" s="33">
        <v>2</v>
      </c>
      <c r="K415" s="32"/>
      <c r="L415" s="33">
        <v>0.04</v>
      </c>
      <c r="M415" s="33">
        <v>14.1</v>
      </c>
      <c r="N415" s="33">
        <v>2.93</v>
      </c>
      <c r="O415" s="33">
        <v>3.7</v>
      </c>
      <c r="P415" s="33">
        <v>8</v>
      </c>
      <c r="Q415" s="33">
        <v>3.4</v>
      </c>
      <c r="R415" s="33" t="s">
        <v>732</v>
      </c>
      <c r="S415" s="33">
        <v>14</v>
      </c>
      <c r="T415" s="33">
        <v>5</v>
      </c>
      <c r="U415" s="49"/>
    </row>
    <row r="416" spans="1:21">
      <c r="A416" s="50" t="s">
        <v>737</v>
      </c>
      <c r="B416" s="32"/>
      <c r="C416" s="33">
        <v>71</v>
      </c>
      <c r="D416" s="33">
        <v>589</v>
      </c>
      <c r="E416" s="33">
        <v>4.0999999999999996</v>
      </c>
      <c r="F416" s="48">
        <v>21.9</v>
      </c>
      <c r="G416" s="48">
        <v>48</v>
      </c>
      <c r="H416" s="33">
        <v>6.3</v>
      </c>
      <c r="I416" s="48">
        <v>17.3</v>
      </c>
      <c r="J416" s="33">
        <v>10</v>
      </c>
      <c r="K416" s="33">
        <v>0.13</v>
      </c>
      <c r="L416" s="33">
        <v>0.12</v>
      </c>
      <c r="M416" s="33">
        <v>18.899999999999999</v>
      </c>
      <c r="N416" s="33">
        <v>12.94</v>
      </c>
      <c r="O416" s="33">
        <v>34.799999999999997</v>
      </c>
      <c r="P416" s="33">
        <v>47</v>
      </c>
      <c r="Q416" s="33">
        <v>1.5</v>
      </c>
      <c r="R416" s="33" t="s">
        <v>732</v>
      </c>
      <c r="S416" s="32"/>
      <c r="T416" s="33">
        <v>5</v>
      </c>
      <c r="U416" s="49"/>
    </row>
    <row r="417" spans="1:21">
      <c r="A417" s="50" t="s">
        <v>738</v>
      </c>
      <c r="B417" s="33" t="s">
        <v>1624</v>
      </c>
      <c r="C417" s="33">
        <v>100</v>
      </c>
      <c r="D417" s="33">
        <v>329</v>
      </c>
      <c r="E417" s="33">
        <v>52.4</v>
      </c>
      <c r="F417" s="48">
        <v>9</v>
      </c>
      <c r="G417" s="48">
        <v>29.6</v>
      </c>
      <c r="H417" s="32"/>
      <c r="I417" s="48">
        <v>6.7</v>
      </c>
      <c r="J417" s="32"/>
      <c r="K417" s="33">
        <v>0.14000000000000001</v>
      </c>
      <c r="L417" s="33">
        <v>0.08</v>
      </c>
      <c r="M417" s="33">
        <v>3.1</v>
      </c>
      <c r="N417" s="33">
        <v>0.21</v>
      </c>
      <c r="O417" s="33">
        <v>723.2</v>
      </c>
      <c r="P417" s="33">
        <v>2</v>
      </c>
      <c r="Q417" s="33">
        <v>2.1</v>
      </c>
      <c r="R417" s="33" t="s">
        <v>739</v>
      </c>
      <c r="S417" s="32"/>
      <c r="T417" s="33">
        <v>5</v>
      </c>
      <c r="U417" s="35">
        <v>72</v>
      </c>
    </row>
    <row r="418" spans="1:21">
      <c r="A418" s="50" t="s">
        <v>740</v>
      </c>
      <c r="B418" s="33" t="s">
        <v>1618</v>
      </c>
      <c r="C418" s="33">
        <v>100</v>
      </c>
      <c r="D418" s="33">
        <v>267</v>
      </c>
      <c r="E418" s="33">
        <v>54.9</v>
      </c>
      <c r="F418" s="48">
        <v>12.9</v>
      </c>
      <c r="G418" s="48">
        <v>20.100000000000001</v>
      </c>
      <c r="H418" s="32"/>
      <c r="I418" s="48">
        <v>8.6</v>
      </c>
      <c r="J418" s="32"/>
      <c r="K418" s="33">
        <v>0.67</v>
      </c>
      <c r="L418" s="33">
        <v>7.0000000000000007E-2</v>
      </c>
      <c r="M418" s="33">
        <v>10</v>
      </c>
      <c r="N418" s="32"/>
      <c r="O418" s="33">
        <v>1099.0999999999999</v>
      </c>
      <c r="P418" s="33">
        <v>24</v>
      </c>
      <c r="Q418" s="33">
        <v>1.5</v>
      </c>
      <c r="R418" s="33" t="s">
        <v>739</v>
      </c>
      <c r="S418" s="32"/>
      <c r="T418" s="33">
        <v>5</v>
      </c>
      <c r="U418" s="49"/>
    </row>
    <row r="419" spans="1:21">
      <c r="A419" s="50" t="s">
        <v>741</v>
      </c>
      <c r="B419" s="33" t="s">
        <v>1618</v>
      </c>
      <c r="C419" s="33">
        <v>100</v>
      </c>
      <c r="D419" s="33">
        <v>272</v>
      </c>
      <c r="E419" s="33">
        <v>57</v>
      </c>
      <c r="F419" s="48">
        <v>12</v>
      </c>
      <c r="G419" s="48">
        <v>22.9</v>
      </c>
      <c r="H419" s="32"/>
      <c r="I419" s="48">
        <v>4.5999999999999996</v>
      </c>
      <c r="J419" s="32"/>
      <c r="K419" s="33">
        <v>0.24</v>
      </c>
      <c r="L419" s="33">
        <v>0.06</v>
      </c>
      <c r="M419" s="33">
        <v>7.4</v>
      </c>
      <c r="N419" s="32"/>
      <c r="O419" s="33">
        <v>1370.4</v>
      </c>
      <c r="P419" s="33">
        <v>67</v>
      </c>
      <c r="Q419" s="33">
        <v>3.1</v>
      </c>
      <c r="R419" s="33" t="s">
        <v>739</v>
      </c>
      <c r="S419" s="32"/>
      <c r="T419" s="33">
        <v>5</v>
      </c>
      <c r="U419" s="35">
        <v>72</v>
      </c>
    </row>
    <row r="420" spans="1:21">
      <c r="A420" s="50" t="s">
        <v>742</v>
      </c>
      <c r="B420" s="33" t="s">
        <v>1618</v>
      </c>
      <c r="C420" s="33">
        <v>100</v>
      </c>
      <c r="D420" s="33">
        <v>278</v>
      </c>
      <c r="E420" s="33">
        <v>55.1</v>
      </c>
      <c r="F420" s="48">
        <v>12.5</v>
      </c>
      <c r="G420" s="48">
        <v>22.8</v>
      </c>
      <c r="H420" s="32"/>
      <c r="I420" s="48">
        <v>5.8</v>
      </c>
      <c r="J420" s="33">
        <v>20</v>
      </c>
      <c r="K420" s="33">
        <v>0.65</v>
      </c>
      <c r="L420" s="33">
        <v>0.06</v>
      </c>
      <c r="M420" s="33">
        <v>10.7</v>
      </c>
      <c r="N420" s="32"/>
      <c r="O420" s="33">
        <v>1143.2</v>
      </c>
      <c r="P420" s="33">
        <v>26</v>
      </c>
      <c r="Q420" s="33">
        <v>2.2000000000000002</v>
      </c>
      <c r="R420" s="33" t="s">
        <v>739</v>
      </c>
      <c r="S420" s="32"/>
      <c r="T420" s="33">
        <v>5</v>
      </c>
      <c r="U420" s="35">
        <v>61</v>
      </c>
    </row>
    <row r="421" spans="1:21">
      <c r="A421" s="50" t="s">
        <v>743</v>
      </c>
      <c r="B421" s="33" t="s">
        <v>1624</v>
      </c>
      <c r="C421" s="33">
        <v>100</v>
      </c>
      <c r="D421" s="33">
        <v>290</v>
      </c>
      <c r="E421" s="33">
        <v>49.8</v>
      </c>
      <c r="F421" s="48">
        <v>13.1</v>
      </c>
      <c r="G421" s="48">
        <v>19.600000000000001</v>
      </c>
      <c r="H421" s="32"/>
      <c r="I421" s="48">
        <v>15.3</v>
      </c>
      <c r="J421" s="32"/>
      <c r="K421" s="33">
        <v>0.26</v>
      </c>
      <c r="L421" s="33">
        <v>0.09</v>
      </c>
      <c r="M421" s="33">
        <v>3</v>
      </c>
      <c r="N421" s="33">
        <v>1.1100000000000001</v>
      </c>
      <c r="O421" s="32"/>
      <c r="P421" s="33">
        <v>12</v>
      </c>
      <c r="Q421" s="33">
        <v>3.2</v>
      </c>
      <c r="R421" s="33" t="s">
        <v>739</v>
      </c>
      <c r="S421" s="32"/>
      <c r="T421" s="33">
        <v>5</v>
      </c>
      <c r="U421" s="35">
        <v>61</v>
      </c>
    </row>
    <row r="422" spans="1:21">
      <c r="A422" s="50" t="s">
        <v>744</v>
      </c>
      <c r="B422" s="33" t="s">
        <v>1618</v>
      </c>
      <c r="C422" s="33">
        <v>100</v>
      </c>
      <c r="D422" s="33">
        <v>283</v>
      </c>
      <c r="E422" s="33">
        <v>55.8</v>
      </c>
      <c r="F422" s="48">
        <v>12.4</v>
      </c>
      <c r="G422" s="48">
        <v>23.3</v>
      </c>
      <c r="H422" s="32"/>
      <c r="I422" s="48">
        <v>5.9</v>
      </c>
      <c r="J422" s="32"/>
      <c r="K422" s="33">
        <v>0.12</v>
      </c>
      <c r="L422" s="33">
        <v>0.09</v>
      </c>
      <c r="M422" s="33">
        <v>12.6</v>
      </c>
      <c r="N422" s="32"/>
      <c r="O422" s="33">
        <v>618</v>
      </c>
      <c r="P422" s="33">
        <v>18</v>
      </c>
      <c r="Q422" s="33">
        <v>3.5</v>
      </c>
      <c r="R422" s="33" t="s">
        <v>739</v>
      </c>
      <c r="S422" s="32"/>
      <c r="T422" s="33">
        <v>5</v>
      </c>
      <c r="U422" s="35">
        <v>47</v>
      </c>
    </row>
    <row r="423" spans="1:21">
      <c r="A423" s="50" t="s">
        <v>745</v>
      </c>
      <c r="B423" s="32"/>
      <c r="C423" s="33">
        <v>100</v>
      </c>
      <c r="D423" s="33">
        <v>433</v>
      </c>
      <c r="E423" s="33">
        <v>33.5</v>
      </c>
      <c r="F423" s="48">
        <v>18</v>
      </c>
      <c r="G423" s="48">
        <v>37.299999999999997</v>
      </c>
      <c r="H423" s="32"/>
      <c r="I423" s="48">
        <v>6.4</v>
      </c>
      <c r="J423" s="32"/>
      <c r="K423" s="33">
        <v>0.42</v>
      </c>
      <c r="L423" s="33">
        <v>7.0000000000000007E-2</v>
      </c>
      <c r="M423" s="33">
        <v>5.7</v>
      </c>
      <c r="N423" s="32"/>
      <c r="O423" s="33">
        <v>1477.9</v>
      </c>
      <c r="P423" s="33">
        <v>5</v>
      </c>
      <c r="Q423" s="33">
        <v>2.8</v>
      </c>
      <c r="R423" s="33" t="s">
        <v>739</v>
      </c>
      <c r="S423" s="32"/>
      <c r="T423" s="33">
        <v>5</v>
      </c>
      <c r="U423" s="35">
        <v>94</v>
      </c>
    </row>
    <row r="424" spans="1:21">
      <c r="A424" s="50" t="s">
        <v>746</v>
      </c>
      <c r="B424" s="33" t="s">
        <v>1618</v>
      </c>
      <c r="C424" s="33">
        <v>100</v>
      </c>
      <c r="D424" s="33">
        <v>260</v>
      </c>
      <c r="E424" s="33">
        <v>51.4</v>
      </c>
      <c r="F424" s="48">
        <v>10.199999999999999</v>
      </c>
      <c r="G424" s="48">
        <v>15.3</v>
      </c>
      <c r="H424" s="32"/>
      <c r="I424" s="48">
        <v>20.3</v>
      </c>
      <c r="J424" s="32"/>
      <c r="K424" s="33">
        <v>0.05</v>
      </c>
      <c r="L424" s="33">
        <v>0.11</v>
      </c>
      <c r="M424" s="33">
        <v>11.3</v>
      </c>
      <c r="N424" s="33">
        <v>0.41</v>
      </c>
      <c r="O424" s="33">
        <v>781.3</v>
      </c>
      <c r="P424" s="33">
        <v>22</v>
      </c>
      <c r="Q424" s="33">
        <v>4.7</v>
      </c>
      <c r="R424" s="33" t="s">
        <v>739</v>
      </c>
      <c r="S424" s="32"/>
      <c r="T424" s="33">
        <v>5</v>
      </c>
      <c r="U424" s="35">
        <v>23</v>
      </c>
    </row>
    <row r="425" spans="1:21">
      <c r="A425" s="50" t="s">
        <v>747</v>
      </c>
      <c r="B425" s="32"/>
      <c r="C425" s="33">
        <v>100</v>
      </c>
      <c r="D425" s="33">
        <v>212</v>
      </c>
      <c r="E425" s="33">
        <v>57.4</v>
      </c>
      <c r="F425" s="48">
        <v>14</v>
      </c>
      <c r="G425" s="48">
        <v>10.4</v>
      </c>
      <c r="H425" s="32"/>
      <c r="I425" s="48">
        <v>15.6</v>
      </c>
      <c r="J425" s="33">
        <v>5</v>
      </c>
      <c r="K425" s="33">
        <v>0.26</v>
      </c>
      <c r="L425" s="33">
        <v>0.43</v>
      </c>
      <c r="M425" s="33">
        <v>2.2999999999999998</v>
      </c>
      <c r="N425" s="33">
        <v>0.71</v>
      </c>
      <c r="O425" s="33">
        <v>771.2</v>
      </c>
      <c r="P425" s="33">
        <v>9</v>
      </c>
      <c r="Q425" s="33">
        <v>4.5</v>
      </c>
      <c r="R425" s="33" t="s">
        <v>739</v>
      </c>
      <c r="S425" s="32"/>
      <c r="T425" s="33">
        <v>5</v>
      </c>
      <c r="U425" s="35">
        <v>57</v>
      </c>
    </row>
    <row r="426" spans="1:21">
      <c r="A426" s="50" t="s">
        <v>748</v>
      </c>
      <c r="B426" s="33" t="s">
        <v>1628</v>
      </c>
      <c r="C426" s="33">
        <v>100</v>
      </c>
      <c r="D426" s="33">
        <v>584</v>
      </c>
      <c r="E426" s="33">
        <v>8.4</v>
      </c>
      <c r="F426" s="48">
        <v>22</v>
      </c>
      <c r="G426" s="48">
        <v>48.3</v>
      </c>
      <c r="H426" s="32"/>
      <c r="I426" s="48">
        <v>15.3</v>
      </c>
      <c r="J426" s="32"/>
      <c r="K426" s="33">
        <v>0.04</v>
      </c>
      <c r="L426" s="33">
        <v>0.12</v>
      </c>
      <c r="M426" s="33">
        <v>3.8</v>
      </c>
      <c r="N426" s="32"/>
      <c r="O426" s="33">
        <v>1420</v>
      </c>
      <c r="P426" s="33">
        <v>24</v>
      </c>
      <c r="Q426" s="33">
        <v>3.2</v>
      </c>
      <c r="R426" s="33" t="s">
        <v>739</v>
      </c>
      <c r="S426" s="32"/>
      <c r="T426" s="33">
        <v>5</v>
      </c>
      <c r="U426" s="35">
        <v>88</v>
      </c>
    </row>
    <row r="427" spans="1:21">
      <c r="A427" s="50" t="s">
        <v>749</v>
      </c>
      <c r="B427" s="33" t="s">
        <v>1624</v>
      </c>
      <c r="C427" s="33">
        <v>100</v>
      </c>
      <c r="D427" s="33">
        <v>402</v>
      </c>
      <c r="E427" s="33">
        <v>30.4</v>
      </c>
      <c r="F427" s="48">
        <v>12.3</v>
      </c>
      <c r="G427" s="48">
        <v>26.5</v>
      </c>
      <c r="H427" s="32"/>
      <c r="I427" s="48">
        <v>28.5</v>
      </c>
      <c r="J427" s="33">
        <v>10</v>
      </c>
      <c r="K427" s="33">
        <v>0.2</v>
      </c>
      <c r="L427" s="33">
        <v>0.1</v>
      </c>
      <c r="M427" s="33">
        <v>3.1</v>
      </c>
      <c r="N427" s="33">
        <v>0.09</v>
      </c>
      <c r="O427" s="33">
        <v>759</v>
      </c>
      <c r="P427" s="33">
        <v>5</v>
      </c>
      <c r="Q427" s="33">
        <v>2.8</v>
      </c>
      <c r="R427" s="33" t="s">
        <v>739</v>
      </c>
      <c r="S427" s="32"/>
      <c r="T427" s="33">
        <v>5</v>
      </c>
      <c r="U427" s="35">
        <v>38</v>
      </c>
    </row>
    <row r="428" spans="1:21">
      <c r="A428" s="50" t="s">
        <v>750</v>
      </c>
      <c r="B428" s="33" t="s">
        <v>1618</v>
      </c>
      <c r="C428" s="33">
        <v>100</v>
      </c>
      <c r="D428" s="33">
        <v>297</v>
      </c>
      <c r="E428" s="33">
        <v>52.5</v>
      </c>
      <c r="F428" s="48">
        <v>7.5</v>
      </c>
      <c r="G428" s="48">
        <v>25.4</v>
      </c>
      <c r="H428" s="32"/>
      <c r="I428" s="48">
        <v>9.5</v>
      </c>
      <c r="J428" s="33">
        <v>5</v>
      </c>
      <c r="K428" s="33">
        <v>0.06</v>
      </c>
      <c r="L428" s="33">
        <v>0.15</v>
      </c>
      <c r="M428" s="33">
        <v>1</v>
      </c>
      <c r="N428" s="33">
        <v>0.27</v>
      </c>
      <c r="O428" s="33">
        <v>561.5</v>
      </c>
      <c r="P428" s="33">
        <v>13</v>
      </c>
      <c r="Q428" s="33">
        <v>1.9</v>
      </c>
      <c r="R428" s="33" t="s">
        <v>739</v>
      </c>
      <c r="S428" s="32"/>
      <c r="T428" s="33">
        <v>5</v>
      </c>
      <c r="U428" s="35">
        <v>51</v>
      </c>
    </row>
    <row r="429" spans="1:21">
      <c r="A429" s="50" t="s">
        <v>751</v>
      </c>
      <c r="B429" s="32"/>
      <c r="C429" s="33">
        <v>100</v>
      </c>
      <c r="D429" s="33">
        <v>261</v>
      </c>
      <c r="E429" s="33">
        <v>52.4</v>
      </c>
      <c r="F429" s="48">
        <v>2.9</v>
      </c>
      <c r="G429" s="48">
        <v>16.600000000000001</v>
      </c>
      <c r="H429" s="32"/>
      <c r="I429" s="48">
        <v>24.9</v>
      </c>
      <c r="J429" s="33">
        <v>65</v>
      </c>
      <c r="K429" s="33">
        <v>0.1</v>
      </c>
      <c r="L429" s="33">
        <v>0.71</v>
      </c>
      <c r="M429" s="33">
        <v>0.4</v>
      </c>
      <c r="N429" s="33">
        <v>0.18</v>
      </c>
      <c r="O429" s="33">
        <v>552.79999999999995</v>
      </c>
      <c r="P429" s="33">
        <v>2</v>
      </c>
      <c r="Q429" s="33">
        <v>4.7</v>
      </c>
      <c r="R429" s="33" t="s">
        <v>739</v>
      </c>
      <c r="S429" s="32"/>
      <c r="T429" s="33">
        <v>5</v>
      </c>
      <c r="U429" s="35">
        <v>47</v>
      </c>
    </row>
    <row r="430" spans="1:21">
      <c r="A430" s="50" t="s">
        <v>752</v>
      </c>
      <c r="B430" s="32"/>
      <c r="C430" s="33">
        <v>100</v>
      </c>
      <c r="D430" s="33">
        <v>508</v>
      </c>
      <c r="E430" s="33">
        <v>19.2</v>
      </c>
      <c r="F430" s="48">
        <v>24.1</v>
      </c>
      <c r="G430" s="48">
        <v>40.700000000000003</v>
      </c>
      <c r="H430" s="32"/>
      <c r="I430" s="48">
        <v>11.2</v>
      </c>
      <c r="J430" s="32"/>
      <c r="K430" s="33">
        <v>0.48</v>
      </c>
      <c r="L430" s="33">
        <v>0.11</v>
      </c>
      <c r="M430" s="33">
        <v>4.4000000000000004</v>
      </c>
      <c r="N430" s="33">
        <v>1.05</v>
      </c>
      <c r="O430" s="33">
        <v>2309.1999999999998</v>
      </c>
      <c r="P430" s="33">
        <v>14</v>
      </c>
      <c r="Q430" s="33">
        <v>5.8</v>
      </c>
      <c r="R430" s="33" t="s">
        <v>739</v>
      </c>
      <c r="S430" s="32"/>
      <c r="T430" s="33">
        <v>5</v>
      </c>
      <c r="U430" s="35">
        <v>82</v>
      </c>
    </row>
    <row r="431" spans="1:21">
      <c r="A431" s="50" t="s">
        <v>753</v>
      </c>
      <c r="B431" s="32"/>
      <c r="C431" s="33">
        <v>100</v>
      </c>
      <c r="D431" s="33">
        <v>280</v>
      </c>
      <c r="E431" s="33">
        <v>56.2</v>
      </c>
      <c r="F431" s="48">
        <v>11.8</v>
      </c>
      <c r="G431" s="48">
        <v>23.2</v>
      </c>
      <c r="H431" s="32"/>
      <c r="I431" s="48">
        <v>6</v>
      </c>
      <c r="J431" s="33">
        <v>158</v>
      </c>
      <c r="K431" s="33">
        <v>0.27</v>
      </c>
      <c r="L431" s="33">
        <v>0.14000000000000001</v>
      </c>
      <c r="M431" s="33">
        <v>2.6</v>
      </c>
      <c r="N431" s="33">
        <v>0.17</v>
      </c>
      <c r="O431" s="33">
        <v>682.2</v>
      </c>
      <c r="P431" s="33">
        <v>10</v>
      </c>
      <c r="Q431" s="33">
        <v>2.2000000000000002</v>
      </c>
      <c r="R431" s="33" t="s">
        <v>739</v>
      </c>
      <c r="S431" s="32"/>
      <c r="T431" s="33">
        <v>5</v>
      </c>
      <c r="U431" s="35">
        <v>72</v>
      </c>
    </row>
    <row r="432" spans="1:21">
      <c r="A432" s="50" t="s">
        <v>754</v>
      </c>
      <c r="B432" s="33" t="s">
        <v>1618</v>
      </c>
      <c r="C432" s="33">
        <v>100</v>
      </c>
      <c r="D432" s="33">
        <v>295</v>
      </c>
      <c r="E432" s="33">
        <v>56.4</v>
      </c>
      <c r="F432" s="48">
        <v>11.3</v>
      </c>
      <c r="G432" s="48">
        <v>26.3</v>
      </c>
      <c r="H432" s="32"/>
      <c r="I432" s="48">
        <v>3.2</v>
      </c>
      <c r="J432" s="32"/>
      <c r="K432" s="33">
        <v>0.16</v>
      </c>
      <c r="L432" s="33">
        <v>7.0000000000000007E-2</v>
      </c>
      <c r="M432" s="33">
        <v>13.4</v>
      </c>
      <c r="N432" s="32"/>
      <c r="O432" s="33">
        <v>648.20000000000005</v>
      </c>
      <c r="P432" s="33">
        <v>20</v>
      </c>
      <c r="Q432" s="33">
        <v>1.1000000000000001</v>
      </c>
      <c r="R432" s="33" t="s">
        <v>739</v>
      </c>
      <c r="S432" s="32"/>
      <c r="T432" s="33">
        <v>5</v>
      </c>
      <c r="U432" s="35">
        <v>59</v>
      </c>
    </row>
    <row r="433" spans="1:21">
      <c r="A433" s="50" t="s">
        <v>755</v>
      </c>
      <c r="B433" s="33" t="s">
        <v>1618</v>
      </c>
      <c r="C433" s="33">
        <v>100</v>
      </c>
      <c r="D433" s="33">
        <v>290</v>
      </c>
      <c r="E433" s="33">
        <v>60.7</v>
      </c>
      <c r="F433" s="48">
        <v>7.9</v>
      </c>
      <c r="G433" s="48">
        <v>28.1</v>
      </c>
      <c r="H433" s="32"/>
      <c r="I433" s="48">
        <v>1.3</v>
      </c>
      <c r="J433" s="32"/>
      <c r="K433" s="33">
        <v>0.23</v>
      </c>
      <c r="L433" s="33">
        <v>0.18</v>
      </c>
      <c r="M433" s="33">
        <v>1.9</v>
      </c>
      <c r="N433" s="33">
        <v>0.85</v>
      </c>
      <c r="O433" s="33">
        <v>874.3</v>
      </c>
      <c r="P433" s="33">
        <v>6</v>
      </c>
      <c r="Q433" s="33">
        <v>0.6</v>
      </c>
      <c r="R433" s="33" t="s">
        <v>739</v>
      </c>
      <c r="S433" s="32"/>
      <c r="T433" s="33">
        <v>5</v>
      </c>
      <c r="U433" s="49"/>
    </row>
    <row r="434" spans="1:21">
      <c r="A434" s="50" t="s">
        <v>756</v>
      </c>
      <c r="B434" s="32"/>
      <c r="C434" s="33">
        <v>100</v>
      </c>
      <c r="D434" s="33">
        <v>279</v>
      </c>
      <c r="E434" s="33">
        <v>49.2</v>
      </c>
      <c r="F434" s="48">
        <v>23.8</v>
      </c>
      <c r="G434" s="48">
        <v>16.899999999999999</v>
      </c>
      <c r="H434" s="32"/>
      <c r="I434" s="48">
        <v>7.9</v>
      </c>
      <c r="J434" s="33">
        <v>16</v>
      </c>
      <c r="K434" s="33">
        <v>0.66</v>
      </c>
      <c r="L434" s="33">
        <v>0.23</v>
      </c>
      <c r="M434" s="33">
        <v>7</v>
      </c>
      <c r="N434" s="33">
        <v>0.68</v>
      </c>
      <c r="O434" s="33">
        <v>818.8</v>
      </c>
      <c r="P434" s="33">
        <v>8</v>
      </c>
      <c r="Q434" s="33">
        <v>2.6</v>
      </c>
      <c r="R434" s="33" t="s">
        <v>739</v>
      </c>
      <c r="S434" s="32"/>
      <c r="T434" s="33">
        <v>5</v>
      </c>
      <c r="U434" s="35">
        <v>68</v>
      </c>
    </row>
    <row r="435" spans="1:21">
      <c r="A435" s="50" t="s">
        <v>757</v>
      </c>
      <c r="B435" s="33" t="s">
        <v>1627</v>
      </c>
      <c r="C435" s="33">
        <v>100</v>
      </c>
      <c r="D435" s="33">
        <v>117</v>
      </c>
      <c r="E435" s="33">
        <v>73.900000000000006</v>
      </c>
      <c r="F435" s="48">
        <v>16.2</v>
      </c>
      <c r="G435" s="48">
        <v>5</v>
      </c>
      <c r="H435" s="32"/>
      <c r="I435" s="48">
        <v>1.9</v>
      </c>
      <c r="J435" s="32"/>
      <c r="K435" s="33">
        <v>0.5</v>
      </c>
      <c r="L435" s="33">
        <v>0.2</v>
      </c>
      <c r="M435" s="33">
        <v>17.399999999999999</v>
      </c>
      <c r="N435" s="33">
        <v>0.15</v>
      </c>
      <c r="O435" s="33">
        <v>424.5</v>
      </c>
      <c r="P435" s="33">
        <v>1</v>
      </c>
      <c r="Q435" s="33">
        <v>3</v>
      </c>
      <c r="R435" s="33" t="s">
        <v>739</v>
      </c>
      <c r="S435" s="32"/>
      <c r="T435" s="33">
        <v>5</v>
      </c>
      <c r="U435" s="35">
        <v>45</v>
      </c>
    </row>
    <row r="436" spans="1:21">
      <c r="A436" s="50" t="s">
        <v>758</v>
      </c>
      <c r="B436" s="33" t="s">
        <v>1618</v>
      </c>
      <c r="C436" s="33">
        <v>100</v>
      </c>
      <c r="D436" s="33">
        <v>336</v>
      </c>
      <c r="E436" s="33">
        <v>44.5</v>
      </c>
      <c r="F436" s="48">
        <v>17.7</v>
      </c>
      <c r="G436" s="48">
        <v>27.6</v>
      </c>
      <c r="H436" s="32"/>
      <c r="I436" s="48">
        <v>4.2</v>
      </c>
      <c r="J436" s="33">
        <v>31</v>
      </c>
      <c r="K436" s="33">
        <v>0.37</v>
      </c>
      <c r="L436" s="33">
        <v>0.11</v>
      </c>
      <c r="M436" s="33">
        <v>10.4</v>
      </c>
      <c r="N436" s="33">
        <v>1.51</v>
      </c>
      <c r="O436" s="33">
        <v>471.9</v>
      </c>
      <c r="P436" s="33">
        <v>47</v>
      </c>
      <c r="Q436" s="33">
        <v>2</v>
      </c>
      <c r="R436" s="33" t="s">
        <v>739</v>
      </c>
      <c r="S436" s="32"/>
      <c r="T436" s="33">
        <v>5</v>
      </c>
      <c r="U436" s="35">
        <v>62</v>
      </c>
    </row>
    <row r="437" spans="1:21">
      <c r="A437" s="50" t="s">
        <v>759</v>
      </c>
      <c r="B437" s="32"/>
      <c r="C437" s="33">
        <v>80</v>
      </c>
      <c r="D437" s="33">
        <v>116</v>
      </c>
      <c r="E437" s="33">
        <v>76</v>
      </c>
      <c r="F437" s="48">
        <v>16.8</v>
      </c>
      <c r="G437" s="48">
        <v>4.5999999999999996</v>
      </c>
      <c r="H437" s="32"/>
      <c r="I437" s="48">
        <v>1.8</v>
      </c>
      <c r="J437" s="33">
        <v>157</v>
      </c>
      <c r="K437" s="33">
        <v>0.34</v>
      </c>
      <c r="L437" s="33">
        <v>0.2</v>
      </c>
      <c r="M437" s="33">
        <v>3.5</v>
      </c>
      <c r="N437" s="33">
        <v>1.4</v>
      </c>
      <c r="O437" s="33">
        <v>47.4</v>
      </c>
      <c r="P437" s="33">
        <v>52</v>
      </c>
      <c r="Q437" s="33">
        <v>2.9</v>
      </c>
      <c r="R437" s="33" t="s">
        <v>739</v>
      </c>
      <c r="S437" s="32"/>
      <c r="T437" s="33">
        <v>5</v>
      </c>
      <c r="U437" s="35">
        <v>62</v>
      </c>
    </row>
    <row r="438" spans="1:21">
      <c r="A438" s="50" t="s">
        <v>760</v>
      </c>
      <c r="B438" s="32"/>
      <c r="C438" s="33">
        <v>100</v>
      </c>
      <c r="D438" s="33">
        <v>330</v>
      </c>
      <c r="E438" s="33">
        <v>47.9</v>
      </c>
      <c r="F438" s="48">
        <v>16</v>
      </c>
      <c r="G438" s="48">
        <v>27.4</v>
      </c>
      <c r="H438" s="32"/>
      <c r="I438" s="48">
        <v>4.9000000000000004</v>
      </c>
      <c r="J438" s="33">
        <v>46</v>
      </c>
      <c r="K438" s="33">
        <v>0.28000000000000003</v>
      </c>
      <c r="L438" s="33">
        <v>0.09</v>
      </c>
      <c r="M438" s="33">
        <v>8.6</v>
      </c>
      <c r="N438" s="33">
        <v>0.8</v>
      </c>
      <c r="O438" s="33">
        <v>1086.7</v>
      </c>
      <c r="P438" s="33">
        <v>3</v>
      </c>
      <c r="Q438" s="33">
        <v>2.2000000000000002</v>
      </c>
      <c r="R438" s="33" t="s">
        <v>739</v>
      </c>
      <c r="S438" s="32"/>
      <c r="T438" s="33">
        <v>5</v>
      </c>
      <c r="U438" s="35">
        <v>120</v>
      </c>
    </row>
    <row r="439" spans="1:21">
      <c r="A439" s="50" t="s">
        <v>761</v>
      </c>
      <c r="B439" s="33" t="s">
        <v>1699</v>
      </c>
      <c r="C439" s="33">
        <v>100</v>
      </c>
      <c r="D439" s="33">
        <v>318</v>
      </c>
      <c r="E439" s="33">
        <v>48.7</v>
      </c>
      <c r="F439" s="48">
        <v>16.399999999999999</v>
      </c>
      <c r="G439" s="48">
        <v>28</v>
      </c>
      <c r="H439" s="32"/>
      <c r="I439" s="48">
        <v>0</v>
      </c>
      <c r="J439" s="33">
        <v>20</v>
      </c>
      <c r="K439" s="33">
        <v>0.51</v>
      </c>
      <c r="L439" s="33">
        <v>0.18</v>
      </c>
      <c r="M439" s="33">
        <v>4.8</v>
      </c>
      <c r="N439" s="33">
        <v>0.18</v>
      </c>
      <c r="O439" s="33">
        <v>233.4</v>
      </c>
      <c r="P439" s="33">
        <v>9</v>
      </c>
      <c r="Q439" s="33">
        <v>2.1</v>
      </c>
      <c r="R439" s="33" t="s">
        <v>739</v>
      </c>
      <c r="S439" s="32"/>
      <c r="T439" s="33">
        <v>5</v>
      </c>
      <c r="U439" s="35">
        <v>98</v>
      </c>
    </row>
    <row r="440" spans="1:21">
      <c r="A440" s="50" t="s">
        <v>762</v>
      </c>
      <c r="B440" s="33" t="s">
        <v>1700</v>
      </c>
      <c r="C440" s="33">
        <v>100</v>
      </c>
      <c r="D440" s="33">
        <v>529</v>
      </c>
      <c r="E440" s="33">
        <v>24.6</v>
      </c>
      <c r="F440" s="48">
        <v>12.4</v>
      </c>
      <c r="G440" s="48">
        <v>50.4</v>
      </c>
      <c r="H440" s="32"/>
      <c r="I440" s="48">
        <v>6.4</v>
      </c>
      <c r="J440" s="32"/>
      <c r="K440" s="33">
        <v>0.17</v>
      </c>
      <c r="L440" s="32"/>
      <c r="M440" s="32"/>
      <c r="N440" s="32"/>
      <c r="O440" s="32"/>
      <c r="P440" s="32"/>
      <c r="Q440" s="32"/>
      <c r="R440" s="33" t="s">
        <v>739</v>
      </c>
      <c r="S440" s="32"/>
      <c r="T440" s="33">
        <v>5</v>
      </c>
      <c r="U440" s="35">
        <v>166</v>
      </c>
    </row>
    <row r="441" spans="1:21">
      <c r="A441" s="50" t="s">
        <v>763</v>
      </c>
      <c r="B441" s="32"/>
      <c r="C441" s="33">
        <v>100</v>
      </c>
      <c r="D441" s="33">
        <v>246</v>
      </c>
      <c r="E441" s="33">
        <v>50.7</v>
      </c>
      <c r="F441" s="48">
        <v>31.4</v>
      </c>
      <c r="G441" s="48">
        <v>11.9</v>
      </c>
      <c r="H441" s="32"/>
      <c r="I441" s="48">
        <v>3.2</v>
      </c>
      <c r="J441" s="33">
        <v>11</v>
      </c>
      <c r="K441" s="33">
        <v>0.05</v>
      </c>
      <c r="L441" s="33">
        <v>0.22</v>
      </c>
      <c r="M441" s="33">
        <v>4.4000000000000004</v>
      </c>
      <c r="N441" s="33">
        <v>1.25</v>
      </c>
      <c r="O441" s="33">
        <v>869.2</v>
      </c>
      <c r="P441" s="33">
        <v>20</v>
      </c>
      <c r="Q441" s="33">
        <v>4</v>
      </c>
      <c r="R441" s="33" t="s">
        <v>739</v>
      </c>
      <c r="S441" s="32"/>
      <c r="T441" s="33">
        <v>5</v>
      </c>
      <c r="U441" s="35">
        <v>116</v>
      </c>
    </row>
    <row r="442" spans="1:21">
      <c r="A442" s="50" t="s">
        <v>764</v>
      </c>
      <c r="B442" s="32"/>
      <c r="C442" s="33">
        <v>100</v>
      </c>
      <c r="D442" s="33">
        <v>246</v>
      </c>
      <c r="E442" s="33">
        <v>50.7</v>
      </c>
      <c r="F442" s="48">
        <v>31.4</v>
      </c>
      <c r="G442" s="48">
        <v>11.9</v>
      </c>
      <c r="H442" s="32"/>
      <c r="I442" s="48">
        <v>3.2</v>
      </c>
      <c r="J442" s="33">
        <v>11</v>
      </c>
      <c r="K442" s="33">
        <v>0.05</v>
      </c>
      <c r="L442" s="33">
        <v>0.22</v>
      </c>
      <c r="M442" s="33">
        <v>4.4000000000000004</v>
      </c>
      <c r="N442" s="33">
        <v>1.25</v>
      </c>
      <c r="O442" s="33">
        <v>869.2</v>
      </c>
      <c r="P442" s="33">
        <v>20</v>
      </c>
      <c r="Q442" s="33">
        <v>4</v>
      </c>
      <c r="R442" s="33" t="s">
        <v>739</v>
      </c>
      <c r="S442" s="32"/>
      <c r="T442" s="33">
        <v>5</v>
      </c>
      <c r="U442" s="35">
        <v>76</v>
      </c>
    </row>
    <row r="443" spans="1:21">
      <c r="A443" s="50" t="s">
        <v>765</v>
      </c>
      <c r="B443" s="33" t="s">
        <v>1618</v>
      </c>
      <c r="C443" s="33">
        <v>100</v>
      </c>
      <c r="D443" s="33">
        <v>272</v>
      </c>
      <c r="E443" s="33">
        <v>45.7</v>
      </c>
      <c r="F443" s="48">
        <v>25.4</v>
      </c>
      <c r="G443" s="48">
        <v>13.7</v>
      </c>
      <c r="H443" s="32"/>
      <c r="I443" s="48">
        <v>11.8</v>
      </c>
      <c r="J443" s="32"/>
      <c r="K443" s="33">
        <v>7.0000000000000007E-2</v>
      </c>
      <c r="L443" s="33">
        <v>0.06</v>
      </c>
      <c r="M443" s="33">
        <v>8.3000000000000007</v>
      </c>
      <c r="N443" s="33">
        <v>1.28</v>
      </c>
      <c r="O443" s="33">
        <v>937.8</v>
      </c>
      <c r="P443" s="33">
        <v>43</v>
      </c>
      <c r="Q443" s="33">
        <v>4.0999999999999996</v>
      </c>
      <c r="R443" s="33" t="s">
        <v>739</v>
      </c>
      <c r="S443" s="32"/>
      <c r="T443" s="33">
        <v>5</v>
      </c>
      <c r="U443" s="35">
        <v>92</v>
      </c>
    </row>
    <row r="444" spans="1:21">
      <c r="A444" s="50" t="s">
        <v>766</v>
      </c>
      <c r="B444" s="33" t="s">
        <v>1627</v>
      </c>
      <c r="C444" s="33">
        <v>96</v>
      </c>
      <c r="D444" s="33">
        <v>549</v>
      </c>
      <c r="E444" s="33">
        <v>24</v>
      </c>
      <c r="F444" s="48">
        <v>15.5</v>
      </c>
      <c r="G444" s="48">
        <v>50.4</v>
      </c>
      <c r="H444" s="32"/>
      <c r="I444" s="48">
        <v>8.4</v>
      </c>
      <c r="J444" s="33">
        <v>4</v>
      </c>
      <c r="K444" s="33">
        <v>7.0000000000000007E-2</v>
      </c>
      <c r="L444" s="33">
        <v>0.14000000000000001</v>
      </c>
      <c r="M444" s="33">
        <v>2.5</v>
      </c>
      <c r="N444" s="33">
        <v>0.49</v>
      </c>
      <c r="O444" s="33">
        <v>257.39999999999998</v>
      </c>
      <c r="P444" s="33">
        <v>9</v>
      </c>
      <c r="Q444" s="33">
        <v>1.5</v>
      </c>
      <c r="R444" s="33" t="s">
        <v>739</v>
      </c>
      <c r="S444" s="32"/>
      <c r="T444" s="33">
        <v>5</v>
      </c>
      <c r="U444" s="35">
        <v>92</v>
      </c>
    </row>
    <row r="445" spans="1:21">
      <c r="A445" s="50" t="s">
        <v>767</v>
      </c>
      <c r="B445" s="33" t="s">
        <v>1627</v>
      </c>
      <c r="C445" s="33">
        <v>100</v>
      </c>
      <c r="D445" s="33">
        <v>181</v>
      </c>
      <c r="E445" s="33">
        <v>63.1</v>
      </c>
      <c r="F445" s="48">
        <v>22.3</v>
      </c>
      <c r="G445" s="48">
        <v>9</v>
      </c>
      <c r="H445" s="32"/>
      <c r="I445" s="48">
        <v>2.6</v>
      </c>
      <c r="J445" s="32"/>
      <c r="K445" s="33">
        <v>0.9</v>
      </c>
      <c r="L445" s="33">
        <v>0.11</v>
      </c>
      <c r="M445" s="33">
        <v>4.5</v>
      </c>
      <c r="N445" s="33">
        <v>0.11</v>
      </c>
      <c r="O445" s="33">
        <v>51.2</v>
      </c>
      <c r="P445" s="33">
        <v>2</v>
      </c>
      <c r="Q445" s="33">
        <v>2.4</v>
      </c>
      <c r="R445" s="33" t="s">
        <v>739</v>
      </c>
      <c r="S445" s="32"/>
      <c r="T445" s="33">
        <v>5</v>
      </c>
      <c r="U445" s="35">
        <v>46</v>
      </c>
    </row>
    <row r="446" spans="1:21">
      <c r="A446" s="50" t="s">
        <v>768</v>
      </c>
      <c r="B446" s="33" t="s">
        <v>1700</v>
      </c>
      <c r="C446" s="33">
        <v>100</v>
      </c>
      <c r="D446" s="33">
        <v>498</v>
      </c>
      <c r="E446" s="33">
        <v>31.1</v>
      </c>
      <c r="F446" s="48">
        <v>11.8</v>
      </c>
      <c r="G446" s="48">
        <v>48.8</v>
      </c>
      <c r="H446" s="32"/>
      <c r="I446" s="48">
        <v>2.9</v>
      </c>
      <c r="J446" s="33">
        <v>96</v>
      </c>
      <c r="K446" s="32"/>
      <c r="L446" s="32"/>
      <c r="M446" s="32"/>
      <c r="N446" s="33">
        <v>6.23</v>
      </c>
      <c r="O446" s="33">
        <v>763.9</v>
      </c>
      <c r="P446" s="33">
        <v>22</v>
      </c>
      <c r="Q446" s="33">
        <v>7.5</v>
      </c>
      <c r="R446" s="33" t="s">
        <v>739</v>
      </c>
      <c r="S446" s="32"/>
      <c r="T446" s="33">
        <v>5</v>
      </c>
      <c r="U446" s="35">
        <v>123</v>
      </c>
    </row>
    <row r="447" spans="1:21">
      <c r="A447" s="50" t="s">
        <v>769</v>
      </c>
      <c r="B447" s="33" t="s">
        <v>1700</v>
      </c>
      <c r="C447" s="33">
        <v>100</v>
      </c>
      <c r="D447" s="33">
        <v>587</v>
      </c>
      <c r="E447" s="33">
        <v>10.9</v>
      </c>
      <c r="F447" s="48">
        <v>13.2</v>
      </c>
      <c r="G447" s="48">
        <v>48.9</v>
      </c>
      <c r="H447" s="32"/>
      <c r="I447" s="48">
        <v>23.6</v>
      </c>
      <c r="J447" s="32"/>
      <c r="K447" s="33">
        <v>0.23</v>
      </c>
      <c r="L447" s="32"/>
      <c r="M447" s="32"/>
      <c r="N447" s="32"/>
      <c r="O447" s="32"/>
      <c r="P447" s="32"/>
      <c r="Q447" s="32"/>
      <c r="R447" s="33" t="s">
        <v>739</v>
      </c>
      <c r="S447" s="32"/>
      <c r="T447" s="33">
        <v>5</v>
      </c>
      <c r="U447" s="35">
        <v>135</v>
      </c>
    </row>
    <row r="448" spans="1:21">
      <c r="A448" s="50" t="s">
        <v>770</v>
      </c>
      <c r="B448" s="33" t="s">
        <v>1700</v>
      </c>
      <c r="C448" s="33">
        <v>100</v>
      </c>
      <c r="D448" s="33">
        <v>246</v>
      </c>
      <c r="E448" s="33">
        <v>47.8</v>
      </c>
      <c r="F448" s="48">
        <v>26.1</v>
      </c>
      <c r="G448" s="48">
        <v>10.6</v>
      </c>
      <c r="H448" s="32"/>
      <c r="I448" s="48">
        <v>11.5</v>
      </c>
      <c r="J448" s="32"/>
      <c r="K448" s="33">
        <v>0.03</v>
      </c>
      <c r="L448" s="33">
        <v>0.5</v>
      </c>
      <c r="M448" s="33">
        <v>3.4</v>
      </c>
      <c r="N448" s="33">
        <v>7.26</v>
      </c>
      <c r="O448" s="33">
        <v>8991.6</v>
      </c>
      <c r="P448" s="33">
        <v>14</v>
      </c>
      <c r="Q448" s="33">
        <v>6.6</v>
      </c>
      <c r="R448" s="33" t="s">
        <v>739</v>
      </c>
      <c r="S448" s="32"/>
      <c r="T448" s="33">
        <v>5</v>
      </c>
      <c r="U448" s="35">
        <v>100</v>
      </c>
    </row>
    <row r="449" spans="1:21">
      <c r="A449" s="50" t="s">
        <v>771</v>
      </c>
      <c r="B449" s="33" t="s">
        <v>1700</v>
      </c>
      <c r="C449" s="33">
        <v>100</v>
      </c>
      <c r="D449" s="33">
        <v>143</v>
      </c>
      <c r="E449" s="33">
        <v>60.4</v>
      </c>
      <c r="F449" s="48">
        <v>29.7</v>
      </c>
      <c r="G449" s="48">
        <v>0.8</v>
      </c>
      <c r="H449" s="32"/>
      <c r="I449" s="48">
        <v>4.3</v>
      </c>
      <c r="J449" s="32"/>
      <c r="K449" s="32"/>
      <c r="L449" s="32"/>
      <c r="M449" s="32"/>
      <c r="N449" s="33">
        <v>0.56999999999999995</v>
      </c>
      <c r="O449" s="33">
        <v>698.1</v>
      </c>
      <c r="P449" s="33">
        <v>51</v>
      </c>
      <c r="Q449" s="33">
        <v>6.8</v>
      </c>
      <c r="R449" s="33" t="s">
        <v>739</v>
      </c>
      <c r="S449" s="32"/>
      <c r="T449" s="33">
        <v>5</v>
      </c>
      <c r="U449" s="35">
        <v>186</v>
      </c>
    </row>
    <row r="450" spans="1:21">
      <c r="A450" s="50" t="s">
        <v>772</v>
      </c>
      <c r="B450" s="33" t="s">
        <v>1700</v>
      </c>
      <c r="C450" s="33">
        <v>100</v>
      </c>
      <c r="D450" s="33">
        <v>186</v>
      </c>
      <c r="E450" s="33">
        <v>51.8</v>
      </c>
      <c r="F450" s="48">
        <v>39</v>
      </c>
      <c r="G450" s="48">
        <v>2.2999999999999998</v>
      </c>
      <c r="H450" s="32"/>
      <c r="I450" s="48">
        <v>2.2999999999999998</v>
      </c>
      <c r="J450" s="32"/>
      <c r="K450" s="33">
        <v>0.05</v>
      </c>
      <c r="L450" s="32"/>
      <c r="M450" s="32"/>
      <c r="N450" s="32"/>
      <c r="O450" s="32"/>
      <c r="P450" s="32"/>
      <c r="Q450" s="32"/>
      <c r="R450" s="33" t="s">
        <v>739</v>
      </c>
      <c r="S450" s="32"/>
      <c r="T450" s="33">
        <v>5</v>
      </c>
      <c r="U450" s="35">
        <v>356</v>
      </c>
    </row>
    <row r="451" spans="1:21">
      <c r="A451" s="50" t="s">
        <v>773</v>
      </c>
      <c r="B451" s="33" t="s">
        <v>1701</v>
      </c>
      <c r="C451" s="33">
        <v>100</v>
      </c>
      <c r="D451" s="33">
        <v>116</v>
      </c>
      <c r="E451" s="33">
        <v>72.2</v>
      </c>
      <c r="F451" s="48">
        <v>25.6</v>
      </c>
      <c r="G451" s="48">
        <v>1.4</v>
      </c>
      <c r="H451" s="32"/>
      <c r="I451" s="48">
        <v>0.2</v>
      </c>
      <c r="J451" s="33">
        <v>9</v>
      </c>
      <c r="K451" s="33">
        <v>0.01</v>
      </c>
      <c r="L451" s="32"/>
      <c r="M451" s="32"/>
      <c r="N451" s="32"/>
      <c r="O451" s="33">
        <v>210.3</v>
      </c>
      <c r="P451" s="33">
        <v>36</v>
      </c>
      <c r="Q451" s="33">
        <v>4</v>
      </c>
      <c r="R451" s="33" t="s">
        <v>739</v>
      </c>
      <c r="S451" s="32"/>
      <c r="T451" s="33">
        <v>5</v>
      </c>
      <c r="U451" s="35">
        <v>55</v>
      </c>
    </row>
    <row r="452" spans="1:21">
      <c r="A452" s="50" t="s">
        <v>774</v>
      </c>
      <c r="B452" s="33" t="s">
        <v>1701</v>
      </c>
      <c r="C452" s="33">
        <v>100</v>
      </c>
      <c r="D452" s="33">
        <v>310</v>
      </c>
      <c r="E452" s="33">
        <v>21.9</v>
      </c>
      <c r="F452" s="48">
        <v>72.8</v>
      </c>
      <c r="G452" s="48">
        <v>2</v>
      </c>
      <c r="H452" s="32"/>
      <c r="I452" s="48">
        <v>0.3</v>
      </c>
      <c r="J452" s="33">
        <v>26</v>
      </c>
      <c r="K452" s="33">
        <v>0.03</v>
      </c>
      <c r="L452" s="32"/>
      <c r="M452" s="32"/>
      <c r="N452" s="32"/>
      <c r="O452" s="33">
        <v>170.6</v>
      </c>
      <c r="P452" s="33">
        <v>152</v>
      </c>
      <c r="Q452" s="33">
        <v>0.3</v>
      </c>
      <c r="R452" s="33" t="s">
        <v>739</v>
      </c>
      <c r="S452" s="32"/>
      <c r="T452" s="33">
        <v>5</v>
      </c>
      <c r="U452" s="35">
        <v>360</v>
      </c>
    </row>
    <row r="453" spans="1:21">
      <c r="A453" s="50" t="s">
        <v>775</v>
      </c>
      <c r="B453" s="32"/>
      <c r="C453" s="33">
        <v>100</v>
      </c>
      <c r="D453" s="33">
        <v>116</v>
      </c>
      <c r="E453" s="33">
        <v>73.8</v>
      </c>
      <c r="F453" s="48">
        <v>21.5</v>
      </c>
      <c r="G453" s="48">
        <v>3.2</v>
      </c>
      <c r="H453" s="32"/>
      <c r="I453" s="48">
        <v>0.4</v>
      </c>
      <c r="J453" s="33">
        <v>72</v>
      </c>
      <c r="K453" s="33">
        <v>0.03</v>
      </c>
      <c r="L453" s="33">
        <v>0.16</v>
      </c>
      <c r="M453" s="33">
        <v>2.5</v>
      </c>
      <c r="N453" s="33">
        <v>2.76</v>
      </c>
      <c r="O453" s="33">
        <v>46.9</v>
      </c>
      <c r="P453" s="33">
        <v>2</v>
      </c>
      <c r="Q453" s="33">
        <v>4.3</v>
      </c>
      <c r="R453" s="33" t="s">
        <v>739</v>
      </c>
      <c r="S453" s="32"/>
      <c r="T453" s="33">
        <v>5</v>
      </c>
      <c r="U453" s="35">
        <v>74</v>
      </c>
    </row>
    <row r="454" spans="1:21">
      <c r="A454" s="50" t="s">
        <v>776</v>
      </c>
      <c r="B454" s="33" t="s">
        <v>1645</v>
      </c>
      <c r="C454" s="33">
        <v>100</v>
      </c>
      <c r="D454" s="33">
        <v>251</v>
      </c>
      <c r="E454" s="33">
        <v>57.7</v>
      </c>
      <c r="F454" s="48">
        <v>32.299999999999997</v>
      </c>
      <c r="G454" s="48">
        <v>13.5</v>
      </c>
      <c r="H454" s="32"/>
      <c r="I454" s="48">
        <v>0</v>
      </c>
      <c r="J454" s="33">
        <v>25</v>
      </c>
      <c r="K454" s="32"/>
      <c r="L454" s="33">
        <v>0.1</v>
      </c>
      <c r="M454" s="32"/>
      <c r="N454" s="33">
        <v>0.39</v>
      </c>
      <c r="O454" s="33">
        <v>207.4</v>
      </c>
      <c r="P454" s="33">
        <v>13</v>
      </c>
      <c r="Q454" s="33">
        <v>8.3000000000000007</v>
      </c>
      <c r="R454" s="33" t="s">
        <v>739</v>
      </c>
      <c r="S454" s="32"/>
      <c r="T454" s="33">
        <v>5</v>
      </c>
      <c r="U454" s="49"/>
    </row>
    <row r="455" spans="1:21">
      <c r="A455" s="50" t="s">
        <v>777</v>
      </c>
      <c r="B455" s="33" t="s">
        <v>1655</v>
      </c>
      <c r="C455" s="33">
        <v>100</v>
      </c>
      <c r="D455" s="33">
        <v>186</v>
      </c>
      <c r="E455" s="33">
        <v>57.5</v>
      </c>
      <c r="F455" s="48">
        <v>24.6</v>
      </c>
      <c r="G455" s="48">
        <v>4.8</v>
      </c>
      <c r="H455" s="32"/>
      <c r="I455" s="48">
        <v>11</v>
      </c>
      <c r="J455" s="32"/>
      <c r="K455" s="33">
        <v>0.01</v>
      </c>
      <c r="L455" s="33">
        <v>0.1</v>
      </c>
      <c r="M455" s="33">
        <v>2.2000000000000002</v>
      </c>
      <c r="N455" s="32"/>
      <c r="O455" s="33">
        <v>881.4</v>
      </c>
      <c r="P455" s="33">
        <v>14</v>
      </c>
      <c r="Q455" s="33">
        <v>3</v>
      </c>
      <c r="R455" s="33" t="s">
        <v>739</v>
      </c>
      <c r="S455" s="32"/>
      <c r="T455" s="33">
        <v>5</v>
      </c>
      <c r="U455" s="35">
        <v>208</v>
      </c>
    </row>
    <row r="456" spans="1:21">
      <c r="A456" s="50" t="s">
        <v>778</v>
      </c>
      <c r="B456" s="33" t="s">
        <v>1702</v>
      </c>
      <c r="C456" s="33">
        <v>100</v>
      </c>
      <c r="D456" s="33">
        <v>122</v>
      </c>
      <c r="E456" s="33">
        <v>74.099999999999994</v>
      </c>
      <c r="F456" s="48">
        <v>20.100000000000001</v>
      </c>
      <c r="G456" s="48">
        <v>4.5999999999999996</v>
      </c>
      <c r="H456" s="32"/>
      <c r="I456" s="48">
        <v>0.1</v>
      </c>
      <c r="J456" s="33">
        <v>28</v>
      </c>
      <c r="K456" s="33">
        <v>0.06</v>
      </c>
      <c r="L456" s="33">
        <v>0.25</v>
      </c>
      <c r="M456" s="33">
        <v>2.2000000000000002</v>
      </c>
      <c r="N456" s="33">
        <v>1.42</v>
      </c>
      <c r="O456" s="33">
        <v>115.8</v>
      </c>
      <c r="P456" s="33">
        <v>5</v>
      </c>
      <c r="Q456" s="33">
        <v>5.0999999999999996</v>
      </c>
      <c r="R456" s="33" t="s">
        <v>739</v>
      </c>
      <c r="S456" s="32"/>
      <c r="T456" s="33">
        <v>5</v>
      </c>
      <c r="U456" s="35">
        <v>84</v>
      </c>
    </row>
    <row r="457" spans="1:21">
      <c r="A457" s="50" t="s">
        <v>779</v>
      </c>
      <c r="B457" s="33" t="s">
        <v>1665</v>
      </c>
      <c r="C457" s="33">
        <v>100</v>
      </c>
      <c r="D457" s="33">
        <v>104</v>
      </c>
      <c r="E457" s="33">
        <v>76.3</v>
      </c>
      <c r="F457" s="48">
        <v>18.899999999999999</v>
      </c>
      <c r="G457" s="48">
        <v>2.7</v>
      </c>
      <c r="H457" s="32"/>
      <c r="I457" s="48">
        <v>1</v>
      </c>
      <c r="J457" s="33">
        <v>32</v>
      </c>
      <c r="K457" s="33">
        <v>0.22</v>
      </c>
      <c r="L457" s="33">
        <v>0.28999999999999998</v>
      </c>
      <c r="M457" s="33">
        <v>2.9</v>
      </c>
      <c r="N457" s="33">
        <v>1.99</v>
      </c>
      <c r="O457" s="33">
        <v>66.2</v>
      </c>
      <c r="P457" s="33">
        <v>25</v>
      </c>
      <c r="Q457" s="33">
        <v>11.9</v>
      </c>
      <c r="R457" s="33" t="s">
        <v>739</v>
      </c>
      <c r="S457" s="32"/>
      <c r="T457" s="33">
        <v>5</v>
      </c>
      <c r="U457" s="35">
        <v>119</v>
      </c>
    </row>
    <row r="458" spans="1:21">
      <c r="A458" s="50" t="s">
        <v>780</v>
      </c>
      <c r="B458" s="33" t="s">
        <v>1649</v>
      </c>
      <c r="C458" s="33">
        <v>100</v>
      </c>
      <c r="D458" s="33">
        <v>66</v>
      </c>
      <c r="E458" s="33">
        <v>85.9</v>
      </c>
      <c r="F458" s="48">
        <v>11</v>
      </c>
      <c r="G458" s="48">
        <v>2.2999999999999998</v>
      </c>
      <c r="H458" s="32"/>
      <c r="I458" s="48">
        <v>0.4</v>
      </c>
      <c r="J458" s="32"/>
      <c r="K458" s="33">
        <v>0.03</v>
      </c>
      <c r="L458" s="33">
        <v>0.08</v>
      </c>
      <c r="M458" s="33">
        <v>1.2</v>
      </c>
      <c r="N458" s="32"/>
      <c r="O458" s="33">
        <v>28</v>
      </c>
      <c r="P458" s="33">
        <v>12</v>
      </c>
      <c r="Q458" s="33">
        <v>2</v>
      </c>
      <c r="R458" s="33" t="s">
        <v>739</v>
      </c>
      <c r="S458" s="32"/>
      <c r="T458" s="33">
        <v>5</v>
      </c>
      <c r="U458" s="35">
        <v>124</v>
      </c>
    </row>
    <row r="459" spans="1:21">
      <c r="A459" s="50" t="s">
        <v>781</v>
      </c>
      <c r="B459" s="32"/>
      <c r="C459" s="33">
        <v>100</v>
      </c>
      <c r="D459" s="33">
        <v>72</v>
      </c>
      <c r="E459" s="33">
        <v>83.4</v>
      </c>
      <c r="F459" s="48">
        <v>14.5</v>
      </c>
      <c r="G459" s="48">
        <v>1.6</v>
      </c>
      <c r="H459" s="32"/>
      <c r="I459" s="48">
        <v>0</v>
      </c>
      <c r="J459" s="33">
        <v>2</v>
      </c>
      <c r="K459" s="33">
        <v>0.03</v>
      </c>
      <c r="L459" s="33">
        <v>0.13</v>
      </c>
      <c r="M459" s="33">
        <v>2.5</v>
      </c>
      <c r="N459" s="33">
        <v>0.51</v>
      </c>
      <c r="O459" s="33">
        <v>60.6</v>
      </c>
      <c r="P459" s="33">
        <v>40</v>
      </c>
      <c r="Q459" s="33">
        <v>1.8</v>
      </c>
      <c r="R459" s="33" t="s">
        <v>739</v>
      </c>
      <c r="S459" s="32"/>
      <c r="T459" s="33">
        <v>5</v>
      </c>
      <c r="U459" s="35">
        <v>104</v>
      </c>
    </row>
    <row r="460" spans="1:21">
      <c r="A460" s="50" t="s">
        <v>782</v>
      </c>
      <c r="B460" s="32"/>
      <c r="C460" s="33">
        <v>100</v>
      </c>
      <c r="D460" s="33">
        <v>94</v>
      </c>
      <c r="E460" s="33">
        <v>78.599999999999994</v>
      </c>
      <c r="F460" s="48">
        <v>16.5</v>
      </c>
      <c r="G460" s="48">
        <v>2.5</v>
      </c>
      <c r="H460" s="32"/>
      <c r="I460" s="48">
        <v>1.5</v>
      </c>
      <c r="J460" s="33">
        <v>12</v>
      </c>
      <c r="K460" s="33">
        <v>0.04</v>
      </c>
      <c r="L460" s="33">
        <v>0.21</v>
      </c>
      <c r="M460" s="33">
        <v>3.4</v>
      </c>
      <c r="N460" s="33">
        <v>0.34</v>
      </c>
      <c r="O460" s="33">
        <v>154.80000000000001</v>
      </c>
      <c r="P460" s="33">
        <v>8</v>
      </c>
      <c r="Q460" s="33">
        <v>11.7</v>
      </c>
      <c r="R460" s="33" t="s">
        <v>739</v>
      </c>
      <c r="S460" s="32"/>
      <c r="T460" s="33">
        <v>5</v>
      </c>
      <c r="U460" s="35">
        <v>306</v>
      </c>
    </row>
    <row r="461" spans="1:21">
      <c r="A461" s="50" t="s">
        <v>783</v>
      </c>
      <c r="B461" s="32"/>
      <c r="C461" s="33">
        <v>100</v>
      </c>
      <c r="D461" s="33">
        <v>139</v>
      </c>
      <c r="E461" s="33">
        <v>68.7</v>
      </c>
      <c r="F461" s="48">
        <v>19.8</v>
      </c>
      <c r="G461" s="48">
        <v>3.9</v>
      </c>
      <c r="H461" s="32"/>
      <c r="I461" s="48">
        <v>6.2</v>
      </c>
      <c r="J461" s="33">
        <v>20220</v>
      </c>
      <c r="K461" s="33">
        <v>0.16</v>
      </c>
      <c r="L461" s="33">
        <v>1.3</v>
      </c>
      <c r="M461" s="33">
        <v>11.9</v>
      </c>
      <c r="N461" s="33">
        <v>0.13</v>
      </c>
      <c r="O461" s="33">
        <v>45</v>
      </c>
      <c r="P461" s="33">
        <v>4</v>
      </c>
      <c r="Q461" s="33">
        <v>6.6</v>
      </c>
      <c r="R461" s="33" t="s">
        <v>739</v>
      </c>
      <c r="S461" s="32"/>
      <c r="T461" s="33">
        <v>5</v>
      </c>
      <c r="U461" s="35">
        <v>297</v>
      </c>
    </row>
    <row r="462" spans="1:21">
      <c r="A462" s="50" t="s">
        <v>784</v>
      </c>
      <c r="B462" s="33" t="s">
        <v>1641</v>
      </c>
      <c r="C462" s="33">
        <v>100</v>
      </c>
      <c r="D462" s="33">
        <v>149</v>
      </c>
      <c r="E462" s="33">
        <v>75.099999999999994</v>
      </c>
      <c r="F462" s="48">
        <v>12.5</v>
      </c>
      <c r="G462" s="48">
        <v>11</v>
      </c>
      <c r="H462" s="32"/>
      <c r="I462" s="48">
        <v>0.1</v>
      </c>
      <c r="J462" s="32"/>
      <c r="K462" s="33">
        <v>0.15</v>
      </c>
      <c r="L462" s="33">
        <v>0.25</v>
      </c>
      <c r="M462" s="33">
        <v>4</v>
      </c>
      <c r="N462" s="32"/>
      <c r="O462" s="33">
        <v>185.6</v>
      </c>
      <c r="P462" s="33">
        <v>583</v>
      </c>
      <c r="Q462" s="33">
        <v>4.7</v>
      </c>
      <c r="R462" s="33" t="s">
        <v>739</v>
      </c>
      <c r="S462" s="32"/>
      <c r="T462" s="33">
        <v>5</v>
      </c>
      <c r="U462" s="35">
        <v>2447</v>
      </c>
    </row>
    <row r="463" spans="1:21">
      <c r="A463" s="50" t="s">
        <v>785</v>
      </c>
      <c r="B463" s="32"/>
      <c r="C463" s="33">
        <v>100</v>
      </c>
      <c r="D463" s="33">
        <v>190</v>
      </c>
      <c r="E463" s="33">
        <v>68.099999999999994</v>
      </c>
      <c r="F463" s="48">
        <v>18.100000000000001</v>
      </c>
      <c r="G463" s="48">
        <v>13.4</v>
      </c>
      <c r="H463" s="32"/>
      <c r="I463" s="48">
        <v>0</v>
      </c>
      <c r="J463" s="33">
        <v>9</v>
      </c>
      <c r="K463" s="33">
        <v>0.03</v>
      </c>
      <c r="L463" s="33">
        <v>0.11</v>
      </c>
      <c r="M463" s="33">
        <v>7.4</v>
      </c>
      <c r="N463" s="33">
        <v>0.22</v>
      </c>
      <c r="O463" s="33">
        <v>57.4</v>
      </c>
      <c r="P463" s="33">
        <v>8</v>
      </c>
      <c r="Q463" s="33">
        <v>3.2</v>
      </c>
      <c r="R463" s="33" t="s">
        <v>739</v>
      </c>
      <c r="S463" s="32"/>
      <c r="T463" s="33">
        <v>5</v>
      </c>
      <c r="U463" s="35">
        <v>84</v>
      </c>
    </row>
    <row r="464" spans="1:21">
      <c r="A464" s="50" t="s">
        <v>786</v>
      </c>
      <c r="B464" s="32"/>
      <c r="C464" s="33">
        <v>100</v>
      </c>
      <c r="D464" s="33">
        <v>123</v>
      </c>
      <c r="E464" s="33">
        <v>75.099999999999994</v>
      </c>
      <c r="F464" s="48">
        <v>18.600000000000001</v>
      </c>
      <c r="G464" s="48">
        <v>5.4</v>
      </c>
      <c r="H464" s="32"/>
      <c r="I464" s="48">
        <v>0</v>
      </c>
      <c r="J464" s="33">
        <v>7</v>
      </c>
      <c r="K464" s="33">
        <v>0.06</v>
      </c>
      <c r="L464" s="33">
        <v>0.13</v>
      </c>
      <c r="M464" s="33">
        <v>3.1</v>
      </c>
      <c r="N464" s="33">
        <v>0.37</v>
      </c>
      <c r="O464" s="33">
        <v>66.599999999999994</v>
      </c>
      <c r="P464" s="33">
        <v>19</v>
      </c>
      <c r="Q464" s="33">
        <v>2.7</v>
      </c>
      <c r="R464" s="33" t="s">
        <v>739</v>
      </c>
      <c r="S464" s="32"/>
      <c r="T464" s="33">
        <v>5</v>
      </c>
      <c r="U464" s="35">
        <v>84</v>
      </c>
    </row>
    <row r="465" spans="1:21">
      <c r="A465" s="50" t="s">
        <v>787</v>
      </c>
      <c r="B465" s="33" t="s">
        <v>1618</v>
      </c>
      <c r="C465" s="33">
        <v>100</v>
      </c>
      <c r="D465" s="33">
        <v>98</v>
      </c>
      <c r="E465" s="33">
        <v>77.099999999999994</v>
      </c>
      <c r="F465" s="48">
        <v>19.8</v>
      </c>
      <c r="G465" s="48">
        <v>2</v>
      </c>
      <c r="H465" s="32"/>
      <c r="I465" s="48">
        <v>0.1</v>
      </c>
      <c r="J465" s="33">
        <v>2</v>
      </c>
      <c r="K465" s="33">
        <v>0.02</v>
      </c>
      <c r="L465" s="33">
        <v>0.18</v>
      </c>
      <c r="M465" s="33">
        <v>5.7</v>
      </c>
      <c r="N465" s="33">
        <v>0.81</v>
      </c>
      <c r="O465" s="33">
        <v>30.6</v>
      </c>
      <c r="P465" s="33">
        <v>7</v>
      </c>
      <c r="Q465" s="33">
        <v>2.1</v>
      </c>
      <c r="R465" s="33" t="s">
        <v>739</v>
      </c>
      <c r="S465" s="32"/>
      <c r="T465" s="33">
        <v>5</v>
      </c>
      <c r="U465" s="35">
        <v>58</v>
      </c>
    </row>
    <row r="466" spans="1:21">
      <c r="A466" s="50" t="s">
        <v>788</v>
      </c>
      <c r="B466" s="33" t="s">
        <v>1618</v>
      </c>
      <c r="C466" s="33">
        <v>94</v>
      </c>
      <c r="D466" s="33">
        <v>93</v>
      </c>
      <c r="E466" s="33">
        <v>78.099999999999994</v>
      </c>
      <c r="F466" s="48">
        <v>18</v>
      </c>
      <c r="G466" s="48">
        <v>1.8</v>
      </c>
      <c r="H466" s="32"/>
      <c r="I466" s="48">
        <v>1.1000000000000001</v>
      </c>
      <c r="J466" s="33">
        <v>3</v>
      </c>
      <c r="K466" s="33">
        <v>0.02</v>
      </c>
      <c r="L466" s="33">
        <v>0.18</v>
      </c>
      <c r="M466" s="33">
        <v>3.7</v>
      </c>
      <c r="N466" s="33">
        <v>0.74</v>
      </c>
      <c r="O466" s="33">
        <v>70.599999999999994</v>
      </c>
      <c r="P466" s="33">
        <v>6</v>
      </c>
      <c r="Q466" s="33">
        <v>2.2999999999999998</v>
      </c>
      <c r="R466" s="33" t="s">
        <v>739</v>
      </c>
      <c r="S466" s="32"/>
      <c r="T466" s="33">
        <v>5</v>
      </c>
      <c r="U466" s="35">
        <v>58</v>
      </c>
    </row>
    <row r="467" spans="1:21">
      <c r="A467" s="50" t="s">
        <v>789</v>
      </c>
      <c r="B467" s="33" t="s">
        <v>1618</v>
      </c>
      <c r="C467" s="33">
        <v>95</v>
      </c>
      <c r="D467" s="33">
        <v>100</v>
      </c>
      <c r="E467" s="33">
        <v>76.599999999999994</v>
      </c>
      <c r="F467" s="48">
        <v>18.399999999999999</v>
      </c>
      <c r="G467" s="48">
        <v>2.1</v>
      </c>
      <c r="H467" s="32"/>
      <c r="I467" s="48">
        <v>1.8</v>
      </c>
      <c r="J467" s="33">
        <v>2</v>
      </c>
      <c r="K467" s="33">
        <v>0.02</v>
      </c>
      <c r="L467" s="33">
        <v>0.18</v>
      </c>
      <c r="M467" s="33">
        <v>4.0999999999999996</v>
      </c>
      <c r="N467" s="33">
        <v>0.42</v>
      </c>
      <c r="O467" s="33">
        <v>61.2</v>
      </c>
      <c r="P467" s="33">
        <v>6</v>
      </c>
      <c r="Q467" s="33">
        <v>3</v>
      </c>
      <c r="R467" s="33" t="s">
        <v>739</v>
      </c>
      <c r="S467" s="32"/>
      <c r="T467" s="33">
        <v>5</v>
      </c>
      <c r="U467" s="35">
        <v>58</v>
      </c>
    </row>
    <row r="468" spans="1:21">
      <c r="A468" s="50" t="s">
        <v>790</v>
      </c>
      <c r="B468" s="33" t="s">
        <v>1618</v>
      </c>
      <c r="C468" s="33">
        <v>100</v>
      </c>
      <c r="D468" s="33">
        <v>95</v>
      </c>
      <c r="E468" s="33">
        <v>78</v>
      </c>
      <c r="F468" s="48">
        <v>15.7</v>
      </c>
      <c r="G468" s="48">
        <v>2.4</v>
      </c>
      <c r="H468" s="32"/>
      <c r="I468" s="48">
        <v>2.7</v>
      </c>
      <c r="J468" s="33">
        <v>2</v>
      </c>
      <c r="K468" s="33">
        <v>0.02</v>
      </c>
      <c r="L468" s="33">
        <v>0.19</v>
      </c>
      <c r="M468" s="33">
        <v>3.9</v>
      </c>
      <c r="N468" s="33">
        <v>0.71</v>
      </c>
      <c r="O468" s="33">
        <v>54.6</v>
      </c>
      <c r="P468" s="33">
        <v>7</v>
      </c>
      <c r="Q468" s="33">
        <v>1.6</v>
      </c>
      <c r="R468" s="33" t="s">
        <v>739</v>
      </c>
      <c r="S468" s="32"/>
      <c r="T468" s="33">
        <v>5</v>
      </c>
      <c r="U468" s="35">
        <v>58</v>
      </c>
    </row>
    <row r="469" spans="1:21">
      <c r="A469" s="50" t="s">
        <v>791</v>
      </c>
      <c r="B469" s="32"/>
      <c r="C469" s="33">
        <v>100</v>
      </c>
      <c r="D469" s="33">
        <v>106</v>
      </c>
      <c r="E469" s="33">
        <v>75.2</v>
      </c>
      <c r="F469" s="48">
        <v>20.2</v>
      </c>
      <c r="G469" s="48">
        <v>2.2999999999999998</v>
      </c>
      <c r="H469" s="32"/>
      <c r="I469" s="48">
        <v>1.2</v>
      </c>
      <c r="J469" s="33">
        <v>6</v>
      </c>
      <c r="K469" s="33">
        <v>7.0000000000000007E-2</v>
      </c>
      <c r="L469" s="33">
        <v>0.13</v>
      </c>
      <c r="M469" s="33">
        <v>6.3</v>
      </c>
      <c r="N469" s="33">
        <v>0.35</v>
      </c>
      <c r="O469" s="33">
        <v>53.6</v>
      </c>
      <c r="P469" s="33">
        <v>9</v>
      </c>
      <c r="Q469" s="33">
        <v>2.8</v>
      </c>
      <c r="R469" s="33" t="s">
        <v>739</v>
      </c>
      <c r="S469" s="32"/>
      <c r="T469" s="33">
        <v>5</v>
      </c>
      <c r="U469" s="35">
        <v>58</v>
      </c>
    </row>
    <row r="470" spans="1:21">
      <c r="A470" s="50" t="s">
        <v>792</v>
      </c>
      <c r="B470" s="33" t="s">
        <v>1631</v>
      </c>
      <c r="C470" s="33">
        <v>100</v>
      </c>
      <c r="D470" s="33">
        <v>550</v>
      </c>
      <c r="E470" s="33">
        <v>9.3000000000000007</v>
      </c>
      <c r="F470" s="48">
        <v>45.6</v>
      </c>
      <c r="G470" s="48">
        <v>40</v>
      </c>
      <c r="H470" s="32"/>
      <c r="I470" s="48">
        <v>1.9</v>
      </c>
      <c r="J470" s="32"/>
      <c r="K470" s="33">
        <v>0.06</v>
      </c>
      <c r="L470" s="33">
        <v>0.26</v>
      </c>
      <c r="M470" s="33">
        <v>15.2</v>
      </c>
      <c r="N470" s="32"/>
      <c r="O470" s="33">
        <v>412.4</v>
      </c>
      <c r="P470" s="33">
        <v>43</v>
      </c>
      <c r="Q470" s="33">
        <v>15.6</v>
      </c>
      <c r="R470" s="33" t="s">
        <v>739</v>
      </c>
      <c r="S470" s="32"/>
      <c r="T470" s="33">
        <v>5</v>
      </c>
      <c r="U470" s="35">
        <v>120</v>
      </c>
    </row>
    <row r="471" spans="1:21">
      <c r="A471" s="50" t="s">
        <v>793</v>
      </c>
      <c r="B471" s="33" t="s">
        <v>1618</v>
      </c>
      <c r="C471" s="33">
        <v>100</v>
      </c>
      <c r="D471" s="33">
        <v>445</v>
      </c>
      <c r="E471" s="33">
        <v>2.7</v>
      </c>
      <c r="F471" s="48">
        <v>8.1999999999999993</v>
      </c>
      <c r="G471" s="48">
        <v>15.7</v>
      </c>
      <c r="H471" s="32"/>
      <c r="I471" s="48">
        <v>67.7</v>
      </c>
      <c r="J471" s="33">
        <v>90</v>
      </c>
      <c r="K471" s="33">
        <v>0.04</v>
      </c>
      <c r="L471" s="33">
        <v>0.11</v>
      </c>
      <c r="M471" s="33">
        <v>0.9</v>
      </c>
      <c r="N471" s="33">
        <v>18.239999999999998</v>
      </c>
      <c r="O471" s="33">
        <v>1945.7</v>
      </c>
      <c r="P471" s="33">
        <v>76</v>
      </c>
      <c r="Q471" s="33">
        <v>4.5999999999999996</v>
      </c>
      <c r="R471" s="33" t="s">
        <v>739</v>
      </c>
      <c r="S471" s="32"/>
      <c r="T471" s="33">
        <v>5</v>
      </c>
      <c r="U471" s="35">
        <v>169</v>
      </c>
    </row>
    <row r="472" spans="1:21">
      <c r="A472" s="50" t="s">
        <v>794</v>
      </c>
      <c r="B472" s="32"/>
      <c r="C472" s="33">
        <v>100</v>
      </c>
      <c r="D472" s="33">
        <v>196</v>
      </c>
      <c r="E472" s="33">
        <v>66.7</v>
      </c>
      <c r="F472" s="48">
        <v>17</v>
      </c>
      <c r="G472" s="48">
        <v>13.3</v>
      </c>
      <c r="H472" s="32"/>
      <c r="I472" s="48">
        <v>2</v>
      </c>
      <c r="J472" s="33">
        <v>8</v>
      </c>
      <c r="K472" s="33">
        <v>0.1</v>
      </c>
      <c r="L472" s="33">
        <v>0.16</v>
      </c>
      <c r="M472" s="33">
        <v>3.6</v>
      </c>
      <c r="N472" s="33">
        <v>0.55000000000000004</v>
      </c>
      <c r="O472" s="33">
        <v>58.4</v>
      </c>
      <c r="P472" s="33">
        <v>6</v>
      </c>
      <c r="Q472" s="33">
        <v>3.1</v>
      </c>
      <c r="R472" s="33" t="s">
        <v>739</v>
      </c>
      <c r="S472" s="32"/>
      <c r="T472" s="33">
        <v>5</v>
      </c>
      <c r="U472" s="35">
        <v>92</v>
      </c>
    </row>
    <row r="473" spans="1:21">
      <c r="A473" s="50" t="s">
        <v>795</v>
      </c>
      <c r="B473" s="32"/>
      <c r="C473" s="33">
        <v>89</v>
      </c>
      <c r="D473" s="33">
        <v>94</v>
      </c>
      <c r="E473" s="33">
        <v>78.3</v>
      </c>
      <c r="F473" s="48">
        <v>15.6</v>
      </c>
      <c r="G473" s="48">
        <v>2.4</v>
      </c>
      <c r="H473" s="32"/>
      <c r="I473" s="48">
        <v>2.6</v>
      </c>
      <c r="J473" s="33">
        <v>88</v>
      </c>
      <c r="K473" s="33">
        <v>0.24</v>
      </c>
      <c r="L473" s="33">
        <v>0.85</v>
      </c>
      <c r="M473" s="33">
        <v>7.7</v>
      </c>
      <c r="N473" s="33">
        <v>0.19</v>
      </c>
      <c r="O473" s="33">
        <v>180.8</v>
      </c>
      <c r="P473" s="33">
        <v>8</v>
      </c>
      <c r="Q473" s="33">
        <v>9.4</v>
      </c>
      <c r="R473" s="33" t="s">
        <v>739</v>
      </c>
      <c r="S473" s="32"/>
      <c r="T473" s="33">
        <v>5</v>
      </c>
      <c r="U473" s="35">
        <v>295</v>
      </c>
    </row>
    <row r="474" spans="1:21">
      <c r="A474" s="50" t="s">
        <v>796</v>
      </c>
      <c r="B474" s="33" t="s">
        <v>1618</v>
      </c>
      <c r="C474" s="33">
        <v>100</v>
      </c>
      <c r="D474" s="33">
        <v>151</v>
      </c>
      <c r="E474" s="33">
        <v>62</v>
      </c>
      <c r="F474" s="48">
        <v>38.4</v>
      </c>
      <c r="G474" s="48">
        <v>0.5</v>
      </c>
      <c r="H474" s="32"/>
      <c r="I474" s="48">
        <v>0</v>
      </c>
      <c r="J474" s="32"/>
      <c r="K474" s="33">
        <v>7.0000000000000007E-2</v>
      </c>
      <c r="L474" s="33">
        <v>0.13</v>
      </c>
      <c r="M474" s="33">
        <v>0.7</v>
      </c>
      <c r="N474" s="32"/>
      <c r="O474" s="33">
        <v>153.6</v>
      </c>
      <c r="P474" s="33">
        <v>5</v>
      </c>
      <c r="Q474" s="33">
        <v>3.2</v>
      </c>
      <c r="R474" s="33" t="s">
        <v>739</v>
      </c>
      <c r="S474" s="32"/>
      <c r="T474" s="33">
        <v>5</v>
      </c>
      <c r="U474" s="49"/>
    </row>
    <row r="475" spans="1:21">
      <c r="A475" s="50" t="s">
        <v>797</v>
      </c>
      <c r="B475" s="33" t="s">
        <v>1641</v>
      </c>
      <c r="C475" s="33">
        <v>100</v>
      </c>
      <c r="D475" s="33">
        <v>147</v>
      </c>
      <c r="E475" s="33">
        <v>64</v>
      </c>
      <c r="F475" s="48">
        <v>35.200000000000003</v>
      </c>
      <c r="G475" s="48">
        <v>0.6</v>
      </c>
      <c r="H475" s="32"/>
      <c r="I475" s="48">
        <v>0.1</v>
      </c>
      <c r="J475" s="32"/>
      <c r="K475" s="32"/>
      <c r="L475" s="32"/>
      <c r="M475" s="32"/>
      <c r="N475" s="32"/>
      <c r="O475" s="33">
        <v>99.3</v>
      </c>
      <c r="P475" s="33">
        <v>13</v>
      </c>
      <c r="Q475" s="33">
        <v>1.7</v>
      </c>
      <c r="R475" s="33" t="s">
        <v>739</v>
      </c>
      <c r="S475" s="32"/>
      <c r="T475" s="33">
        <v>5</v>
      </c>
      <c r="U475" s="35">
        <v>51</v>
      </c>
    </row>
    <row r="476" spans="1:21">
      <c r="A476" s="50" t="s">
        <v>798</v>
      </c>
      <c r="B476" s="32"/>
      <c r="C476" s="33">
        <v>100</v>
      </c>
      <c r="D476" s="33">
        <v>106</v>
      </c>
      <c r="E476" s="33">
        <v>77.2</v>
      </c>
      <c r="F476" s="48">
        <v>15.4</v>
      </c>
      <c r="G476" s="48">
        <v>3.5</v>
      </c>
      <c r="H476" s="32"/>
      <c r="I476" s="48">
        <v>3.1</v>
      </c>
      <c r="J476" s="33">
        <v>17</v>
      </c>
      <c r="K476" s="33">
        <v>0.26</v>
      </c>
      <c r="L476" s="33">
        <v>0.39</v>
      </c>
      <c r="M476" s="33">
        <v>6.8</v>
      </c>
      <c r="N476" s="33">
        <v>0.19</v>
      </c>
      <c r="O476" s="33">
        <v>47.9</v>
      </c>
      <c r="P476" s="33">
        <v>4</v>
      </c>
      <c r="Q476" s="33">
        <v>5.9</v>
      </c>
      <c r="R476" s="33" t="s">
        <v>739</v>
      </c>
      <c r="S476" s="32"/>
      <c r="T476" s="33">
        <v>5</v>
      </c>
      <c r="U476" s="35">
        <v>115</v>
      </c>
    </row>
    <row r="477" spans="1:21">
      <c r="A477" s="50" t="s">
        <v>799</v>
      </c>
      <c r="B477" s="33" t="s">
        <v>1641</v>
      </c>
      <c r="C477" s="33">
        <v>100</v>
      </c>
      <c r="D477" s="33">
        <v>52</v>
      </c>
      <c r="E477" s="33">
        <v>86.1</v>
      </c>
      <c r="F477" s="48">
        <v>12.6</v>
      </c>
      <c r="G477" s="51"/>
      <c r="H477" s="32"/>
      <c r="I477" s="48">
        <v>0.5</v>
      </c>
      <c r="J477" s="32"/>
      <c r="K477" s="32"/>
      <c r="L477" s="32"/>
      <c r="M477" s="32"/>
      <c r="N477" s="32"/>
      <c r="O477" s="32"/>
      <c r="P477" s="32"/>
      <c r="Q477" s="32"/>
      <c r="R477" s="33" t="s">
        <v>739</v>
      </c>
      <c r="S477" s="32"/>
      <c r="T477" s="33">
        <v>5</v>
      </c>
      <c r="U477" s="35">
        <v>71</v>
      </c>
    </row>
    <row r="478" spans="1:21">
      <c r="A478" s="50" t="s">
        <v>800</v>
      </c>
      <c r="B478" s="32"/>
      <c r="C478" s="33">
        <v>100</v>
      </c>
      <c r="D478" s="33">
        <v>102</v>
      </c>
      <c r="E478" s="33">
        <v>76.2</v>
      </c>
      <c r="F478" s="48">
        <v>19.7</v>
      </c>
      <c r="G478" s="48">
        <v>2.2000000000000002</v>
      </c>
      <c r="H478" s="32"/>
      <c r="I478" s="48">
        <v>0.9</v>
      </c>
      <c r="J478" s="33">
        <v>212</v>
      </c>
      <c r="K478" s="33">
        <v>0.11</v>
      </c>
      <c r="L478" s="33">
        <v>0.1</v>
      </c>
      <c r="M478" s="33">
        <v>5.8</v>
      </c>
      <c r="N478" s="33">
        <v>0.42</v>
      </c>
      <c r="O478" s="33">
        <v>45.1</v>
      </c>
      <c r="P478" s="33">
        <v>12</v>
      </c>
      <c r="Q478" s="33">
        <v>2</v>
      </c>
      <c r="R478" s="33" t="s">
        <v>739</v>
      </c>
      <c r="S478" s="32"/>
      <c r="T478" s="33">
        <v>5</v>
      </c>
      <c r="U478" s="35">
        <v>59</v>
      </c>
    </row>
    <row r="479" spans="1:21">
      <c r="A479" s="50" t="s">
        <v>801</v>
      </c>
      <c r="B479" s="33" t="s">
        <v>1703</v>
      </c>
      <c r="C479" s="33">
        <v>100</v>
      </c>
      <c r="D479" s="33">
        <v>84</v>
      </c>
      <c r="E479" s="33">
        <v>80.599999999999994</v>
      </c>
      <c r="F479" s="48">
        <v>16.600000000000001</v>
      </c>
      <c r="G479" s="48">
        <v>2</v>
      </c>
      <c r="H479" s="32"/>
      <c r="I479" s="48">
        <v>0</v>
      </c>
      <c r="J479" s="32"/>
      <c r="K479" s="33">
        <v>0.21</v>
      </c>
      <c r="L479" s="32"/>
      <c r="M479" s="32"/>
      <c r="N479" s="32"/>
      <c r="O479" s="33">
        <v>88.3</v>
      </c>
      <c r="P479" s="33">
        <v>23</v>
      </c>
      <c r="Q479" s="33">
        <v>7.4</v>
      </c>
      <c r="R479" s="33" t="s">
        <v>739</v>
      </c>
      <c r="S479" s="32"/>
      <c r="T479" s="33">
        <v>5</v>
      </c>
      <c r="U479" s="49"/>
    </row>
    <row r="480" spans="1:21">
      <c r="A480" s="50" t="s">
        <v>802</v>
      </c>
      <c r="B480" s="33" t="s">
        <v>1618</v>
      </c>
      <c r="C480" s="33">
        <v>100</v>
      </c>
      <c r="D480" s="33">
        <v>166</v>
      </c>
      <c r="E480" s="33">
        <v>70.099999999999994</v>
      </c>
      <c r="F480" s="48">
        <v>16.7</v>
      </c>
      <c r="G480" s="48">
        <v>11</v>
      </c>
      <c r="H480" s="32"/>
      <c r="I480" s="48">
        <v>0.1</v>
      </c>
      <c r="J480" s="32"/>
      <c r="K480" s="33">
        <v>0.04</v>
      </c>
      <c r="L480" s="33">
        <v>0.09</v>
      </c>
      <c r="M480" s="33">
        <v>6.5</v>
      </c>
      <c r="N480" s="33">
        <v>1.22</v>
      </c>
      <c r="O480" s="33">
        <v>609.4</v>
      </c>
      <c r="P480" s="33">
        <v>66</v>
      </c>
      <c r="Q480" s="33">
        <v>2.7</v>
      </c>
      <c r="R480" s="33" t="s">
        <v>739</v>
      </c>
      <c r="S480" s="32"/>
      <c r="T480" s="33">
        <v>5</v>
      </c>
      <c r="U480" s="35">
        <v>84</v>
      </c>
    </row>
    <row r="481" spans="1:21">
      <c r="A481" s="50" t="s">
        <v>803</v>
      </c>
      <c r="B481" s="33" t="s">
        <v>1639</v>
      </c>
      <c r="C481" s="33">
        <v>100</v>
      </c>
      <c r="D481" s="33">
        <v>181</v>
      </c>
      <c r="E481" s="33">
        <v>50.5</v>
      </c>
      <c r="F481" s="48">
        <v>9.3000000000000007</v>
      </c>
      <c r="G481" s="48">
        <v>0.5</v>
      </c>
      <c r="H481" s="32"/>
      <c r="I481" s="48">
        <v>34.700000000000003</v>
      </c>
      <c r="J481" s="33">
        <v>4</v>
      </c>
      <c r="K481" s="33">
        <v>0.01</v>
      </c>
      <c r="L481" s="33">
        <v>0.31</v>
      </c>
      <c r="M481" s="33">
        <v>0.1</v>
      </c>
      <c r="N481" s="33">
        <v>0.32</v>
      </c>
      <c r="O481" s="33">
        <v>294.39999999999998</v>
      </c>
      <c r="P481" s="33">
        <v>36</v>
      </c>
      <c r="Q481" s="33">
        <v>4.7</v>
      </c>
      <c r="R481" s="33" t="s">
        <v>739</v>
      </c>
      <c r="S481" s="32"/>
      <c r="T481" s="33">
        <v>5</v>
      </c>
      <c r="U481" s="49"/>
    </row>
    <row r="482" spans="1:21">
      <c r="A482" s="50" t="s">
        <v>804</v>
      </c>
      <c r="B482" s="33" t="s">
        <v>1618</v>
      </c>
      <c r="C482" s="33">
        <v>100</v>
      </c>
      <c r="D482" s="33">
        <v>229</v>
      </c>
      <c r="E482" s="33">
        <v>59.9</v>
      </c>
      <c r="F482" s="48">
        <v>9.4</v>
      </c>
      <c r="G482" s="48">
        <v>15.9</v>
      </c>
      <c r="H482" s="32"/>
      <c r="I482" s="48">
        <v>12</v>
      </c>
      <c r="J482" s="32"/>
      <c r="K482" s="33">
        <v>0.24</v>
      </c>
      <c r="L482" s="33">
        <v>0.05</v>
      </c>
      <c r="M482" s="33">
        <v>11.1</v>
      </c>
      <c r="N482" s="32"/>
      <c r="O482" s="33">
        <v>981.9</v>
      </c>
      <c r="P482" s="33">
        <v>57</v>
      </c>
      <c r="Q482" s="32"/>
      <c r="R482" s="33" t="s">
        <v>739</v>
      </c>
      <c r="S482" s="32"/>
      <c r="T482" s="33">
        <v>5</v>
      </c>
      <c r="U482" s="35">
        <v>56</v>
      </c>
    </row>
    <row r="483" spans="1:21">
      <c r="A483" s="50" t="s">
        <v>805</v>
      </c>
      <c r="B483" s="33" t="s">
        <v>1644</v>
      </c>
      <c r="C483" s="33">
        <v>100</v>
      </c>
      <c r="D483" s="33">
        <v>385</v>
      </c>
      <c r="E483" s="33">
        <v>40.4</v>
      </c>
      <c r="F483" s="48">
        <v>16.5</v>
      </c>
      <c r="G483" s="48">
        <v>36</v>
      </c>
      <c r="H483" s="32"/>
      <c r="I483" s="48">
        <v>0</v>
      </c>
      <c r="J483" s="33">
        <v>20</v>
      </c>
      <c r="K483" s="33">
        <v>0.77</v>
      </c>
      <c r="L483" s="33">
        <v>0.21</v>
      </c>
      <c r="M483" s="33">
        <v>3.5</v>
      </c>
      <c r="N483" s="33">
        <v>0.1</v>
      </c>
      <c r="O483" s="33">
        <v>195.6</v>
      </c>
      <c r="P483" s="33">
        <v>10</v>
      </c>
      <c r="Q483" s="33">
        <v>2.6</v>
      </c>
      <c r="R483" s="33" t="s">
        <v>739</v>
      </c>
      <c r="S483" s="32"/>
      <c r="T483" s="33">
        <v>5</v>
      </c>
      <c r="U483" s="35">
        <v>72</v>
      </c>
    </row>
    <row r="484" spans="1:21">
      <c r="A484" s="50" t="s">
        <v>806</v>
      </c>
      <c r="B484" s="32"/>
      <c r="C484" s="33">
        <v>100</v>
      </c>
      <c r="D484" s="33">
        <v>225</v>
      </c>
      <c r="E484" s="33">
        <v>57.8</v>
      </c>
      <c r="F484" s="48">
        <v>7.2</v>
      </c>
      <c r="G484" s="48">
        <v>14.2</v>
      </c>
      <c r="H484" s="32"/>
      <c r="I484" s="48">
        <v>17.2</v>
      </c>
      <c r="J484" s="33">
        <v>6</v>
      </c>
      <c r="K484" s="33">
        <v>0.1</v>
      </c>
      <c r="L484" s="33">
        <v>0.1</v>
      </c>
      <c r="M484" s="33">
        <v>0.8</v>
      </c>
      <c r="N484" s="33">
        <v>0.24</v>
      </c>
      <c r="O484" s="33">
        <v>872.1</v>
      </c>
      <c r="P484" s="33">
        <v>8</v>
      </c>
      <c r="Q484" s="33">
        <v>3.6</v>
      </c>
      <c r="R484" s="33" t="s">
        <v>739</v>
      </c>
      <c r="S484" s="32"/>
      <c r="T484" s="33">
        <v>5</v>
      </c>
      <c r="U484" s="35">
        <v>51</v>
      </c>
    </row>
    <row r="485" spans="1:21">
      <c r="A485" s="50" t="s">
        <v>807</v>
      </c>
      <c r="B485" s="33" t="s">
        <v>1647</v>
      </c>
      <c r="C485" s="33">
        <v>100</v>
      </c>
      <c r="D485" s="33">
        <v>70</v>
      </c>
      <c r="E485" s="33">
        <v>84.7</v>
      </c>
      <c r="F485" s="48">
        <v>13.4</v>
      </c>
      <c r="G485" s="48">
        <v>2.4</v>
      </c>
      <c r="H485" s="32"/>
      <c r="I485" s="48">
        <v>0</v>
      </c>
      <c r="J485" s="32"/>
      <c r="K485" s="32"/>
      <c r="L485" s="33">
        <v>0.14000000000000001</v>
      </c>
      <c r="M485" s="33">
        <v>1.8</v>
      </c>
      <c r="N485" s="32"/>
      <c r="O485" s="33">
        <v>79</v>
      </c>
      <c r="P485" s="33">
        <v>25</v>
      </c>
      <c r="Q485" s="33">
        <v>1.9</v>
      </c>
      <c r="R485" s="33" t="s">
        <v>739</v>
      </c>
      <c r="S485" s="32"/>
      <c r="T485" s="33">
        <v>5</v>
      </c>
      <c r="U485" s="35">
        <v>150</v>
      </c>
    </row>
    <row r="486" spans="1:21">
      <c r="A486" s="50" t="s">
        <v>808</v>
      </c>
      <c r="B486" s="32"/>
      <c r="C486" s="33">
        <v>100</v>
      </c>
      <c r="D486" s="33">
        <v>87</v>
      </c>
      <c r="E486" s="33">
        <v>81.7</v>
      </c>
      <c r="F486" s="48">
        <v>12.2</v>
      </c>
      <c r="G486" s="48">
        <v>3.4</v>
      </c>
      <c r="H486" s="32"/>
      <c r="I486" s="48">
        <v>1.8</v>
      </c>
      <c r="J486" s="33">
        <v>23</v>
      </c>
      <c r="K486" s="33">
        <v>0.03</v>
      </c>
      <c r="L486" s="33">
        <v>0.17</v>
      </c>
      <c r="M486" s="33">
        <v>1.8</v>
      </c>
      <c r="N486" s="33">
        <v>0.33</v>
      </c>
      <c r="O486" s="33">
        <v>66</v>
      </c>
      <c r="P486" s="33">
        <v>38</v>
      </c>
      <c r="Q486" s="33">
        <v>1.4</v>
      </c>
      <c r="R486" s="33" t="s">
        <v>739</v>
      </c>
      <c r="S486" s="32"/>
      <c r="T486" s="33">
        <v>5</v>
      </c>
      <c r="U486" s="35">
        <v>124</v>
      </c>
    </row>
    <row r="487" spans="1:21">
      <c r="A487" s="50" t="s">
        <v>809</v>
      </c>
      <c r="B487" s="32"/>
      <c r="C487" s="33">
        <v>100</v>
      </c>
      <c r="D487" s="33">
        <v>96</v>
      </c>
      <c r="E487" s="33">
        <v>77.7</v>
      </c>
      <c r="F487" s="48">
        <v>16.2</v>
      </c>
      <c r="G487" s="48">
        <v>2.4</v>
      </c>
      <c r="H487" s="32"/>
      <c r="I487" s="48">
        <v>2.5</v>
      </c>
      <c r="J487" s="32"/>
      <c r="K487" s="33">
        <v>0.05</v>
      </c>
      <c r="L487" s="33">
        <v>0.14000000000000001</v>
      </c>
      <c r="M487" s="33">
        <v>1.1000000000000001</v>
      </c>
      <c r="N487" s="33">
        <v>1.43</v>
      </c>
      <c r="O487" s="33">
        <v>146.19999999999999</v>
      </c>
      <c r="P487" s="33">
        <v>12</v>
      </c>
      <c r="Q487" s="33">
        <v>7.8</v>
      </c>
      <c r="R487" s="33" t="s">
        <v>739</v>
      </c>
      <c r="S487" s="32"/>
      <c r="T487" s="33">
        <v>5</v>
      </c>
      <c r="U487" s="35">
        <v>319</v>
      </c>
    </row>
    <row r="488" spans="1:21">
      <c r="A488" s="50" t="s">
        <v>810</v>
      </c>
      <c r="B488" s="32"/>
      <c r="C488" s="33">
        <v>100</v>
      </c>
      <c r="D488" s="33">
        <v>134</v>
      </c>
      <c r="E488" s="33">
        <v>69.7</v>
      </c>
      <c r="F488" s="48">
        <v>17.899999999999999</v>
      </c>
      <c r="G488" s="48">
        <v>3.6</v>
      </c>
      <c r="H488" s="32"/>
      <c r="I488" s="48">
        <v>7.4</v>
      </c>
      <c r="J488" s="33">
        <v>20972</v>
      </c>
      <c r="K488" s="33">
        <v>0.21</v>
      </c>
      <c r="L488" s="33">
        <v>1.75</v>
      </c>
      <c r="M488" s="33">
        <v>22.1</v>
      </c>
      <c r="N488" s="33">
        <v>29.93</v>
      </c>
      <c r="O488" s="33">
        <v>123</v>
      </c>
      <c r="P488" s="33">
        <v>8</v>
      </c>
      <c r="Q488" s="33">
        <v>7.5</v>
      </c>
      <c r="R488" s="33" t="s">
        <v>739</v>
      </c>
      <c r="S488" s="32"/>
      <c r="T488" s="33">
        <v>5</v>
      </c>
      <c r="U488" s="35">
        <v>349</v>
      </c>
    </row>
    <row r="489" spans="1:21">
      <c r="A489" s="50" t="s">
        <v>811</v>
      </c>
      <c r="B489" s="33" t="s">
        <v>1641</v>
      </c>
      <c r="C489" s="33">
        <v>100</v>
      </c>
      <c r="D489" s="33">
        <v>143</v>
      </c>
      <c r="E489" s="33">
        <v>69.5</v>
      </c>
      <c r="F489" s="48">
        <v>23.2</v>
      </c>
      <c r="G489" s="48">
        <v>5</v>
      </c>
      <c r="H489" s="32"/>
      <c r="I489" s="48">
        <v>1.2</v>
      </c>
      <c r="J489" s="32"/>
      <c r="K489" s="32"/>
      <c r="L489" s="32"/>
      <c r="M489" s="32"/>
      <c r="N489" s="32"/>
      <c r="O489" s="32"/>
      <c r="P489" s="32"/>
      <c r="Q489" s="32"/>
      <c r="R489" s="33" t="s">
        <v>739</v>
      </c>
      <c r="S489" s="32"/>
      <c r="T489" s="33">
        <v>5</v>
      </c>
      <c r="U489" s="35">
        <v>349</v>
      </c>
    </row>
    <row r="490" spans="1:21">
      <c r="A490" s="50" t="s">
        <v>812</v>
      </c>
      <c r="B490" s="33" t="s">
        <v>1641</v>
      </c>
      <c r="C490" s="33">
        <v>100</v>
      </c>
      <c r="D490" s="33">
        <v>142</v>
      </c>
      <c r="E490" s="33">
        <v>76.3</v>
      </c>
      <c r="F490" s="48">
        <v>11.3</v>
      </c>
      <c r="G490" s="48">
        <v>10.7</v>
      </c>
      <c r="H490" s="32"/>
      <c r="I490" s="48">
        <v>0.1</v>
      </c>
      <c r="J490" s="32"/>
      <c r="K490" s="33">
        <v>0.17</v>
      </c>
      <c r="L490" s="33">
        <v>0.27</v>
      </c>
      <c r="M490" s="33">
        <v>3.5</v>
      </c>
      <c r="N490" s="32"/>
      <c r="O490" s="33">
        <v>151.80000000000001</v>
      </c>
      <c r="P490" s="33">
        <v>61</v>
      </c>
      <c r="Q490" s="32"/>
      <c r="R490" s="33" t="s">
        <v>739</v>
      </c>
      <c r="S490" s="32"/>
      <c r="T490" s="33">
        <v>5</v>
      </c>
      <c r="U490" s="35">
        <v>2004</v>
      </c>
    </row>
    <row r="491" spans="1:21">
      <c r="A491" s="50" t="s">
        <v>813</v>
      </c>
      <c r="B491" s="32"/>
      <c r="C491" s="33">
        <v>90</v>
      </c>
      <c r="D491" s="33">
        <v>198</v>
      </c>
      <c r="E491" s="33">
        <v>66.900000000000006</v>
      </c>
      <c r="F491" s="48">
        <v>19</v>
      </c>
      <c r="G491" s="48">
        <v>14.1</v>
      </c>
      <c r="H491" s="32"/>
      <c r="I491" s="48">
        <v>0</v>
      </c>
      <c r="J491" s="33">
        <v>22</v>
      </c>
      <c r="K491" s="33">
        <v>0.05</v>
      </c>
      <c r="L491" s="33">
        <v>0.14000000000000001</v>
      </c>
      <c r="M491" s="33">
        <v>4.5</v>
      </c>
      <c r="N491" s="33">
        <v>0.26</v>
      </c>
      <c r="O491" s="33">
        <v>80.599999999999994</v>
      </c>
      <c r="P491" s="33">
        <v>6</v>
      </c>
      <c r="Q491" s="33">
        <v>2.2999999999999998</v>
      </c>
      <c r="R491" s="33" t="s">
        <v>739</v>
      </c>
      <c r="S491" s="32"/>
      <c r="T491" s="33">
        <v>5</v>
      </c>
      <c r="U491" s="35">
        <v>92</v>
      </c>
    </row>
    <row r="492" spans="1:21">
      <c r="A492" s="50" t="s">
        <v>814</v>
      </c>
      <c r="B492" s="32"/>
      <c r="C492" s="33">
        <v>90</v>
      </c>
      <c r="D492" s="33">
        <v>118</v>
      </c>
      <c r="E492" s="33">
        <v>74.2</v>
      </c>
      <c r="F492" s="48">
        <v>20.5</v>
      </c>
      <c r="G492" s="48">
        <v>3.9</v>
      </c>
      <c r="H492" s="32"/>
      <c r="I492" s="48">
        <v>0.2</v>
      </c>
      <c r="J492" s="33">
        <v>11</v>
      </c>
      <c r="K492" s="33">
        <v>0.15</v>
      </c>
      <c r="L492" s="33">
        <v>0.16</v>
      </c>
      <c r="M492" s="33">
        <v>5.2</v>
      </c>
      <c r="N492" s="33">
        <v>0.31</v>
      </c>
      <c r="O492" s="33">
        <v>69.400000000000006</v>
      </c>
      <c r="P492" s="33">
        <v>9</v>
      </c>
      <c r="Q492" s="33">
        <v>3.9</v>
      </c>
      <c r="R492" s="33" t="s">
        <v>739</v>
      </c>
      <c r="S492" s="32"/>
      <c r="T492" s="33">
        <v>5</v>
      </c>
      <c r="U492" s="35">
        <v>60</v>
      </c>
    </row>
    <row r="493" spans="1:21">
      <c r="A493" s="50" t="s">
        <v>815</v>
      </c>
      <c r="B493" s="33" t="s">
        <v>1631</v>
      </c>
      <c r="C493" s="33">
        <v>100</v>
      </c>
      <c r="D493" s="33">
        <v>293</v>
      </c>
      <c r="E493" s="33">
        <v>56.4</v>
      </c>
      <c r="F493" s="48">
        <v>8.6999999999999993</v>
      </c>
      <c r="G493" s="48">
        <v>24.5</v>
      </c>
      <c r="H493" s="32"/>
      <c r="I493" s="48">
        <v>9.4</v>
      </c>
      <c r="J493" s="32"/>
      <c r="K493" s="33">
        <v>0.06</v>
      </c>
      <c r="L493" s="33">
        <v>0.12</v>
      </c>
      <c r="M493" s="33">
        <v>4.7</v>
      </c>
      <c r="N493" s="32"/>
      <c r="O493" s="33">
        <v>160.6</v>
      </c>
      <c r="P493" s="33">
        <v>135</v>
      </c>
      <c r="Q493" s="33">
        <v>13.7</v>
      </c>
      <c r="R493" s="33" t="s">
        <v>739</v>
      </c>
      <c r="S493" s="32"/>
      <c r="T493" s="33">
        <v>5</v>
      </c>
      <c r="U493" s="35">
        <v>148</v>
      </c>
    </row>
    <row r="494" spans="1:21">
      <c r="A494" s="50" t="s">
        <v>816</v>
      </c>
      <c r="B494" s="33" t="s">
        <v>1631</v>
      </c>
      <c r="C494" s="33">
        <v>100</v>
      </c>
      <c r="D494" s="33">
        <v>285</v>
      </c>
      <c r="E494" s="33">
        <v>58.4</v>
      </c>
      <c r="F494" s="48">
        <v>12.6</v>
      </c>
      <c r="G494" s="48">
        <v>24.4</v>
      </c>
      <c r="H494" s="32"/>
      <c r="I494" s="48">
        <v>3.8</v>
      </c>
      <c r="J494" s="32"/>
      <c r="K494" s="33">
        <v>0.02</v>
      </c>
      <c r="L494" s="33">
        <v>0.12</v>
      </c>
      <c r="M494" s="33">
        <v>4.4000000000000004</v>
      </c>
      <c r="N494" s="32"/>
      <c r="O494" s="33">
        <v>122.2</v>
      </c>
      <c r="P494" s="33">
        <v>17</v>
      </c>
      <c r="Q494" s="33">
        <v>5.2</v>
      </c>
      <c r="R494" s="33" t="s">
        <v>739</v>
      </c>
      <c r="S494" s="32"/>
      <c r="T494" s="33">
        <v>5</v>
      </c>
      <c r="U494" s="35">
        <v>148</v>
      </c>
    </row>
    <row r="495" spans="1:21">
      <c r="A495" s="50" t="s">
        <v>817</v>
      </c>
      <c r="B495" s="33" t="s">
        <v>1618</v>
      </c>
      <c r="C495" s="33">
        <v>77</v>
      </c>
      <c r="D495" s="33">
        <v>102</v>
      </c>
      <c r="E495" s="33">
        <v>78.8</v>
      </c>
      <c r="F495" s="48">
        <v>15.5</v>
      </c>
      <c r="G495" s="48">
        <v>4</v>
      </c>
      <c r="H495" s="32"/>
      <c r="I495" s="48">
        <v>0.9</v>
      </c>
      <c r="J495" s="33">
        <v>8</v>
      </c>
      <c r="K495" s="33">
        <v>0.06</v>
      </c>
      <c r="L495" s="33">
        <v>0.22</v>
      </c>
      <c r="M495" s="33">
        <v>4.8</v>
      </c>
      <c r="N495" s="33">
        <v>0.37</v>
      </c>
      <c r="O495" s="33">
        <v>90.6</v>
      </c>
      <c r="P495" s="33">
        <v>11</v>
      </c>
      <c r="Q495" s="33">
        <v>1.7</v>
      </c>
      <c r="R495" s="33" t="s">
        <v>739</v>
      </c>
      <c r="S495" s="32"/>
      <c r="T495" s="33">
        <v>5</v>
      </c>
      <c r="U495" s="35">
        <v>60</v>
      </c>
    </row>
    <row r="496" spans="1:21">
      <c r="A496" s="50" t="s">
        <v>818</v>
      </c>
      <c r="B496" s="33" t="s">
        <v>1618</v>
      </c>
      <c r="C496" s="33">
        <v>100</v>
      </c>
      <c r="D496" s="33">
        <v>94</v>
      </c>
      <c r="E496" s="33">
        <v>78.099999999999994</v>
      </c>
      <c r="F496" s="48">
        <v>17.100000000000001</v>
      </c>
      <c r="G496" s="48">
        <v>2</v>
      </c>
      <c r="H496" s="32"/>
      <c r="I496" s="48">
        <v>2</v>
      </c>
      <c r="J496" s="33">
        <v>6</v>
      </c>
      <c r="K496" s="33">
        <v>0.05</v>
      </c>
      <c r="L496" s="33">
        <v>0.28999999999999998</v>
      </c>
      <c r="M496" s="33">
        <v>5.2</v>
      </c>
      <c r="N496" s="33">
        <v>0.53</v>
      </c>
      <c r="O496" s="33">
        <v>92.1</v>
      </c>
      <c r="P496" s="33">
        <v>14</v>
      </c>
      <c r="Q496" s="33">
        <v>1.7</v>
      </c>
      <c r="R496" s="33" t="s">
        <v>739</v>
      </c>
      <c r="S496" s="32"/>
      <c r="T496" s="33">
        <v>5</v>
      </c>
      <c r="U496" s="35">
        <v>60</v>
      </c>
    </row>
    <row r="497" spans="1:21">
      <c r="A497" s="50" t="s">
        <v>819</v>
      </c>
      <c r="B497" s="33" t="s">
        <v>1618</v>
      </c>
      <c r="C497" s="33">
        <v>74</v>
      </c>
      <c r="D497" s="33">
        <v>109</v>
      </c>
      <c r="E497" s="33">
        <v>79.099999999999994</v>
      </c>
      <c r="F497" s="48">
        <v>20.9</v>
      </c>
      <c r="G497" s="48">
        <v>2.8</v>
      </c>
      <c r="H497" s="32"/>
      <c r="I497" s="48">
        <v>0</v>
      </c>
      <c r="J497" s="33">
        <v>7</v>
      </c>
      <c r="K497" s="33">
        <v>0.06</v>
      </c>
      <c r="L497" s="33">
        <v>0.25</v>
      </c>
      <c r="M497" s="33">
        <v>3.9</v>
      </c>
      <c r="N497" s="33">
        <v>0.45</v>
      </c>
      <c r="O497" s="33">
        <v>79.099999999999994</v>
      </c>
      <c r="P497" s="33">
        <v>15</v>
      </c>
      <c r="Q497" s="33">
        <v>2.1</v>
      </c>
      <c r="R497" s="33" t="s">
        <v>739</v>
      </c>
      <c r="S497" s="32"/>
      <c r="T497" s="33">
        <v>5</v>
      </c>
      <c r="U497" s="35">
        <v>71</v>
      </c>
    </row>
    <row r="498" spans="1:21">
      <c r="A498" s="50" t="s">
        <v>820</v>
      </c>
      <c r="B498" s="33" t="s">
        <v>1618</v>
      </c>
      <c r="C498" s="33">
        <v>71</v>
      </c>
      <c r="D498" s="33">
        <v>111</v>
      </c>
      <c r="E498" s="33">
        <v>78.3</v>
      </c>
      <c r="F498" s="48">
        <v>19.7</v>
      </c>
      <c r="G498" s="48">
        <v>3.6</v>
      </c>
      <c r="H498" s="32"/>
      <c r="I498" s="48">
        <v>0</v>
      </c>
      <c r="J498" s="33">
        <v>11</v>
      </c>
      <c r="K498" s="33">
        <v>0.06</v>
      </c>
      <c r="L498" s="33">
        <v>0.24</v>
      </c>
      <c r="M498" s="33">
        <v>4.8</v>
      </c>
      <c r="N498" s="33">
        <v>0.49</v>
      </c>
      <c r="O498" s="33">
        <v>92</v>
      </c>
      <c r="P498" s="33">
        <v>12</v>
      </c>
      <c r="Q498" s="33">
        <v>1.5</v>
      </c>
      <c r="R498" s="33" t="s">
        <v>739</v>
      </c>
      <c r="S498" s="32"/>
      <c r="T498" s="33">
        <v>5</v>
      </c>
      <c r="U498" s="35">
        <v>60</v>
      </c>
    </row>
    <row r="499" spans="1:21">
      <c r="A499" s="50" t="s">
        <v>821</v>
      </c>
      <c r="B499" s="33" t="s">
        <v>1641</v>
      </c>
      <c r="C499" s="33">
        <v>100</v>
      </c>
      <c r="D499" s="33">
        <v>99</v>
      </c>
      <c r="E499" s="33">
        <v>75.3</v>
      </c>
      <c r="F499" s="48">
        <v>21.3</v>
      </c>
      <c r="G499" s="48">
        <v>1.1000000000000001</v>
      </c>
      <c r="H499" s="32"/>
      <c r="I499" s="48">
        <v>1</v>
      </c>
      <c r="J499" s="32"/>
      <c r="K499" s="33">
        <v>0.08</v>
      </c>
      <c r="L499" s="33">
        <v>0.14000000000000001</v>
      </c>
      <c r="M499" s="33">
        <v>5.6</v>
      </c>
      <c r="N499" s="32"/>
      <c r="O499" s="33">
        <v>41.7</v>
      </c>
      <c r="P499" s="33">
        <v>9</v>
      </c>
      <c r="Q499" s="33">
        <v>4.5</v>
      </c>
      <c r="R499" s="33" t="s">
        <v>739</v>
      </c>
      <c r="S499" s="32"/>
      <c r="T499" s="33">
        <v>5</v>
      </c>
      <c r="U499" s="35">
        <v>60</v>
      </c>
    </row>
    <row r="500" spans="1:21">
      <c r="A500" s="50" t="s">
        <v>822</v>
      </c>
      <c r="B500" s="33" t="s">
        <v>1627</v>
      </c>
      <c r="C500" s="33">
        <v>100</v>
      </c>
      <c r="D500" s="33">
        <v>215</v>
      </c>
      <c r="E500" s="33">
        <v>61.7</v>
      </c>
      <c r="F500" s="48">
        <v>23.2</v>
      </c>
      <c r="G500" s="48">
        <v>13.8</v>
      </c>
      <c r="H500" s="32"/>
      <c r="I500" s="48">
        <v>0</v>
      </c>
      <c r="J500" s="33">
        <v>18</v>
      </c>
      <c r="K500" s="33">
        <v>0.01</v>
      </c>
      <c r="L500" s="33">
        <v>0.2</v>
      </c>
      <c r="M500" s="33">
        <v>3.7</v>
      </c>
      <c r="N500" s="33">
        <v>0.33</v>
      </c>
      <c r="O500" s="33">
        <v>408</v>
      </c>
      <c r="P500" s="33">
        <v>13</v>
      </c>
      <c r="Q500" s="33">
        <v>1.9</v>
      </c>
      <c r="R500" s="33" t="s">
        <v>739</v>
      </c>
      <c r="S500" s="32"/>
      <c r="T500" s="33">
        <v>5</v>
      </c>
      <c r="U500" s="35">
        <v>88</v>
      </c>
    </row>
    <row r="501" spans="1:21">
      <c r="A501" s="50" t="s">
        <v>823</v>
      </c>
      <c r="B501" s="33" t="s">
        <v>1618</v>
      </c>
      <c r="C501" s="33">
        <v>81</v>
      </c>
      <c r="D501" s="33">
        <v>109</v>
      </c>
      <c r="E501" s="33">
        <v>77.599999999999994</v>
      </c>
      <c r="F501" s="48">
        <v>17.2</v>
      </c>
      <c r="G501" s="48">
        <v>4.5</v>
      </c>
      <c r="H501" s="32"/>
      <c r="I501" s="48">
        <v>0</v>
      </c>
      <c r="J501" s="33">
        <v>16</v>
      </c>
      <c r="K501" s="33">
        <v>0.04</v>
      </c>
      <c r="L501" s="33">
        <v>0.22</v>
      </c>
      <c r="M501" s="33">
        <v>4</v>
      </c>
      <c r="N501" s="33">
        <v>0.43</v>
      </c>
      <c r="O501" s="33">
        <v>81.900000000000006</v>
      </c>
      <c r="P501" s="33">
        <v>12</v>
      </c>
      <c r="Q501" s="33">
        <v>2.2999999999999998</v>
      </c>
      <c r="R501" s="33" t="s">
        <v>739</v>
      </c>
      <c r="S501" s="32"/>
      <c r="T501" s="33">
        <v>5</v>
      </c>
      <c r="U501" s="35">
        <v>60</v>
      </c>
    </row>
    <row r="502" spans="1:21">
      <c r="A502" s="50" t="s">
        <v>824</v>
      </c>
      <c r="B502" s="33" t="s">
        <v>1618</v>
      </c>
      <c r="C502" s="33">
        <v>100</v>
      </c>
      <c r="D502" s="33">
        <v>217</v>
      </c>
      <c r="E502" s="33">
        <v>57.4</v>
      </c>
      <c r="F502" s="48">
        <v>18.3</v>
      </c>
      <c r="G502" s="48">
        <v>11.5</v>
      </c>
      <c r="H502" s="32"/>
      <c r="I502" s="48">
        <v>10</v>
      </c>
      <c r="J502" s="33">
        <v>40</v>
      </c>
      <c r="K502" s="33">
        <v>0.04</v>
      </c>
      <c r="L502" s="33">
        <v>0.41</v>
      </c>
      <c r="M502" s="33">
        <v>4.7</v>
      </c>
      <c r="N502" s="33">
        <v>6.56</v>
      </c>
      <c r="O502" s="33">
        <v>580.79999999999995</v>
      </c>
      <c r="P502" s="33">
        <v>38</v>
      </c>
      <c r="Q502" s="33">
        <v>4.2</v>
      </c>
      <c r="R502" s="33" t="s">
        <v>739</v>
      </c>
      <c r="S502" s="32"/>
      <c r="T502" s="33">
        <v>5</v>
      </c>
      <c r="U502" s="35">
        <v>93</v>
      </c>
    </row>
    <row r="503" spans="1:21">
      <c r="A503" s="50" t="s">
        <v>825</v>
      </c>
      <c r="B503" s="32"/>
      <c r="C503" s="33">
        <v>100</v>
      </c>
      <c r="D503" s="33">
        <v>234</v>
      </c>
      <c r="E503" s="33">
        <v>52.8</v>
      </c>
      <c r="F503" s="48">
        <v>26.4</v>
      </c>
      <c r="G503" s="48">
        <v>11.6</v>
      </c>
      <c r="H503" s="32"/>
      <c r="I503" s="48">
        <v>6</v>
      </c>
      <c r="J503" s="33">
        <v>42</v>
      </c>
      <c r="K503" s="33">
        <v>0.03</v>
      </c>
      <c r="L503" s="33">
        <v>0.32</v>
      </c>
      <c r="M503" s="33">
        <v>5.8</v>
      </c>
      <c r="N503" s="33">
        <v>1.8</v>
      </c>
      <c r="O503" s="33">
        <v>796.3</v>
      </c>
      <c r="P503" s="33">
        <v>52</v>
      </c>
      <c r="Q503" s="33">
        <v>6.7</v>
      </c>
      <c r="R503" s="33" t="s">
        <v>739</v>
      </c>
      <c r="S503" s="32"/>
      <c r="T503" s="33">
        <v>5</v>
      </c>
      <c r="U503" s="35">
        <v>109</v>
      </c>
    </row>
    <row r="504" spans="1:21">
      <c r="A504" s="50" t="s">
        <v>826</v>
      </c>
      <c r="B504" s="33" t="s">
        <v>1631</v>
      </c>
      <c r="C504" s="33">
        <v>100</v>
      </c>
      <c r="D504" s="33">
        <v>588</v>
      </c>
      <c r="E504" s="33">
        <v>9.1</v>
      </c>
      <c r="F504" s="48">
        <v>28.2</v>
      </c>
      <c r="G504" s="48">
        <v>46.7</v>
      </c>
      <c r="H504" s="32"/>
      <c r="I504" s="48">
        <v>13.7</v>
      </c>
      <c r="J504" s="32"/>
      <c r="K504" s="33">
        <v>0.14000000000000001</v>
      </c>
      <c r="L504" s="33">
        <v>0.26</v>
      </c>
      <c r="M504" s="33">
        <v>10.6</v>
      </c>
      <c r="N504" s="32"/>
      <c r="O504" s="33">
        <v>184</v>
      </c>
      <c r="P504" s="33">
        <v>77</v>
      </c>
      <c r="Q504" s="33">
        <v>10.1</v>
      </c>
      <c r="R504" s="33" t="s">
        <v>739</v>
      </c>
      <c r="S504" s="32"/>
      <c r="T504" s="33">
        <v>5</v>
      </c>
      <c r="U504" s="35">
        <v>166</v>
      </c>
    </row>
    <row r="505" spans="1:21">
      <c r="A505" s="50" t="s">
        <v>827</v>
      </c>
      <c r="B505" s="33" t="s">
        <v>1641</v>
      </c>
      <c r="C505" s="33">
        <v>100</v>
      </c>
      <c r="D505" s="33">
        <v>225</v>
      </c>
      <c r="E505" s="33">
        <v>60.9</v>
      </c>
      <c r="F505" s="48">
        <v>19.399999999999999</v>
      </c>
      <c r="G505" s="48">
        <v>14.2</v>
      </c>
      <c r="H505" s="32"/>
      <c r="I505" s="48">
        <v>4.8</v>
      </c>
      <c r="J505" s="32"/>
      <c r="K505" s="32"/>
      <c r="L505" s="33">
        <v>0.23</v>
      </c>
      <c r="M505" s="33">
        <v>3</v>
      </c>
      <c r="N505" s="32"/>
      <c r="O505" s="32"/>
      <c r="P505" s="32"/>
      <c r="Q505" s="32"/>
      <c r="R505" s="33" t="s">
        <v>739</v>
      </c>
      <c r="S505" s="32"/>
      <c r="T505" s="33">
        <v>5</v>
      </c>
      <c r="U505" s="35">
        <v>148</v>
      </c>
    </row>
    <row r="506" spans="1:21">
      <c r="A506" s="50" t="s">
        <v>828</v>
      </c>
      <c r="B506" s="33" t="s">
        <v>1641</v>
      </c>
      <c r="C506" s="33">
        <v>100</v>
      </c>
      <c r="D506" s="33">
        <v>90</v>
      </c>
      <c r="E506" s="33">
        <v>79.2</v>
      </c>
      <c r="F506" s="48">
        <v>16.7</v>
      </c>
      <c r="G506" s="48">
        <v>2.5</v>
      </c>
      <c r="H506" s="32"/>
      <c r="I506" s="48">
        <v>0.1</v>
      </c>
      <c r="J506" s="33">
        <v>152</v>
      </c>
      <c r="K506" s="33">
        <v>0.3</v>
      </c>
      <c r="L506" s="33">
        <v>1.78</v>
      </c>
      <c r="M506" s="33">
        <v>8.8000000000000007</v>
      </c>
      <c r="N506" s="32"/>
      <c r="O506" s="33">
        <v>195.2</v>
      </c>
      <c r="P506" s="33">
        <v>9</v>
      </c>
      <c r="Q506" s="33">
        <v>5.2</v>
      </c>
      <c r="R506" s="33" t="s">
        <v>739</v>
      </c>
      <c r="S506" s="32"/>
      <c r="T506" s="33">
        <v>5</v>
      </c>
      <c r="U506" s="35">
        <v>289</v>
      </c>
    </row>
    <row r="507" spans="1:21">
      <c r="A507" s="50" t="s">
        <v>829</v>
      </c>
      <c r="B507" s="33" t="s">
        <v>1641</v>
      </c>
      <c r="C507" s="33">
        <v>100</v>
      </c>
      <c r="D507" s="33">
        <v>166</v>
      </c>
      <c r="E507" s="33">
        <v>71.8</v>
      </c>
      <c r="F507" s="48">
        <v>15.9</v>
      </c>
      <c r="G507" s="48">
        <v>11.3</v>
      </c>
      <c r="H507" s="32"/>
      <c r="I507" s="48">
        <v>0.1</v>
      </c>
      <c r="J507" s="32"/>
      <c r="K507" s="32"/>
      <c r="L507" s="32"/>
      <c r="M507" s="32"/>
      <c r="N507" s="32"/>
      <c r="O507" s="32"/>
      <c r="P507" s="32"/>
      <c r="Q507" s="32"/>
      <c r="R507" s="33" t="s">
        <v>739</v>
      </c>
      <c r="S507" s="32"/>
      <c r="T507" s="33">
        <v>5</v>
      </c>
      <c r="U507" s="35">
        <v>289</v>
      </c>
    </row>
    <row r="508" spans="1:21">
      <c r="A508" s="50" t="s">
        <v>830</v>
      </c>
      <c r="B508" s="33" t="s">
        <v>1647</v>
      </c>
      <c r="C508" s="33">
        <v>100</v>
      </c>
      <c r="D508" s="33">
        <v>177</v>
      </c>
      <c r="E508" s="33">
        <v>62.8</v>
      </c>
      <c r="F508" s="48">
        <v>38.799999999999997</v>
      </c>
      <c r="G508" s="48">
        <v>2.4</v>
      </c>
      <c r="H508" s="32"/>
      <c r="I508" s="48">
        <v>0</v>
      </c>
      <c r="J508" s="32"/>
      <c r="K508" s="32"/>
      <c r="L508" s="33">
        <v>0.1</v>
      </c>
      <c r="M508" s="33">
        <v>1.2</v>
      </c>
      <c r="N508" s="32"/>
      <c r="O508" s="33">
        <v>149.69999999999999</v>
      </c>
      <c r="P508" s="33">
        <v>16</v>
      </c>
      <c r="Q508" s="33">
        <v>3.1</v>
      </c>
      <c r="R508" s="33" t="s">
        <v>739</v>
      </c>
      <c r="S508" s="32"/>
      <c r="T508" s="33">
        <v>5</v>
      </c>
      <c r="U508" s="35">
        <v>58</v>
      </c>
    </row>
    <row r="509" spans="1:21">
      <c r="A509" s="50" t="s">
        <v>831</v>
      </c>
      <c r="B509" s="32"/>
      <c r="C509" s="33">
        <v>100</v>
      </c>
      <c r="D509" s="33">
        <v>113</v>
      </c>
      <c r="E509" s="33">
        <v>77.7</v>
      </c>
      <c r="F509" s="48">
        <v>13.8</v>
      </c>
      <c r="G509" s="48">
        <v>5.5</v>
      </c>
      <c r="H509" s="32"/>
      <c r="I509" s="48">
        <v>2</v>
      </c>
      <c r="J509" s="33">
        <v>16</v>
      </c>
      <c r="K509" s="33">
        <v>0.28000000000000003</v>
      </c>
      <c r="L509" s="33">
        <v>0.4</v>
      </c>
      <c r="M509" s="33">
        <v>5.6</v>
      </c>
      <c r="N509" s="33">
        <v>1.75</v>
      </c>
      <c r="O509" s="33">
        <v>100.8</v>
      </c>
      <c r="P509" s="33">
        <v>10</v>
      </c>
      <c r="Q509" s="33">
        <v>4</v>
      </c>
      <c r="R509" s="33" t="s">
        <v>739</v>
      </c>
      <c r="S509" s="32"/>
      <c r="T509" s="33">
        <v>5</v>
      </c>
      <c r="U509" s="35">
        <v>104</v>
      </c>
    </row>
    <row r="510" spans="1:21">
      <c r="A510" s="50" t="s">
        <v>832</v>
      </c>
      <c r="B510" s="33" t="s">
        <v>1641</v>
      </c>
      <c r="C510" s="33">
        <v>100</v>
      </c>
      <c r="D510" s="33">
        <v>86</v>
      </c>
      <c r="E510" s="33">
        <v>79.8</v>
      </c>
      <c r="F510" s="48">
        <v>17</v>
      </c>
      <c r="G510" s="48">
        <v>1.9</v>
      </c>
      <c r="H510" s="32"/>
      <c r="I510" s="48">
        <v>0.2</v>
      </c>
      <c r="J510" s="32"/>
      <c r="K510" s="32"/>
      <c r="L510" s="32"/>
      <c r="M510" s="32"/>
      <c r="N510" s="32"/>
      <c r="O510" s="32"/>
      <c r="P510" s="32"/>
      <c r="Q510" s="32"/>
      <c r="R510" s="33" t="s">
        <v>739</v>
      </c>
      <c r="S510" s="32"/>
      <c r="T510" s="33">
        <v>5</v>
      </c>
      <c r="U510" s="35">
        <v>104</v>
      </c>
    </row>
    <row r="511" spans="1:21">
      <c r="A511" s="50" t="s">
        <v>833</v>
      </c>
      <c r="B511" s="32"/>
      <c r="C511" s="33">
        <v>100</v>
      </c>
      <c r="D511" s="33">
        <v>57</v>
      </c>
      <c r="E511" s="33">
        <v>85</v>
      </c>
      <c r="F511" s="48">
        <v>6.8</v>
      </c>
      <c r="G511" s="48">
        <v>0.2</v>
      </c>
      <c r="H511" s="32"/>
      <c r="I511" s="48">
        <v>6.9</v>
      </c>
      <c r="J511" s="32"/>
      <c r="K511" s="33">
        <v>0.04</v>
      </c>
      <c r="L511" s="33">
        <v>0.09</v>
      </c>
      <c r="M511" s="33">
        <v>0.2</v>
      </c>
      <c r="N511" s="32"/>
      <c r="O511" s="32"/>
      <c r="P511" s="32"/>
      <c r="Q511" s="32"/>
      <c r="R511" s="33" t="s">
        <v>739</v>
      </c>
      <c r="S511" s="32"/>
      <c r="T511" s="33">
        <v>5</v>
      </c>
      <c r="U511" s="35">
        <v>92</v>
      </c>
    </row>
    <row r="512" spans="1:21">
      <c r="A512" s="50" t="s">
        <v>834</v>
      </c>
      <c r="B512" s="33" t="s">
        <v>1627</v>
      </c>
      <c r="C512" s="33">
        <v>100</v>
      </c>
      <c r="D512" s="33">
        <v>138</v>
      </c>
      <c r="E512" s="33">
        <v>70.900000000000006</v>
      </c>
      <c r="F512" s="48">
        <v>18.399999999999999</v>
      </c>
      <c r="G512" s="48">
        <v>6.5</v>
      </c>
      <c r="H512" s="32"/>
      <c r="I512" s="48">
        <v>1.6</v>
      </c>
      <c r="J512" s="33">
        <v>1</v>
      </c>
      <c r="K512" s="33">
        <v>0.61</v>
      </c>
      <c r="L512" s="33">
        <v>0.13</v>
      </c>
      <c r="M512" s="33">
        <v>20.399999999999999</v>
      </c>
      <c r="N512" s="33">
        <v>0.19</v>
      </c>
      <c r="O512" s="33">
        <v>373.4</v>
      </c>
      <c r="P512" s="33">
        <v>3</v>
      </c>
      <c r="Q512" s="33">
        <v>1.4</v>
      </c>
      <c r="R512" s="33" t="s">
        <v>739</v>
      </c>
      <c r="S512" s="32"/>
      <c r="T512" s="33">
        <v>5</v>
      </c>
      <c r="U512" s="35">
        <v>54</v>
      </c>
    </row>
    <row r="513" spans="1:21">
      <c r="A513" s="50" t="s">
        <v>835</v>
      </c>
      <c r="B513" s="33" t="s">
        <v>1618</v>
      </c>
      <c r="C513" s="33">
        <v>100</v>
      </c>
      <c r="D513" s="33">
        <v>215</v>
      </c>
      <c r="E513" s="33">
        <v>63.6</v>
      </c>
      <c r="F513" s="48">
        <v>6.7</v>
      </c>
      <c r="G513" s="48">
        <v>17.3</v>
      </c>
      <c r="H513" s="32"/>
      <c r="I513" s="48">
        <v>8.1</v>
      </c>
      <c r="J513" s="32"/>
      <c r="K513" s="33">
        <v>0.09</v>
      </c>
      <c r="L513" s="33">
        <v>0.04</v>
      </c>
      <c r="M513" s="33">
        <v>5.4</v>
      </c>
      <c r="N513" s="33">
        <v>0.67</v>
      </c>
      <c r="O513" s="33">
        <v>572.29999999999995</v>
      </c>
      <c r="P513" s="33">
        <v>34</v>
      </c>
      <c r="Q513" s="33">
        <v>1.4</v>
      </c>
      <c r="R513" s="33" t="s">
        <v>739</v>
      </c>
      <c r="S513" s="32"/>
      <c r="T513" s="33">
        <v>5</v>
      </c>
      <c r="U513" s="35">
        <v>120</v>
      </c>
    </row>
    <row r="514" spans="1:21">
      <c r="A514" s="50" t="s">
        <v>836</v>
      </c>
      <c r="B514" s="32"/>
      <c r="C514" s="33">
        <v>100</v>
      </c>
      <c r="D514" s="33">
        <v>191</v>
      </c>
      <c r="E514" s="33">
        <v>74.8</v>
      </c>
      <c r="F514" s="48">
        <v>6.9</v>
      </c>
      <c r="G514" s="48">
        <v>18.7</v>
      </c>
      <c r="H514" s="32"/>
      <c r="I514" s="48">
        <v>0</v>
      </c>
      <c r="J514" s="33">
        <v>7</v>
      </c>
      <c r="K514" s="33">
        <v>0.06</v>
      </c>
      <c r="L514" s="33">
        <v>0.11</v>
      </c>
      <c r="M514" s="33">
        <v>1.9</v>
      </c>
      <c r="N514" s="33">
        <v>0.5</v>
      </c>
      <c r="O514" s="33">
        <v>116.3</v>
      </c>
      <c r="P514" s="33">
        <v>10</v>
      </c>
      <c r="Q514" s="33">
        <v>1</v>
      </c>
      <c r="R514" s="33" t="s">
        <v>739</v>
      </c>
      <c r="S514" s="32"/>
      <c r="T514" s="33">
        <v>5</v>
      </c>
      <c r="U514" s="35">
        <v>137</v>
      </c>
    </row>
    <row r="515" spans="1:21">
      <c r="A515" s="50" t="s">
        <v>837</v>
      </c>
      <c r="B515" s="33" t="s">
        <v>1704</v>
      </c>
      <c r="C515" s="33">
        <v>100</v>
      </c>
      <c r="D515" s="33">
        <v>336</v>
      </c>
      <c r="E515" s="33">
        <v>16.3</v>
      </c>
      <c r="F515" s="48">
        <v>44.2</v>
      </c>
      <c r="G515" s="48">
        <v>6.4</v>
      </c>
      <c r="H515" s="32"/>
      <c r="I515" s="48">
        <v>25.3</v>
      </c>
      <c r="J515" s="33">
        <v>3582</v>
      </c>
      <c r="K515" s="33">
        <v>0.41</v>
      </c>
      <c r="L515" s="33">
        <v>2.5</v>
      </c>
      <c r="M515" s="33">
        <v>11</v>
      </c>
      <c r="N515" s="32"/>
      <c r="O515" s="33">
        <v>3625</v>
      </c>
      <c r="P515" s="33">
        <v>12</v>
      </c>
      <c r="Q515" s="33">
        <v>181.3</v>
      </c>
      <c r="R515" s="33" t="s">
        <v>739</v>
      </c>
      <c r="S515" s="32"/>
      <c r="T515" s="33">
        <v>5</v>
      </c>
      <c r="U515" s="35">
        <v>1017</v>
      </c>
    </row>
    <row r="516" spans="1:21">
      <c r="A516" s="50" t="s">
        <v>838</v>
      </c>
      <c r="B516" s="32"/>
      <c r="C516" s="33">
        <v>68</v>
      </c>
      <c r="D516" s="33">
        <v>264</v>
      </c>
      <c r="E516" s="33">
        <v>58.8</v>
      </c>
      <c r="F516" s="48">
        <v>18.3</v>
      </c>
      <c r="G516" s="48">
        <v>20.399999999999999</v>
      </c>
      <c r="H516" s="32"/>
      <c r="I516" s="48">
        <v>1.7</v>
      </c>
      <c r="J516" s="33">
        <v>12</v>
      </c>
      <c r="K516" s="33">
        <v>0.8</v>
      </c>
      <c r="L516" s="33">
        <v>0.15</v>
      </c>
      <c r="M516" s="33">
        <v>5.3</v>
      </c>
      <c r="N516" s="33">
        <v>0.11</v>
      </c>
      <c r="O516" s="33">
        <v>44.5</v>
      </c>
      <c r="P516" s="33">
        <v>8</v>
      </c>
      <c r="Q516" s="33">
        <v>0.8</v>
      </c>
      <c r="R516" s="33" t="s">
        <v>739</v>
      </c>
      <c r="S516" s="32"/>
      <c r="T516" s="33">
        <v>5</v>
      </c>
      <c r="U516" s="35">
        <v>165</v>
      </c>
    </row>
    <row r="517" spans="1:21">
      <c r="A517" s="50" t="s">
        <v>839</v>
      </c>
      <c r="B517" s="32"/>
      <c r="C517" s="33">
        <v>96</v>
      </c>
      <c r="D517" s="33">
        <v>110</v>
      </c>
      <c r="E517" s="33">
        <v>78.2</v>
      </c>
      <c r="F517" s="48">
        <v>15.2</v>
      </c>
      <c r="G517" s="48">
        <v>5.0999999999999996</v>
      </c>
      <c r="H517" s="32"/>
      <c r="I517" s="48">
        <v>0.7</v>
      </c>
      <c r="J517" s="33">
        <v>3</v>
      </c>
      <c r="K517" s="33">
        <v>7.0000000000000007E-2</v>
      </c>
      <c r="L517" s="33">
        <v>0.16</v>
      </c>
      <c r="M517" s="33">
        <v>3.7</v>
      </c>
      <c r="N517" s="33">
        <v>0.32</v>
      </c>
      <c r="O517" s="33">
        <v>75.099999999999994</v>
      </c>
      <c r="P517" s="33">
        <v>11</v>
      </c>
      <c r="Q517" s="33">
        <v>2.4</v>
      </c>
      <c r="R517" s="33" t="s">
        <v>739</v>
      </c>
      <c r="S517" s="32"/>
      <c r="T517" s="33">
        <v>5</v>
      </c>
      <c r="U517" s="35">
        <v>165</v>
      </c>
    </row>
    <row r="518" spans="1:21">
      <c r="A518" s="50" t="s">
        <v>840</v>
      </c>
      <c r="B518" s="33" t="s">
        <v>1705</v>
      </c>
      <c r="C518" s="33">
        <v>100</v>
      </c>
      <c r="D518" s="33">
        <v>190</v>
      </c>
      <c r="E518" s="33">
        <v>69.400000000000006</v>
      </c>
      <c r="F518" s="48">
        <v>22.5</v>
      </c>
      <c r="G518" s="48">
        <v>11.1</v>
      </c>
      <c r="H518" s="32"/>
      <c r="I518" s="48">
        <v>0</v>
      </c>
      <c r="J518" s="32"/>
      <c r="K518" s="33">
        <v>0.05</v>
      </c>
      <c r="L518" s="33">
        <v>0.12</v>
      </c>
      <c r="M518" s="33">
        <v>3.5</v>
      </c>
      <c r="N518" s="33">
        <v>0.85</v>
      </c>
      <c r="O518" s="33">
        <v>68.2</v>
      </c>
      <c r="P518" s="33">
        <v>6</v>
      </c>
      <c r="Q518" s="33">
        <v>1.3</v>
      </c>
      <c r="R518" s="33" t="s">
        <v>739</v>
      </c>
      <c r="S518" s="32"/>
      <c r="T518" s="33">
        <v>5</v>
      </c>
      <c r="U518" s="35">
        <v>92</v>
      </c>
    </row>
    <row r="519" spans="1:21">
      <c r="A519" s="50" t="s">
        <v>841</v>
      </c>
      <c r="B519" s="32"/>
      <c r="C519" s="33">
        <v>97</v>
      </c>
      <c r="D519" s="33">
        <v>84</v>
      </c>
      <c r="E519" s="33">
        <v>83.1</v>
      </c>
      <c r="F519" s="48">
        <v>12.2</v>
      </c>
      <c r="G519" s="48">
        <v>3.9</v>
      </c>
      <c r="H519" s="32"/>
      <c r="I519" s="48">
        <v>0.1</v>
      </c>
      <c r="J519" s="33">
        <v>10</v>
      </c>
      <c r="K519" s="33">
        <v>0.04</v>
      </c>
      <c r="L519" s="33">
        <v>0.18</v>
      </c>
      <c r="M519" s="33">
        <v>1.8</v>
      </c>
      <c r="N519" s="33">
        <v>0.45</v>
      </c>
      <c r="O519" s="33">
        <v>81.400000000000006</v>
      </c>
      <c r="P519" s="33">
        <v>6</v>
      </c>
      <c r="Q519" s="33">
        <v>5.3</v>
      </c>
      <c r="R519" s="33" t="s">
        <v>739</v>
      </c>
      <c r="S519" s="32"/>
      <c r="T519" s="33">
        <v>5</v>
      </c>
      <c r="U519" s="35">
        <v>290</v>
      </c>
    </row>
    <row r="520" spans="1:21">
      <c r="A520" s="50" t="s">
        <v>842</v>
      </c>
      <c r="B520" s="32"/>
      <c r="C520" s="33">
        <v>99</v>
      </c>
      <c r="D520" s="33">
        <v>129</v>
      </c>
      <c r="E520" s="33">
        <v>70.7</v>
      </c>
      <c r="F520" s="48">
        <v>19.3</v>
      </c>
      <c r="G520" s="48">
        <v>3.5</v>
      </c>
      <c r="H520" s="32"/>
      <c r="I520" s="48">
        <v>5</v>
      </c>
      <c r="J520" s="33">
        <v>4972</v>
      </c>
      <c r="K520" s="33">
        <v>0.21</v>
      </c>
      <c r="L520" s="33">
        <v>2.08</v>
      </c>
      <c r="M520" s="33">
        <v>15</v>
      </c>
      <c r="N520" s="33">
        <v>0.86</v>
      </c>
      <c r="O520" s="33">
        <v>68.599999999999994</v>
      </c>
      <c r="P520" s="33">
        <v>6</v>
      </c>
      <c r="Q520" s="33">
        <v>22.6</v>
      </c>
      <c r="R520" s="33" t="s">
        <v>739</v>
      </c>
      <c r="S520" s="32"/>
      <c r="T520" s="33">
        <v>5</v>
      </c>
      <c r="U520" s="35">
        <v>288</v>
      </c>
    </row>
    <row r="521" spans="1:21">
      <c r="A521" s="50" t="s">
        <v>843</v>
      </c>
      <c r="B521" s="33" t="s">
        <v>1618</v>
      </c>
      <c r="C521" s="33">
        <v>100</v>
      </c>
      <c r="D521" s="33">
        <v>203</v>
      </c>
      <c r="E521" s="33">
        <v>56.4</v>
      </c>
      <c r="F521" s="48">
        <v>26.4</v>
      </c>
      <c r="G521" s="48">
        <v>8.3000000000000007</v>
      </c>
      <c r="H521" s="32"/>
      <c r="I521" s="48">
        <v>5.6</v>
      </c>
      <c r="J521" s="33">
        <v>37</v>
      </c>
      <c r="K521" s="33">
        <v>0.36</v>
      </c>
      <c r="L521" s="33">
        <v>0.42</v>
      </c>
      <c r="M521" s="32"/>
      <c r="N521" s="33">
        <v>0.14000000000000001</v>
      </c>
      <c r="O521" s="33">
        <v>674.7</v>
      </c>
      <c r="P521" s="33">
        <v>68</v>
      </c>
      <c r="Q521" s="33">
        <v>2</v>
      </c>
      <c r="R521" s="33" t="s">
        <v>739</v>
      </c>
      <c r="S521" s="32"/>
      <c r="T521" s="33">
        <v>5</v>
      </c>
      <c r="U521" s="35">
        <v>469</v>
      </c>
    </row>
    <row r="522" spans="1:21">
      <c r="A522" s="50" t="s">
        <v>844</v>
      </c>
      <c r="B522" s="32"/>
      <c r="C522" s="33">
        <v>100</v>
      </c>
      <c r="D522" s="33">
        <v>131</v>
      </c>
      <c r="E522" s="33">
        <v>78</v>
      </c>
      <c r="F522" s="48">
        <v>10.8</v>
      </c>
      <c r="G522" s="48">
        <v>9.8000000000000007</v>
      </c>
      <c r="H522" s="32"/>
      <c r="I522" s="48">
        <v>0</v>
      </c>
      <c r="J522" s="32"/>
      <c r="K522" s="33">
        <v>0.11</v>
      </c>
      <c r="L522" s="33">
        <v>0.19</v>
      </c>
      <c r="M522" s="33">
        <v>2.8</v>
      </c>
      <c r="N522" s="33">
        <v>0.96</v>
      </c>
      <c r="O522" s="33">
        <v>130.69999999999999</v>
      </c>
      <c r="P522" s="33">
        <v>30</v>
      </c>
      <c r="Q522" s="33">
        <v>1.9</v>
      </c>
      <c r="R522" s="33" t="s">
        <v>739</v>
      </c>
      <c r="S522" s="32"/>
      <c r="T522" s="33">
        <v>5</v>
      </c>
      <c r="U522" s="35">
        <v>2571</v>
      </c>
    </row>
    <row r="523" spans="1:21">
      <c r="A523" s="50" t="s">
        <v>845</v>
      </c>
      <c r="B523" s="33" t="s">
        <v>1705</v>
      </c>
      <c r="C523" s="33">
        <v>100</v>
      </c>
      <c r="D523" s="33">
        <v>94</v>
      </c>
      <c r="E523" s="33">
        <v>79.400000000000006</v>
      </c>
      <c r="F523" s="48">
        <v>13.2</v>
      </c>
      <c r="G523" s="48">
        <v>3.2</v>
      </c>
      <c r="H523" s="32"/>
      <c r="I523" s="48">
        <v>3.1</v>
      </c>
      <c r="J523" s="32"/>
      <c r="K523" s="33">
        <v>0.09</v>
      </c>
      <c r="L523" s="33">
        <v>0.26</v>
      </c>
      <c r="M523" s="33">
        <v>0.6</v>
      </c>
      <c r="N523" s="33">
        <v>0.33</v>
      </c>
      <c r="O523" s="33">
        <v>26.1</v>
      </c>
      <c r="P523" s="33">
        <v>1</v>
      </c>
      <c r="Q523" s="33">
        <v>11.3</v>
      </c>
      <c r="R523" s="33" t="s">
        <v>739</v>
      </c>
      <c r="S523" s="32"/>
      <c r="T523" s="33">
        <v>5</v>
      </c>
      <c r="U523" s="35">
        <v>461</v>
      </c>
    </row>
    <row r="524" spans="1:21">
      <c r="A524" s="50" t="s">
        <v>846</v>
      </c>
      <c r="B524" s="33" t="s">
        <v>1618</v>
      </c>
      <c r="C524" s="33">
        <v>90</v>
      </c>
      <c r="D524" s="33">
        <v>576</v>
      </c>
      <c r="E524" s="33">
        <v>35.799999999999997</v>
      </c>
      <c r="F524" s="48">
        <v>8</v>
      </c>
      <c r="G524" s="48">
        <v>60.5</v>
      </c>
      <c r="H524" s="32"/>
      <c r="I524" s="48">
        <v>0</v>
      </c>
      <c r="J524" s="33">
        <v>18</v>
      </c>
      <c r="K524" s="33">
        <v>0.21</v>
      </c>
      <c r="L524" s="33">
        <v>7.0000000000000007E-2</v>
      </c>
      <c r="M524" s="33">
        <v>1.7</v>
      </c>
      <c r="N524" s="33">
        <v>0.61</v>
      </c>
      <c r="O524" s="33">
        <v>54</v>
      </c>
      <c r="P524" s="33">
        <v>4</v>
      </c>
      <c r="Q524" s="33">
        <v>1.2</v>
      </c>
      <c r="R524" s="33" t="s">
        <v>739</v>
      </c>
      <c r="S524" s="32"/>
      <c r="T524" s="33">
        <v>5</v>
      </c>
      <c r="U524" s="35">
        <v>94</v>
      </c>
    </row>
    <row r="525" spans="1:21">
      <c r="A525" s="50" t="s">
        <v>847</v>
      </c>
      <c r="B525" s="32"/>
      <c r="C525" s="33">
        <v>100</v>
      </c>
      <c r="D525" s="33">
        <v>816</v>
      </c>
      <c r="E525" s="33">
        <v>8.8000000000000007</v>
      </c>
      <c r="F525" s="48">
        <v>2.4</v>
      </c>
      <c r="G525" s="48">
        <v>90.4</v>
      </c>
      <c r="H525" s="32"/>
      <c r="I525" s="48">
        <v>0</v>
      </c>
      <c r="J525" s="33">
        <v>29</v>
      </c>
      <c r="K525" s="33">
        <v>0.08</v>
      </c>
      <c r="L525" s="33">
        <v>0.05</v>
      </c>
      <c r="M525" s="33">
        <v>0.9</v>
      </c>
      <c r="N525" s="33">
        <v>0.24</v>
      </c>
      <c r="O525" s="33">
        <v>19.5</v>
      </c>
      <c r="P525" s="33">
        <v>3</v>
      </c>
      <c r="Q525" s="33">
        <v>1</v>
      </c>
      <c r="R525" s="33" t="s">
        <v>739</v>
      </c>
      <c r="S525" s="32"/>
      <c r="T525" s="33">
        <v>5</v>
      </c>
      <c r="U525" s="35">
        <v>109</v>
      </c>
    </row>
    <row r="526" spans="1:21">
      <c r="A526" s="50" t="s">
        <v>848</v>
      </c>
      <c r="B526" s="32"/>
      <c r="C526" s="33">
        <v>100</v>
      </c>
      <c r="D526" s="33">
        <v>395</v>
      </c>
      <c r="E526" s="33">
        <v>46.8</v>
      </c>
      <c r="F526" s="48">
        <v>13.2</v>
      </c>
      <c r="G526" s="48">
        <v>37</v>
      </c>
      <c r="H526" s="32"/>
      <c r="I526" s="48">
        <v>2.4</v>
      </c>
      <c r="J526" s="32"/>
      <c r="K526" s="33">
        <v>0.22</v>
      </c>
      <c r="L526" s="33">
        <v>0.16</v>
      </c>
      <c r="M526" s="33">
        <v>3.5</v>
      </c>
      <c r="N526" s="33">
        <v>0.49</v>
      </c>
      <c r="O526" s="33">
        <v>59.4</v>
      </c>
      <c r="P526" s="33">
        <v>6</v>
      </c>
      <c r="Q526" s="33">
        <v>1.6</v>
      </c>
      <c r="R526" s="33" t="s">
        <v>739</v>
      </c>
      <c r="S526" s="32"/>
      <c r="T526" s="33">
        <v>5</v>
      </c>
      <c r="U526" s="35">
        <v>80</v>
      </c>
    </row>
    <row r="527" spans="1:21">
      <c r="A527" s="50" t="s">
        <v>849</v>
      </c>
      <c r="B527" s="33" t="s">
        <v>1618</v>
      </c>
      <c r="C527" s="33">
        <v>97</v>
      </c>
      <c r="D527" s="33">
        <v>331</v>
      </c>
      <c r="E527" s="33">
        <v>55.1</v>
      </c>
      <c r="F527" s="48">
        <v>14.6</v>
      </c>
      <c r="G527" s="48">
        <v>30.8</v>
      </c>
      <c r="H527" s="33">
        <v>0</v>
      </c>
      <c r="I527" s="48">
        <v>0</v>
      </c>
      <c r="J527" s="33">
        <v>16</v>
      </c>
      <c r="K527" s="33">
        <v>0.26</v>
      </c>
      <c r="L527" s="33">
        <v>0.11</v>
      </c>
      <c r="M527" s="33">
        <v>2.8</v>
      </c>
      <c r="N527" s="33">
        <v>0.95</v>
      </c>
      <c r="O527" s="33">
        <v>57.5</v>
      </c>
      <c r="P527" s="33">
        <v>5</v>
      </c>
      <c r="Q527" s="33">
        <v>1</v>
      </c>
      <c r="R527" s="33" t="s">
        <v>739</v>
      </c>
      <c r="S527" s="33">
        <v>0</v>
      </c>
      <c r="T527" s="33">
        <v>5</v>
      </c>
      <c r="U527" s="49"/>
    </row>
    <row r="528" spans="1:21">
      <c r="A528" s="50" t="s">
        <v>850</v>
      </c>
      <c r="B528" s="32"/>
      <c r="C528" s="33">
        <v>73</v>
      </c>
      <c r="D528" s="33">
        <v>320</v>
      </c>
      <c r="E528" s="33">
        <v>57.6</v>
      </c>
      <c r="F528" s="48">
        <v>17</v>
      </c>
      <c r="G528" s="48">
        <v>28</v>
      </c>
      <c r="H528" s="32"/>
      <c r="I528" s="48">
        <v>0</v>
      </c>
      <c r="J528" s="33">
        <v>8</v>
      </c>
      <c r="K528" s="33">
        <v>0.37</v>
      </c>
      <c r="L528" s="33">
        <v>0.18</v>
      </c>
      <c r="M528" s="33">
        <v>2.6</v>
      </c>
      <c r="N528" s="33">
        <v>0.48</v>
      </c>
      <c r="O528" s="33">
        <v>76.8</v>
      </c>
      <c r="P528" s="33">
        <v>6</v>
      </c>
      <c r="Q528" s="33">
        <v>1</v>
      </c>
      <c r="R528" s="33" t="s">
        <v>739</v>
      </c>
      <c r="S528" s="32"/>
      <c r="T528" s="33">
        <v>5</v>
      </c>
      <c r="U528" s="35">
        <v>79</v>
      </c>
    </row>
    <row r="529" spans="1:21">
      <c r="A529" s="50" t="s">
        <v>851</v>
      </c>
      <c r="B529" s="32"/>
      <c r="C529" s="33">
        <v>100</v>
      </c>
      <c r="D529" s="33">
        <v>155</v>
      </c>
      <c r="E529" s="33">
        <v>70.3</v>
      </c>
      <c r="F529" s="48">
        <v>20.2</v>
      </c>
      <c r="G529" s="48">
        <v>7.9</v>
      </c>
      <c r="H529" s="32"/>
      <c r="I529" s="48">
        <v>0.7</v>
      </c>
      <c r="J529" s="33">
        <v>5</v>
      </c>
      <c r="K529" s="33">
        <v>0.47</v>
      </c>
      <c r="L529" s="33">
        <v>0.12</v>
      </c>
      <c r="M529" s="33">
        <v>5.2</v>
      </c>
      <c r="N529" s="33">
        <v>0.59</v>
      </c>
      <c r="O529" s="33">
        <v>43.2</v>
      </c>
      <c r="P529" s="33">
        <v>6</v>
      </c>
      <c r="Q529" s="33">
        <v>1.5</v>
      </c>
      <c r="R529" s="33" t="s">
        <v>739</v>
      </c>
      <c r="S529" s="32"/>
      <c r="T529" s="33">
        <v>5</v>
      </c>
      <c r="U529" s="35">
        <v>81</v>
      </c>
    </row>
    <row r="530" spans="1:21">
      <c r="A530" s="50" t="s">
        <v>852</v>
      </c>
      <c r="B530" s="32"/>
      <c r="C530" s="33">
        <v>96</v>
      </c>
      <c r="D530" s="33">
        <v>568</v>
      </c>
      <c r="E530" s="33">
        <v>34</v>
      </c>
      <c r="F530" s="48">
        <v>9.3000000000000007</v>
      </c>
      <c r="G530" s="48">
        <v>59</v>
      </c>
      <c r="H530" s="32"/>
      <c r="I530" s="48">
        <v>0</v>
      </c>
      <c r="J530" s="33">
        <v>10</v>
      </c>
      <c r="K530" s="33">
        <v>0.09</v>
      </c>
      <c r="L530" s="33">
        <v>0.04</v>
      </c>
      <c r="M530" s="33">
        <v>2.4</v>
      </c>
      <c r="N530" s="33">
        <v>0.05</v>
      </c>
      <c r="O530" s="33">
        <v>80</v>
      </c>
      <c r="P530" s="33">
        <v>6</v>
      </c>
      <c r="Q530" s="33">
        <v>1</v>
      </c>
      <c r="R530" s="33" t="s">
        <v>739</v>
      </c>
      <c r="S530" s="32"/>
      <c r="T530" s="33">
        <v>5</v>
      </c>
      <c r="U530" s="35">
        <v>98</v>
      </c>
    </row>
    <row r="531" spans="1:21">
      <c r="A531" s="50" t="s">
        <v>853</v>
      </c>
      <c r="B531" s="33" t="s">
        <v>1618</v>
      </c>
      <c r="C531" s="33">
        <v>85</v>
      </c>
      <c r="D531" s="33">
        <v>349</v>
      </c>
      <c r="E531" s="33">
        <v>56.8</v>
      </c>
      <c r="F531" s="48">
        <v>7.7</v>
      </c>
      <c r="G531" s="48">
        <v>35.299999999999997</v>
      </c>
      <c r="H531" s="32"/>
      <c r="I531" s="48">
        <v>0</v>
      </c>
      <c r="J531" s="33">
        <v>39</v>
      </c>
      <c r="K531" s="33">
        <v>0.14000000000000001</v>
      </c>
      <c r="L531" s="33">
        <v>0.06</v>
      </c>
      <c r="M531" s="33">
        <v>2</v>
      </c>
      <c r="N531" s="33">
        <v>0.49</v>
      </c>
      <c r="O531" s="33">
        <v>36.700000000000003</v>
      </c>
      <c r="P531" s="33">
        <v>5</v>
      </c>
      <c r="Q531" s="33">
        <v>0.8</v>
      </c>
      <c r="R531" s="33" t="s">
        <v>739</v>
      </c>
      <c r="S531" s="32"/>
      <c r="T531" s="33">
        <v>5</v>
      </c>
      <c r="U531" s="35">
        <v>98</v>
      </c>
    </row>
    <row r="532" spans="1:21">
      <c r="A532" s="50" t="s">
        <v>854</v>
      </c>
      <c r="B532" s="32"/>
      <c r="C532" s="33">
        <v>79</v>
      </c>
      <c r="D532" s="33">
        <v>339</v>
      </c>
      <c r="E532" s="33">
        <v>53</v>
      </c>
      <c r="F532" s="48">
        <v>13.6</v>
      </c>
      <c r="G532" s="48">
        <v>30.6</v>
      </c>
      <c r="H532" s="32"/>
      <c r="I532" s="48">
        <v>2.2000000000000002</v>
      </c>
      <c r="J532" s="33">
        <v>10</v>
      </c>
      <c r="K532" s="33">
        <v>0.36</v>
      </c>
      <c r="L532" s="33">
        <v>0.15</v>
      </c>
      <c r="M532" s="33">
        <v>3.1</v>
      </c>
      <c r="N532" s="33">
        <v>0.2</v>
      </c>
      <c r="O532" s="33">
        <v>52</v>
      </c>
      <c r="P532" s="33">
        <v>6</v>
      </c>
      <c r="Q532" s="33">
        <v>1.3</v>
      </c>
      <c r="R532" s="33" t="s">
        <v>739</v>
      </c>
      <c r="S532" s="32"/>
      <c r="T532" s="33">
        <v>5</v>
      </c>
      <c r="U532" s="35">
        <v>79</v>
      </c>
    </row>
    <row r="533" spans="1:21">
      <c r="A533" s="50" t="s">
        <v>855</v>
      </c>
      <c r="B533" s="33" t="s">
        <v>1618</v>
      </c>
      <c r="C533" s="33">
        <v>67</v>
      </c>
      <c r="D533" s="33">
        <v>338</v>
      </c>
      <c r="E533" s="33">
        <v>54.3</v>
      </c>
      <c r="F533" s="48">
        <v>15.1</v>
      </c>
      <c r="G533" s="48">
        <v>31.5</v>
      </c>
      <c r="H533" s="32"/>
      <c r="I533" s="48">
        <v>0</v>
      </c>
      <c r="J533" s="33">
        <v>13</v>
      </c>
      <c r="K533" s="33">
        <v>0.23</v>
      </c>
      <c r="L533" s="33">
        <v>0.14000000000000001</v>
      </c>
      <c r="M533" s="33">
        <v>2</v>
      </c>
      <c r="N533" s="33">
        <v>0.71</v>
      </c>
      <c r="O533" s="33">
        <v>66.099999999999994</v>
      </c>
      <c r="P533" s="33">
        <v>5</v>
      </c>
      <c r="Q533" s="33">
        <v>1.2</v>
      </c>
      <c r="R533" s="33" t="s">
        <v>739</v>
      </c>
      <c r="S533" s="32"/>
      <c r="T533" s="33">
        <v>5</v>
      </c>
      <c r="U533" s="35">
        <v>79</v>
      </c>
    </row>
    <row r="534" spans="1:21">
      <c r="A534" s="50" t="s">
        <v>856</v>
      </c>
      <c r="B534" s="33" t="s">
        <v>1655</v>
      </c>
      <c r="C534" s="33">
        <v>100</v>
      </c>
      <c r="D534" s="33">
        <v>118</v>
      </c>
      <c r="E534" s="33">
        <v>71.400000000000006</v>
      </c>
      <c r="F534" s="48">
        <v>18.399999999999999</v>
      </c>
      <c r="G534" s="48">
        <v>13.8</v>
      </c>
      <c r="H534" s="32"/>
      <c r="I534" s="48">
        <v>0</v>
      </c>
      <c r="J534" s="32"/>
      <c r="K534" s="33">
        <v>0.09</v>
      </c>
      <c r="L534" s="33">
        <v>7.0000000000000007E-2</v>
      </c>
      <c r="M534" s="33">
        <v>2.8</v>
      </c>
      <c r="N534" s="32"/>
      <c r="O534" s="33">
        <v>210.6</v>
      </c>
      <c r="P534" s="33">
        <v>4</v>
      </c>
      <c r="Q534" s="33">
        <v>3.4</v>
      </c>
      <c r="R534" s="33" t="s">
        <v>739</v>
      </c>
      <c r="S534" s="32"/>
      <c r="T534" s="33">
        <v>5</v>
      </c>
      <c r="U534" s="35">
        <v>62</v>
      </c>
    </row>
    <row r="535" spans="1:21">
      <c r="A535" s="50" t="s">
        <v>857</v>
      </c>
      <c r="B535" s="32"/>
      <c r="C535" s="33">
        <v>100</v>
      </c>
      <c r="D535" s="33">
        <v>190</v>
      </c>
      <c r="E535" s="33">
        <v>67.599999999999994</v>
      </c>
      <c r="F535" s="48">
        <v>17.899999999999999</v>
      </c>
      <c r="G535" s="48">
        <v>12.8</v>
      </c>
      <c r="H535" s="32"/>
      <c r="I535" s="48">
        <v>0.8</v>
      </c>
      <c r="J535" s="33">
        <v>3</v>
      </c>
      <c r="K535" s="33">
        <v>0.53</v>
      </c>
      <c r="L535" s="33">
        <v>0.24</v>
      </c>
      <c r="M535" s="33">
        <v>4.9000000000000004</v>
      </c>
      <c r="N535" s="33">
        <v>0.3</v>
      </c>
      <c r="O535" s="33">
        <v>63</v>
      </c>
      <c r="P535" s="33">
        <v>6</v>
      </c>
      <c r="Q535" s="33">
        <v>0.9</v>
      </c>
      <c r="R535" s="33" t="s">
        <v>739</v>
      </c>
      <c r="S535" s="32"/>
      <c r="T535" s="33">
        <v>5</v>
      </c>
      <c r="U535" s="35">
        <v>79</v>
      </c>
    </row>
    <row r="536" spans="1:21">
      <c r="A536" s="50" t="s">
        <v>858</v>
      </c>
      <c r="B536" s="32"/>
      <c r="C536" s="33">
        <v>100</v>
      </c>
      <c r="D536" s="33">
        <v>143</v>
      </c>
      <c r="E536" s="33">
        <v>71</v>
      </c>
      <c r="F536" s="48">
        <v>20.3</v>
      </c>
      <c r="G536" s="48">
        <v>6.2</v>
      </c>
      <c r="H536" s="32"/>
      <c r="I536" s="48">
        <v>1.5</v>
      </c>
      <c r="J536" s="33">
        <v>44</v>
      </c>
      <c r="K536" s="33">
        <v>0.54</v>
      </c>
      <c r="L536" s="33">
        <v>0.1</v>
      </c>
      <c r="M536" s="33">
        <v>5.3</v>
      </c>
      <c r="N536" s="33">
        <v>0.34</v>
      </c>
      <c r="O536" s="33">
        <v>57.5</v>
      </c>
      <c r="P536" s="33">
        <v>6</v>
      </c>
      <c r="Q536" s="33">
        <v>3</v>
      </c>
      <c r="R536" s="33" t="s">
        <v>739</v>
      </c>
      <c r="S536" s="32"/>
      <c r="T536" s="33">
        <v>5</v>
      </c>
      <c r="U536" s="35">
        <v>81</v>
      </c>
    </row>
    <row r="537" spans="1:21">
      <c r="A537" s="50" t="s">
        <v>859</v>
      </c>
      <c r="B537" s="32"/>
      <c r="C537" s="33">
        <v>100</v>
      </c>
      <c r="D537" s="33">
        <v>396</v>
      </c>
      <c r="E537" s="33">
        <v>9.4</v>
      </c>
      <c r="F537" s="48">
        <v>23.4</v>
      </c>
      <c r="G537" s="48">
        <v>11.5</v>
      </c>
      <c r="H537" s="32"/>
      <c r="I537" s="48">
        <v>49.7</v>
      </c>
      <c r="J537" s="33">
        <v>44</v>
      </c>
      <c r="K537" s="33">
        <v>0.04</v>
      </c>
      <c r="L537" s="33">
        <v>0.13</v>
      </c>
      <c r="M537" s="33">
        <v>3.3</v>
      </c>
      <c r="N537" s="33">
        <v>10.02</v>
      </c>
      <c r="O537" s="33">
        <v>469</v>
      </c>
      <c r="P537" s="33">
        <v>41</v>
      </c>
      <c r="Q537" s="33">
        <v>6.4</v>
      </c>
      <c r="R537" s="33" t="s">
        <v>739</v>
      </c>
      <c r="S537" s="32"/>
      <c r="T537" s="33">
        <v>5</v>
      </c>
      <c r="U537" s="35">
        <v>111</v>
      </c>
    </row>
    <row r="538" spans="1:21">
      <c r="A538" s="50" t="s">
        <v>860</v>
      </c>
      <c r="B538" s="33" t="s">
        <v>1627</v>
      </c>
      <c r="C538" s="33">
        <v>100</v>
      </c>
      <c r="D538" s="33">
        <v>493</v>
      </c>
      <c r="E538" s="33">
        <v>3.6</v>
      </c>
      <c r="F538" s="48">
        <v>25.1</v>
      </c>
      <c r="G538" s="48">
        <v>26</v>
      </c>
      <c r="H538" s="32"/>
      <c r="I538" s="48">
        <v>39.700000000000003</v>
      </c>
      <c r="J538" s="32"/>
      <c r="K538" s="33">
        <v>0.03</v>
      </c>
      <c r="L538" s="33">
        <v>0.19</v>
      </c>
      <c r="M538" s="33">
        <v>2.7</v>
      </c>
      <c r="N538" s="33">
        <v>0.78</v>
      </c>
      <c r="O538" s="33">
        <v>1419.9</v>
      </c>
      <c r="P538" s="33">
        <v>3</v>
      </c>
      <c r="Q538" s="33">
        <v>7.7</v>
      </c>
      <c r="R538" s="33" t="s">
        <v>739</v>
      </c>
      <c r="S538" s="32"/>
      <c r="T538" s="33">
        <v>5</v>
      </c>
      <c r="U538" s="35">
        <v>111</v>
      </c>
    </row>
    <row r="539" spans="1:21">
      <c r="A539" s="50" t="s">
        <v>861</v>
      </c>
      <c r="B539" s="33" t="s">
        <v>1627</v>
      </c>
      <c r="C539" s="33">
        <v>100</v>
      </c>
      <c r="D539" s="33">
        <v>451</v>
      </c>
      <c r="E539" s="33">
        <v>5.0999999999999996</v>
      </c>
      <c r="F539" s="48">
        <v>35.799999999999997</v>
      </c>
      <c r="G539" s="48">
        <v>20.5</v>
      </c>
      <c r="H539" s="32"/>
      <c r="I539" s="48">
        <v>30.9</v>
      </c>
      <c r="J539" s="32"/>
      <c r="K539" s="33">
        <v>0.17</v>
      </c>
      <c r="L539" s="33">
        <v>0.19</v>
      </c>
      <c r="M539" s="33">
        <v>3.6</v>
      </c>
      <c r="N539" s="33">
        <v>15.09</v>
      </c>
      <c r="O539" s="33">
        <v>2301.6999999999998</v>
      </c>
      <c r="P539" s="33">
        <v>33</v>
      </c>
      <c r="Q539" s="33">
        <v>3</v>
      </c>
      <c r="R539" s="33" t="s">
        <v>739</v>
      </c>
      <c r="S539" s="32"/>
      <c r="T539" s="33">
        <v>5</v>
      </c>
      <c r="U539" s="35">
        <v>111</v>
      </c>
    </row>
    <row r="540" spans="1:21">
      <c r="A540" s="50" t="s">
        <v>862</v>
      </c>
      <c r="B540" s="33" t="s">
        <v>1627</v>
      </c>
      <c r="C540" s="33">
        <v>100</v>
      </c>
      <c r="D540" s="33">
        <v>229</v>
      </c>
      <c r="E540" s="33">
        <v>24.4</v>
      </c>
      <c r="F540" s="48">
        <v>38.6</v>
      </c>
      <c r="G540" s="48">
        <v>8.3000000000000007</v>
      </c>
      <c r="H540" s="32"/>
      <c r="I540" s="48">
        <v>21.6</v>
      </c>
      <c r="J540" s="32"/>
      <c r="K540" s="33">
        <v>0.05</v>
      </c>
      <c r="L540" s="33">
        <v>0.16</v>
      </c>
      <c r="M540" s="33">
        <v>2.9</v>
      </c>
      <c r="N540" s="33">
        <v>0.41</v>
      </c>
      <c r="O540" s="33">
        <v>1880</v>
      </c>
      <c r="P540" s="33">
        <v>53</v>
      </c>
      <c r="Q540" s="33">
        <v>8.1999999999999993</v>
      </c>
      <c r="R540" s="33" t="s">
        <v>739</v>
      </c>
      <c r="S540" s="32"/>
      <c r="T540" s="33">
        <v>5</v>
      </c>
      <c r="U540" s="35">
        <v>111</v>
      </c>
    </row>
    <row r="541" spans="1:21">
      <c r="A541" s="50" t="s">
        <v>863</v>
      </c>
      <c r="B541" s="32"/>
      <c r="C541" s="33">
        <v>94</v>
      </c>
      <c r="D541" s="33">
        <v>233</v>
      </c>
      <c r="E541" s="33">
        <v>63.7</v>
      </c>
      <c r="F541" s="48">
        <v>15.7</v>
      </c>
      <c r="G541" s="48">
        <v>18.100000000000001</v>
      </c>
      <c r="H541" s="32"/>
      <c r="I541" s="48">
        <v>1.7</v>
      </c>
      <c r="J541" s="33">
        <v>15</v>
      </c>
      <c r="K541" s="33">
        <v>0.13</v>
      </c>
      <c r="L541" s="33">
        <v>0.3</v>
      </c>
      <c r="M541" s="33">
        <v>4.5999999999999996</v>
      </c>
      <c r="N541" s="33">
        <v>0.73</v>
      </c>
      <c r="O541" s="33">
        <v>79.400000000000006</v>
      </c>
      <c r="P541" s="33">
        <v>13</v>
      </c>
      <c r="Q541" s="33">
        <v>2.8</v>
      </c>
      <c r="R541" s="33" t="s">
        <v>739</v>
      </c>
      <c r="S541" s="32"/>
      <c r="T541" s="33">
        <v>5</v>
      </c>
      <c r="U541" s="35">
        <v>158</v>
      </c>
    </row>
    <row r="542" spans="1:21">
      <c r="A542" s="50" t="s">
        <v>864</v>
      </c>
      <c r="B542" s="32"/>
      <c r="C542" s="33">
        <v>93</v>
      </c>
      <c r="D542" s="33">
        <v>96</v>
      </c>
      <c r="E542" s="33">
        <v>78.8</v>
      </c>
      <c r="F542" s="48">
        <v>15.4</v>
      </c>
      <c r="G542" s="48">
        <v>3.2</v>
      </c>
      <c r="H542" s="32"/>
      <c r="I542" s="48">
        <v>1.4</v>
      </c>
      <c r="J542" s="33">
        <v>41</v>
      </c>
      <c r="K542" s="33">
        <v>0.31</v>
      </c>
      <c r="L542" s="33">
        <v>1.1399999999999999</v>
      </c>
      <c r="M542" s="33">
        <v>8</v>
      </c>
      <c r="N542" s="33">
        <v>0.34</v>
      </c>
      <c r="O542" s="33">
        <v>134.19999999999999</v>
      </c>
      <c r="P542" s="33">
        <v>12</v>
      </c>
      <c r="Q542" s="33">
        <v>6.1</v>
      </c>
      <c r="R542" s="33" t="s">
        <v>739</v>
      </c>
      <c r="S542" s="32"/>
      <c r="T542" s="33">
        <v>5</v>
      </c>
      <c r="U542" s="35">
        <v>354</v>
      </c>
    </row>
    <row r="543" spans="1:21">
      <c r="A543" s="50" t="s">
        <v>865</v>
      </c>
      <c r="B543" s="32"/>
      <c r="C543" s="33">
        <v>60</v>
      </c>
      <c r="D543" s="33">
        <v>266</v>
      </c>
      <c r="E543" s="33">
        <v>58.2</v>
      </c>
      <c r="F543" s="48">
        <v>22.6</v>
      </c>
      <c r="G543" s="48">
        <v>20</v>
      </c>
      <c r="H543" s="33">
        <v>0</v>
      </c>
      <c r="I543" s="48">
        <v>3</v>
      </c>
      <c r="J543" s="33">
        <v>0.05</v>
      </c>
      <c r="K543" s="33">
        <v>0.1</v>
      </c>
      <c r="L543" s="33">
        <v>1.5</v>
      </c>
      <c r="M543" s="33">
        <v>0.01</v>
      </c>
      <c r="N543" s="33">
        <v>101</v>
      </c>
      <c r="O543" s="33">
        <v>33</v>
      </c>
      <c r="P543" s="33">
        <v>1.1000000000000001</v>
      </c>
      <c r="Q543" s="32"/>
      <c r="R543" s="33" t="s">
        <v>739</v>
      </c>
      <c r="S543" s="32"/>
      <c r="T543" s="33">
        <v>5</v>
      </c>
      <c r="U543" s="35">
        <v>192</v>
      </c>
    </row>
    <row r="544" spans="1:21">
      <c r="A544" s="50" t="s">
        <v>865</v>
      </c>
      <c r="B544" s="32"/>
      <c r="C544" s="33">
        <v>60</v>
      </c>
      <c r="D544" s="33">
        <v>266</v>
      </c>
      <c r="E544" s="33">
        <v>58.2</v>
      </c>
      <c r="F544" s="48">
        <v>22.6</v>
      </c>
      <c r="G544" s="48">
        <v>20</v>
      </c>
      <c r="H544" s="32"/>
      <c r="I544" s="48">
        <v>0</v>
      </c>
      <c r="J544" s="33">
        <v>3</v>
      </c>
      <c r="K544" s="33">
        <v>0.05</v>
      </c>
      <c r="L544" s="33">
        <v>0.1</v>
      </c>
      <c r="M544" s="33">
        <v>1.5</v>
      </c>
      <c r="N544" s="33">
        <v>0.01</v>
      </c>
      <c r="O544" s="33">
        <v>101</v>
      </c>
      <c r="P544" s="33">
        <v>33</v>
      </c>
      <c r="Q544" s="33">
        <v>1.1000000000000001</v>
      </c>
      <c r="R544" s="33" t="s">
        <v>739</v>
      </c>
      <c r="S544" s="32"/>
      <c r="T544" s="33">
        <v>5</v>
      </c>
      <c r="U544" s="35">
        <v>192</v>
      </c>
    </row>
    <row r="545" spans="1:21">
      <c r="A545" s="50" t="s">
        <v>866</v>
      </c>
      <c r="B545" s="32"/>
      <c r="C545" s="33">
        <v>43</v>
      </c>
      <c r="D545" s="33">
        <v>260</v>
      </c>
      <c r="E545" s="33">
        <v>55.8</v>
      </c>
      <c r="F545" s="48">
        <v>23.6</v>
      </c>
      <c r="G545" s="48">
        <v>17</v>
      </c>
      <c r="H545" s="32"/>
      <c r="I545" s="48">
        <v>3.2</v>
      </c>
      <c r="J545" s="32"/>
      <c r="K545" s="33">
        <v>0.13</v>
      </c>
      <c r="L545" s="33">
        <v>0.04</v>
      </c>
      <c r="M545" s="33">
        <v>2.8</v>
      </c>
      <c r="N545" s="32"/>
      <c r="O545" s="33">
        <v>363.2</v>
      </c>
      <c r="P545" s="33">
        <v>32</v>
      </c>
      <c r="Q545" s="33">
        <v>2.4</v>
      </c>
      <c r="R545" s="33" t="s">
        <v>739</v>
      </c>
      <c r="S545" s="32"/>
      <c r="T545" s="33">
        <v>5</v>
      </c>
      <c r="U545" s="35">
        <v>86</v>
      </c>
    </row>
    <row r="546" spans="1:21">
      <c r="A546" s="50" t="s">
        <v>867</v>
      </c>
      <c r="B546" s="32"/>
      <c r="C546" s="33">
        <v>100</v>
      </c>
      <c r="D546" s="33">
        <v>156</v>
      </c>
      <c r="E546" s="33">
        <v>62.4</v>
      </c>
      <c r="F546" s="48">
        <v>35.299999999999997</v>
      </c>
      <c r="G546" s="48">
        <v>1.4</v>
      </c>
      <c r="H546" s="32"/>
      <c r="I546" s="48">
        <v>0.5</v>
      </c>
      <c r="J546" s="32"/>
      <c r="K546" s="33">
        <v>0.01</v>
      </c>
      <c r="L546" s="33">
        <v>0.09</v>
      </c>
      <c r="M546" s="33">
        <v>2.9</v>
      </c>
      <c r="N546" s="33">
        <v>0.1</v>
      </c>
      <c r="O546" s="33">
        <v>178</v>
      </c>
      <c r="P546" s="33">
        <v>15</v>
      </c>
      <c r="Q546" s="33">
        <v>2.2000000000000002</v>
      </c>
      <c r="R546" s="33" t="s">
        <v>739</v>
      </c>
      <c r="S546" s="32"/>
      <c r="T546" s="33">
        <v>5</v>
      </c>
      <c r="U546" s="35">
        <v>79</v>
      </c>
    </row>
    <row r="547" spans="1:21">
      <c r="A547" s="50" t="s">
        <v>868</v>
      </c>
      <c r="B547" s="33" t="s">
        <v>1643</v>
      </c>
      <c r="C547" s="33">
        <v>100</v>
      </c>
      <c r="D547" s="33">
        <v>499</v>
      </c>
      <c r="E547" s="33">
        <v>30.6</v>
      </c>
      <c r="F547" s="48">
        <v>11.8</v>
      </c>
      <c r="G547" s="48">
        <v>44.6</v>
      </c>
      <c r="H547" s="32"/>
      <c r="I547" s="48">
        <v>12.7</v>
      </c>
      <c r="J547" s="32"/>
      <c r="K547" s="33">
        <v>0.1</v>
      </c>
      <c r="L547" s="33">
        <v>0.05</v>
      </c>
      <c r="M547" s="32"/>
      <c r="N547" s="33">
        <v>0.15</v>
      </c>
      <c r="O547" s="33">
        <v>72.400000000000006</v>
      </c>
      <c r="P547" s="33">
        <v>13</v>
      </c>
      <c r="Q547" s="33">
        <v>1.7</v>
      </c>
      <c r="R547" s="33" t="s">
        <v>739</v>
      </c>
      <c r="S547" s="32"/>
      <c r="T547" s="33">
        <v>5</v>
      </c>
      <c r="U547" s="35">
        <v>304</v>
      </c>
    </row>
    <row r="548" spans="1:21">
      <c r="A548" s="50" t="s">
        <v>869</v>
      </c>
      <c r="B548" s="32"/>
      <c r="C548" s="33">
        <v>100</v>
      </c>
      <c r="D548" s="33">
        <v>65</v>
      </c>
      <c r="E548" s="33">
        <v>85.4</v>
      </c>
      <c r="F548" s="48">
        <v>10</v>
      </c>
      <c r="G548" s="48">
        <v>2</v>
      </c>
      <c r="H548" s="32"/>
      <c r="I548" s="48">
        <v>1.7</v>
      </c>
      <c r="J548" s="33">
        <v>6</v>
      </c>
      <c r="K548" s="33">
        <v>0.12</v>
      </c>
      <c r="L548" s="33">
        <v>0.11</v>
      </c>
      <c r="M548" s="33">
        <v>3.1</v>
      </c>
      <c r="N548" s="33">
        <v>0.13</v>
      </c>
      <c r="O548" s="33">
        <v>204.8</v>
      </c>
      <c r="P548" s="33">
        <v>7</v>
      </c>
      <c r="Q548" s="33">
        <v>2</v>
      </c>
      <c r="R548" s="33" t="s">
        <v>739</v>
      </c>
      <c r="S548" s="32"/>
      <c r="T548" s="33">
        <v>5</v>
      </c>
      <c r="U548" s="35">
        <v>183</v>
      </c>
    </row>
    <row r="549" spans="1:21">
      <c r="A549" s="50" t="s">
        <v>870</v>
      </c>
      <c r="B549" s="32"/>
      <c r="C549" s="33">
        <v>72</v>
      </c>
      <c r="D549" s="33">
        <v>278</v>
      </c>
      <c r="E549" s="33">
        <v>58.1</v>
      </c>
      <c r="F549" s="48">
        <v>16.7</v>
      </c>
      <c r="G549" s="48">
        <v>23.1</v>
      </c>
      <c r="H549" s="32"/>
      <c r="I549" s="48">
        <v>0.7</v>
      </c>
      <c r="J549" s="33">
        <v>5</v>
      </c>
      <c r="K549" s="33">
        <v>0.3</v>
      </c>
      <c r="L549" s="33">
        <v>0.16</v>
      </c>
      <c r="M549" s="33">
        <v>4.5</v>
      </c>
      <c r="N549" s="33">
        <v>0.11</v>
      </c>
      <c r="O549" s="33">
        <v>62.6</v>
      </c>
      <c r="P549" s="33">
        <v>14</v>
      </c>
      <c r="Q549" s="33">
        <v>1.4</v>
      </c>
      <c r="R549" s="33" t="s">
        <v>739</v>
      </c>
      <c r="S549" s="32"/>
      <c r="T549" s="33">
        <v>5</v>
      </c>
      <c r="U549" s="35">
        <v>146</v>
      </c>
    </row>
    <row r="550" spans="1:21">
      <c r="A550" s="50" t="s">
        <v>871</v>
      </c>
      <c r="B550" s="32"/>
      <c r="C550" s="33">
        <v>97</v>
      </c>
      <c r="D550" s="33">
        <v>119</v>
      </c>
      <c r="E550" s="33">
        <v>76</v>
      </c>
      <c r="F550" s="48">
        <v>16.600000000000001</v>
      </c>
      <c r="G550" s="48">
        <v>5.3</v>
      </c>
      <c r="H550" s="32"/>
      <c r="I550" s="48">
        <v>1.1000000000000001</v>
      </c>
      <c r="J550" s="33">
        <v>13</v>
      </c>
      <c r="K550" s="33">
        <v>0.19</v>
      </c>
      <c r="L550" s="33">
        <v>0.48</v>
      </c>
      <c r="M550" s="33">
        <v>6.8</v>
      </c>
      <c r="N550" s="33">
        <v>0.74</v>
      </c>
      <c r="O550" s="33">
        <v>71.2</v>
      </c>
      <c r="P550" s="33">
        <v>12</v>
      </c>
      <c r="Q550" s="33">
        <v>4.3</v>
      </c>
      <c r="R550" s="33" t="s">
        <v>739</v>
      </c>
      <c r="S550" s="32"/>
      <c r="T550" s="33">
        <v>5</v>
      </c>
      <c r="U550" s="35">
        <v>151</v>
      </c>
    </row>
    <row r="551" spans="1:21">
      <c r="A551" s="50" t="s">
        <v>872</v>
      </c>
      <c r="B551" s="32"/>
      <c r="C551" s="33">
        <v>100</v>
      </c>
      <c r="D551" s="33">
        <v>55</v>
      </c>
      <c r="E551" s="33">
        <v>85.8</v>
      </c>
      <c r="F551" s="48">
        <v>12.2</v>
      </c>
      <c r="G551" s="48">
        <v>0.3</v>
      </c>
      <c r="H551" s="32"/>
      <c r="I551" s="48">
        <v>0.9</v>
      </c>
      <c r="J551" s="32"/>
      <c r="K551" s="33">
        <v>0.03</v>
      </c>
      <c r="L551" s="33">
        <v>0.04</v>
      </c>
      <c r="M551" s="33">
        <v>0.3</v>
      </c>
      <c r="N551" s="33">
        <v>0.2</v>
      </c>
      <c r="O551" s="33">
        <v>56</v>
      </c>
      <c r="P551" s="33">
        <v>4</v>
      </c>
      <c r="Q551" s="33">
        <v>8.6999999999999993</v>
      </c>
      <c r="R551" s="33" t="s">
        <v>739</v>
      </c>
      <c r="S551" s="32"/>
      <c r="T551" s="33">
        <v>5</v>
      </c>
      <c r="U551" s="35">
        <v>51</v>
      </c>
    </row>
    <row r="552" spans="1:21">
      <c r="A552" s="50" t="s">
        <v>873</v>
      </c>
      <c r="B552" s="33" t="s">
        <v>1618</v>
      </c>
      <c r="C552" s="33">
        <v>67</v>
      </c>
      <c r="D552" s="33">
        <v>248</v>
      </c>
      <c r="E552" s="33">
        <v>55.5</v>
      </c>
      <c r="F552" s="48">
        <v>16.5</v>
      </c>
      <c r="G552" s="48">
        <v>16</v>
      </c>
      <c r="H552" s="32"/>
      <c r="I552" s="48">
        <v>9.4</v>
      </c>
      <c r="J552" s="32"/>
      <c r="K552" s="33">
        <v>0.1</v>
      </c>
      <c r="L552" s="33">
        <v>0.09</v>
      </c>
      <c r="M552" s="33">
        <v>6.6</v>
      </c>
      <c r="N552" s="32"/>
      <c r="O552" s="33">
        <v>80</v>
      </c>
      <c r="P552" s="33">
        <v>19</v>
      </c>
      <c r="Q552" s="33">
        <v>1.5</v>
      </c>
      <c r="R552" s="33" t="s">
        <v>739</v>
      </c>
      <c r="S552" s="32"/>
      <c r="T552" s="33">
        <v>5</v>
      </c>
      <c r="U552" s="35">
        <v>65</v>
      </c>
    </row>
    <row r="553" spans="1:21">
      <c r="A553" s="50" t="s">
        <v>874</v>
      </c>
      <c r="B553" s="33" t="s">
        <v>1618</v>
      </c>
      <c r="C553" s="33">
        <v>72</v>
      </c>
      <c r="D553" s="33">
        <v>314</v>
      </c>
      <c r="E553" s="33">
        <v>49.5</v>
      </c>
      <c r="F553" s="48">
        <v>21.3</v>
      </c>
      <c r="G553" s="48">
        <v>24.5</v>
      </c>
      <c r="H553" s="32"/>
      <c r="I553" s="48">
        <v>2.1</v>
      </c>
      <c r="J553" s="32"/>
      <c r="K553" s="33">
        <v>0.04</v>
      </c>
      <c r="L553" s="33">
        <v>0.09</v>
      </c>
      <c r="M553" s="33">
        <v>3.8</v>
      </c>
      <c r="N553" s="32"/>
      <c r="O553" s="33">
        <v>753.9</v>
      </c>
      <c r="P553" s="33">
        <v>55</v>
      </c>
      <c r="Q553" s="33">
        <v>1.6</v>
      </c>
      <c r="R553" s="33" t="s">
        <v>739</v>
      </c>
      <c r="S553" s="32"/>
      <c r="T553" s="33">
        <v>5</v>
      </c>
      <c r="U553" s="35">
        <v>108</v>
      </c>
    </row>
    <row r="554" spans="1:21">
      <c r="A554" s="50" t="s">
        <v>875</v>
      </c>
      <c r="B554" s="32"/>
      <c r="C554" s="33">
        <v>58</v>
      </c>
      <c r="D554" s="33">
        <v>110</v>
      </c>
      <c r="E554" s="33">
        <v>75.099999999999994</v>
      </c>
      <c r="F554" s="48">
        <v>20.2</v>
      </c>
      <c r="G554" s="48">
        <v>3.1</v>
      </c>
      <c r="H554" s="32"/>
      <c r="I554" s="48">
        <v>0.2</v>
      </c>
      <c r="J554" s="33">
        <v>40</v>
      </c>
      <c r="K554" s="33">
        <v>0.04</v>
      </c>
      <c r="L554" s="33">
        <v>0.32</v>
      </c>
      <c r="M554" s="33">
        <v>6.3</v>
      </c>
      <c r="N554" s="33">
        <v>0.44</v>
      </c>
      <c r="O554" s="33">
        <v>48.4</v>
      </c>
      <c r="P554" s="33">
        <v>48</v>
      </c>
      <c r="Q554" s="33">
        <v>2.2999999999999998</v>
      </c>
      <c r="R554" s="33" t="s">
        <v>876</v>
      </c>
      <c r="S554" s="32"/>
      <c r="T554" s="33">
        <v>5</v>
      </c>
      <c r="U554" s="35">
        <v>157</v>
      </c>
    </row>
    <row r="555" spans="1:21">
      <c r="A555" s="50" t="s">
        <v>877</v>
      </c>
      <c r="B555" s="33" t="s">
        <v>1618</v>
      </c>
      <c r="C555" s="33">
        <v>66</v>
      </c>
      <c r="D555" s="33">
        <v>215</v>
      </c>
      <c r="E555" s="33">
        <v>56.5</v>
      </c>
      <c r="F555" s="48">
        <v>29.6</v>
      </c>
      <c r="G555" s="48">
        <v>11</v>
      </c>
      <c r="H555" s="32"/>
      <c r="I555" s="48">
        <v>0</v>
      </c>
      <c r="J555" s="33">
        <v>32</v>
      </c>
      <c r="K555" s="33">
        <v>0.02</v>
      </c>
      <c r="L555" s="33">
        <v>0.17</v>
      </c>
      <c r="M555" s="33">
        <v>9.1999999999999993</v>
      </c>
      <c r="N555" s="32"/>
      <c r="O555" s="33">
        <v>1000.7</v>
      </c>
      <c r="P555" s="33">
        <v>31</v>
      </c>
      <c r="Q555" s="33">
        <v>2.9</v>
      </c>
      <c r="R555" s="33" t="s">
        <v>876</v>
      </c>
      <c r="S555" s="32"/>
      <c r="T555" s="33">
        <v>5</v>
      </c>
      <c r="U555" s="35">
        <v>211</v>
      </c>
    </row>
    <row r="556" spans="1:21">
      <c r="A556" s="50" t="s">
        <v>878</v>
      </c>
      <c r="B556" s="33" t="s">
        <v>1647</v>
      </c>
      <c r="C556" s="33">
        <v>100</v>
      </c>
      <c r="D556" s="33">
        <v>171</v>
      </c>
      <c r="E556" s="33">
        <v>66.8</v>
      </c>
      <c r="F556" s="48">
        <v>21.4</v>
      </c>
      <c r="G556" s="48">
        <v>8.5</v>
      </c>
      <c r="H556" s="32"/>
      <c r="I556" s="48">
        <v>2.2000000000000002</v>
      </c>
      <c r="J556" s="32"/>
      <c r="K556" s="32"/>
      <c r="L556" s="32"/>
      <c r="M556" s="32"/>
      <c r="N556" s="32"/>
      <c r="O556" s="32"/>
      <c r="P556" s="32"/>
      <c r="Q556" s="32"/>
      <c r="R556" s="33" t="s">
        <v>876</v>
      </c>
      <c r="S556" s="32"/>
      <c r="T556" s="33">
        <v>5</v>
      </c>
      <c r="U556" s="35">
        <v>125</v>
      </c>
    </row>
    <row r="557" spans="1:21">
      <c r="A557" s="50" t="s">
        <v>879</v>
      </c>
      <c r="B557" s="32"/>
      <c r="C557" s="33">
        <v>80</v>
      </c>
      <c r="D557" s="33">
        <v>436</v>
      </c>
      <c r="E557" s="33">
        <v>38.200000000000003</v>
      </c>
      <c r="F557" s="48">
        <v>16.600000000000001</v>
      </c>
      <c r="G557" s="48">
        <v>38.4</v>
      </c>
      <c r="H557" s="32"/>
      <c r="I557" s="48">
        <v>6</v>
      </c>
      <c r="J557" s="33">
        <v>36</v>
      </c>
      <c r="K557" s="33">
        <v>0.04</v>
      </c>
      <c r="L557" s="33">
        <v>0.32</v>
      </c>
      <c r="M557" s="33">
        <v>4.5</v>
      </c>
      <c r="N557" s="33">
        <v>0.97</v>
      </c>
      <c r="O557" s="33">
        <v>83</v>
      </c>
      <c r="P557" s="33">
        <v>35</v>
      </c>
      <c r="Q557" s="33">
        <v>2.4</v>
      </c>
      <c r="R557" s="33" t="s">
        <v>876</v>
      </c>
      <c r="S557" s="32"/>
      <c r="T557" s="33">
        <v>5</v>
      </c>
      <c r="U557" s="35">
        <v>91</v>
      </c>
    </row>
    <row r="558" spans="1:21">
      <c r="A558" s="50" t="s">
        <v>880</v>
      </c>
      <c r="B558" s="32"/>
      <c r="C558" s="33">
        <v>63</v>
      </c>
      <c r="D558" s="33">
        <v>245</v>
      </c>
      <c r="E558" s="33">
        <v>62.9</v>
      </c>
      <c r="F558" s="48">
        <v>17.899999999999999</v>
      </c>
      <c r="G558" s="48">
        <v>19.899999999999999</v>
      </c>
      <c r="H558" s="32"/>
      <c r="I558" s="48">
        <v>0</v>
      </c>
      <c r="J558" s="33">
        <v>42</v>
      </c>
      <c r="K558" s="33">
        <v>7.0000000000000007E-2</v>
      </c>
      <c r="L558" s="33">
        <v>0.23</v>
      </c>
      <c r="M558" s="33">
        <v>4.9000000000000004</v>
      </c>
      <c r="N558" s="33">
        <v>0.22</v>
      </c>
      <c r="O558" s="33">
        <v>58.8</v>
      </c>
      <c r="P558" s="33">
        <v>4</v>
      </c>
      <c r="Q558" s="33">
        <v>3.8</v>
      </c>
      <c r="R558" s="33" t="s">
        <v>876</v>
      </c>
      <c r="S558" s="32"/>
      <c r="T558" s="33">
        <v>5</v>
      </c>
      <c r="U558" s="35">
        <v>74</v>
      </c>
    </row>
    <row r="559" spans="1:21">
      <c r="A559" s="50" t="s">
        <v>881</v>
      </c>
      <c r="B559" s="33" t="s">
        <v>1643</v>
      </c>
      <c r="C559" s="33">
        <v>100</v>
      </c>
      <c r="D559" s="33">
        <v>129</v>
      </c>
      <c r="E559" s="33">
        <v>70.7</v>
      </c>
      <c r="F559" s="48">
        <v>15.2</v>
      </c>
      <c r="G559" s="48">
        <v>3.4</v>
      </c>
      <c r="H559" s="32"/>
      <c r="I559" s="48">
        <v>9.3000000000000007</v>
      </c>
      <c r="J559" s="33">
        <v>6100</v>
      </c>
      <c r="K559" s="33">
        <v>0.27</v>
      </c>
      <c r="L559" s="33">
        <v>0.25</v>
      </c>
      <c r="M559" s="32"/>
      <c r="N559" s="33">
        <v>5.29</v>
      </c>
      <c r="O559" s="33">
        <v>70.2</v>
      </c>
      <c r="P559" s="33">
        <v>2</v>
      </c>
      <c r="Q559" s="33">
        <v>7.8</v>
      </c>
      <c r="R559" s="33" t="s">
        <v>876</v>
      </c>
      <c r="S559" s="32"/>
      <c r="T559" s="33">
        <v>5</v>
      </c>
      <c r="U559" s="35">
        <v>285</v>
      </c>
    </row>
    <row r="560" spans="1:21">
      <c r="A560" s="50" t="s">
        <v>882</v>
      </c>
      <c r="B560" s="33" t="s">
        <v>1643</v>
      </c>
      <c r="C560" s="33">
        <v>100</v>
      </c>
      <c r="D560" s="33">
        <v>100</v>
      </c>
      <c r="E560" s="33">
        <v>76.3</v>
      </c>
      <c r="F560" s="48">
        <v>19.600000000000001</v>
      </c>
      <c r="G560" s="48">
        <v>1.9</v>
      </c>
      <c r="H560" s="32"/>
      <c r="I560" s="48">
        <v>1.1000000000000001</v>
      </c>
      <c r="J560" s="33">
        <v>51</v>
      </c>
      <c r="K560" s="33">
        <v>0.05</v>
      </c>
      <c r="L560" s="33">
        <v>0.06</v>
      </c>
      <c r="M560" s="32"/>
      <c r="N560" s="32"/>
      <c r="O560" s="33">
        <v>58.2</v>
      </c>
      <c r="P560" s="33">
        <v>2</v>
      </c>
      <c r="Q560" s="33">
        <v>4.7</v>
      </c>
      <c r="R560" s="33" t="s">
        <v>876</v>
      </c>
      <c r="S560" s="32"/>
      <c r="T560" s="33">
        <v>5</v>
      </c>
      <c r="U560" s="35">
        <v>153</v>
      </c>
    </row>
    <row r="561" spans="1:21">
      <c r="A561" s="50" t="s">
        <v>883</v>
      </c>
      <c r="B561" s="32"/>
      <c r="C561" s="33">
        <v>42</v>
      </c>
      <c r="D561" s="33">
        <v>201</v>
      </c>
      <c r="E561" s="33">
        <v>66.599999999999994</v>
      </c>
      <c r="F561" s="48">
        <v>16.5</v>
      </c>
      <c r="G561" s="48">
        <v>14.2</v>
      </c>
      <c r="H561" s="32"/>
      <c r="I561" s="48">
        <v>1.7</v>
      </c>
      <c r="J561" s="33">
        <v>53</v>
      </c>
      <c r="K561" s="33">
        <v>0.06</v>
      </c>
      <c r="L561" s="33">
        <v>0.2</v>
      </c>
      <c r="M561" s="33">
        <v>6.9</v>
      </c>
      <c r="N561" s="33">
        <v>0.99</v>
      </c>
      <c r="O561" s="33">
        <v>63.6</v>
      </c>
      <c r="P561" s="33">
        <v>30</v>
      </c>
      <c r="Q561" s="33">
        <v>3.8</v>
      </c>
      <c r="R561" s="33" t="s">
        <v>876</v>
      </c>
      <c r="S561" s="32"/>
      <c r="T561" s="33">
        <v>5</v>
      </c>
      <c r="U561" s="35">
        <v>99</v>
      </c>
    </row>
    <row r="562" spans="1:21">
      <c r="A562" s="50" t="s">
        <v>884</v>
      </c>
      <c r="B562" s="33" t="s">
        <v>1706</v>
      </c>
      <c r="C562" s="33">
        <v>100</v>
      </c>
      <c r="D562" s="33">
        <v>143</v>
      </c>
      <c r="E562" s="33">
        <v>69.900000000000006</v>
      </c>
      <c r="F562" s="48">
        <v>20</v>
      </c>
      <c r="G562" s="48">
        <v>5.6</v>
      </c>
      <c r="H562" s="32"/>
      <c r="I562" s="48">
        <v>3.1</v>
      </c>
      <c r="J562" s="32"/>
      <c r="K562" s="33">
        <v>0.06</v>
      </c>
      <c r="L562" s="33">
        <v>1.21</v>
      </c>
      <c r="M562" s="33">
        <v>43</v>
      </c>
      <c r="N562" s="33">
        <v>1.1299999999999999</v>
      </c>
      <c r="O562" s="33">
        <v>128.6</v>
      </c>
      <c r="P562" s="33">
        <v>3</v>
      </c>
      <c r="Q562" s="33">
        <v>20.7</v>
      </c>
      <c r="R562" s="33" t="s">
        <v>876</v>
      </c>
      <c r="S562" s="32"/>
      <c r="T562" s="33">
        <v>5</v>
      </c>
      <c r="U562" s="35">
        <v>294</v>
      </c>
    </row>
    <row r="563" spans="1:21">
      <c r="A563" s="50" t="s">
        <v>885</v>
      </c>
      <c r="B563" s="33" t="s">
        <v>1706</v>
      </c>
      <c r="C563" s="33">
        <v>100</v>
      </c>
      <c r="D563" s="33">
        <v>90</v>
      </c>
      <c r="E563" s="33">
        <v>77.8</v>
      </c>
      <c r="F563" s="48">
        <v>20.100000000000001</v>
      </c>
      <c r="G563" s="48">
        <v>1.2</v>
      </c>
      <c r="H563" s="32"/>
      <c r="I563" s="48">
        <v>0</v>
      </c>
      <c r="J563" s="32"/>
      <c r="K563" s="33">
        <v>7.0000000000000007E-2</v>
      </c>
      <c r="L563" s="33">
        <v>0.06</v>
      </c>
      <c r="M563" s="33">
        <v>8.3000000000000007</v>
      </c>
      <c r="N563" s="33">
        <v>7.0000000000000007E-2</v>
      </c>
      <c r="O563" s="33">
        <v>168.4</v>
      </c>
      <c r="P563" s="33">
        <v>12</v>
      </c>
      <c r="Q563" s="33">
        <v>5.2</v>
      </c>
      <c r="R563" s="33" t="s">
        <v>876</v>
      </c>
      <c r="S563" s="32"/>
      <c r="T563" s="33">
        <v>5</v>
      </c>
      <c r="U563" s="35">
        <v>58</v>
      </c>
    </row>
    <row r="564" spans="1:21">
      <c r="A564" s="50" t="s">
        <v>886</v>
      </c>
      <c r="B564" s="33" t="s">
        <v>1706</v>
      </c>
      <c r="C564" s="33">
        <v>100</v>
      </c>
      <c r="D564" s="33">
        <v>103</v>
      </c>
      <c r="E564" s="33">
        <v>73.599999999999994</v>
      </c>
      <c r="F564" s="48">
        <v>22.4</v>
      </c>
      <c r="G564" s="48">
        <v>0.2</v>
      </c>
      <c r="H564" s="32"/>
      <c r="I564" s="48">
        <v>2.8</v>
      </c>
      <c r="J564" s="32"/>
      <c r="K564" s="33">
        <v>0.04</v>
      </c>
      <c r="L564" s="33">
        <v>0.03</v>
      </c>
      <c r="M564" s="33">
        <v>16.2</v>
      </c>
      <c r="N564" s="33">
        <v>0.35</v>
      </c>
      <c r="O564" s="33">
        <v>93.7</v>
      </c>
      <c r="P564" s="33">
        <v>39</v>
      </c>
      <c r="Q564" s="33">
        <v>1.1000000000000001</v>
      </c>
      <c r="R564" s="33" t="s">
        <v>876</v>
      </c>
      <c r="S564" s="32"/>
      <c r="T564" s="33">
        <v>5</v>
      </c>
      <c r="U564" s="35">
        <v>49</v>
      </c>
    </row>
    <row r="565" spans="1:21">
      <c r="A565" s="50" t="s">
        <v>887</v>
      </c>
      <c r="B565" s="33" t="s">
        <v>1706</v>
      </c>
      <c r="C565" s="33">
        <v>100</v>
      </c>
      <c r="D565" s="33">
        <v>91</v>
      </c>
      <c r="E565" s="33">
        <v>76.5</v>
      </c>
      <c r="F565" s="48">
        <v>18.899999999999999</v>
      </c>
      <c r="G565" s="48">
        <v>0.3</v>
      </c>
      <c r="H565" s="32"/>
      <c r="I565" s="48">
        <v>3.1</v>
      </c>
      <c r="J565" s="32"/>
      <c r="K565" s="33">
        <v>0.02</v>
      </c>
      <c r="L565" s="33">
        <v>0.08</v>
      </c>
      <c r="M565" s="33">
        <v>7.8</v>
      </c>
      <c r="N565" s="33">
        <v>0.33</v>
      </c>
      <c r="O565" s="33">
        <v>57</v>
      </c>
      <c r="P565" s="33">
        <v>44</v>
      </c>
      <c r="Q565" s="33">
        <v>3.7</v>
      </c>
      <c r="R565" s="33" t="s">
        <v>876</v>
      </c>
      <c r="S565" s="32"/>
      <c r="T565" s="33">
        <v>5</v>
      </c>
      <c r="U565" s="35">
        <v>342</v>
      </c>
    </row>
    <row r="566" spans="1:21">
      <c r="A566" s="50" t="s">
        <v>888</v>
      </c>
      <c r="B566" s="32"/>
      <c r="C566" s="33">
        <v>66</v>
      </c>
      <c r="D566" s="33">
        <v>167</v>
      </c>
      <c r="E566" s="33">
        <v>69</v>
      </c>
      <c r="F566" s="48">
        <v>19.3</v>
      </c>
      <c r="G566" s="48">
        <v>9.4</v>
      </c>
      <c r="H566" s="32"/>
      <c r="I566" s="48">
        <v>1.3</v>
      </c>
      <c r="J566" s="33">
        <v>48</v>
      </c>
      <c r="K566" s="33">
        <v>0.05</v>
      </c>
      <c r="L566" s="33">
        <v>0.09</v>
      </c>
      <c r="M566" s="33">
        <v>5.6</v>
      </c>
      <c r="N566" s="33">
        <v>0.67</v>
      </c>
      <c r="O566" s="33">
        <v>63.3</v>
      </c>
      <c r="P566" s="33">
        <v>9</v>
      </c>
      <c r="Q566" s="33">
        <v>1.4</v>
      </c>
      <c r="R566" s="33" t="s">
        <v>876</v>
      </c>
      <c r="S566" s="32"/>
      <c r="T566" s="33">
        <v>5</v>
      </c>
      <c r="U566" s="35">
        <v>106</v>
      </c>
    </row>
    <row r="567" spans="1:21">
      <c r="A567" s="50" t="s">
        <v>889</v>
      </c>
      <c r="B567" s="32"/>
      <c r="C567" s="33">
        <v>66</v>
      </c>
      <c r="D567" s="33">
        <v>256</v>
      </c>
      <c r="E567" s="33">
        <v>56</v>
      </c>
      <c r="F567" s="48">
        <v>20.3</v>
      </c>
      <c r="G567" s="48">
        <v>16.8</v>
      </c>
      <c r="H567" s="32"/>
      <c r="I567" s="48">
        <v>5.8</v>
      </c>
      <c r="J567" s="33">
        <v>139</v>
      </c>
      <c r="K567" s="33">
        <v>0.05</v>
      </c>
      <c r="L567" s="33">
        <v>0.09</v>
      </c>
      <c r="M567" s="33">
        <v>5.6</v>
      </c>
      <c r="N567" s="33">
        <v>0.67</v>
      </c>
      <c r="O567" s="33">
        <v>63.3</v>
      </c>
      <c r="P567" s="33">
        <v>9</v>
      </c>
      <c r="Q567" s="33">
        <v>1.4</v>
      </c>
      <c r="R567" s="33" t="s">
        <v>876</v>
      </c>
      <c r="S567" s="32"/>
      <c r="T567" s="33">
        <v>5</v>
      </c>
      <c r="U567" s="35">
        <v>106</v>
      </c>
    </row>
    <row r="568" spans="1:21">
      <c r="A568" s="50" t="s">
        <v>890</v>
      </c>
      <c r="B568" s="33" t="s">
        <v>1618</v>
      </c>
      <c r="C568" s="33">
        <v>74</v>
      </c>
      <c r="D568" s="33">
        <v>389</v>
      </c>
      <c r="E568" s="33">
        <v>46.1</v>
      </c>
      <c r="F568" s="48">
        <v>16.7</v>
      </c>
      <c r="G568" s="48">
        <v>35.4</v>
      </c>
      <c r="H568" s="32"/>
      <c r="I568" s="48">
        <v>0.9</v>
      </c>
      <c r="J568" s="33">
        <v>226</v>
      </c>
      <c r="K568" s="33">
        <v>7.0000000000000007E-2</v>
      </c>
      <c r="L568" s="33">
        <v>7.0000000000000007E-2</v>
      </c>
      <c r="M568" s="33">
        <v>13.1</v>
      </c>
      <c r="N568" s="32"/>
      <c r="O568" s="33">
        <v>47.8</v>
      </c>
      <c r="P568" s="33">
        <v>37</v>
      </c>
      <c r="Q568" s="33">
        <v>1.7</v>
      </c>
      <c r="R568" s="33" t="s">
        <v>876</v>
      </c>
      <c r="S568" s="32"/>
      <c r="T568" s="33">
        <v>5</v>
      </c>
      <c r="U568" s="35">
        <v>106</v>
      </c>
    </row>
    <row r="569" spans="1:21">
      <c r="A569" s="50" t="s">
        <v>891</v>
      </c>
      <c r="B569" s="33" t="s">
        <v>1691</v>
      </c>
      <c r="C569" s="33">
        <v>41</v>
      </c>
      <c r="D569" s="33">
        <v>147</v>
      </c>
      <c r="E569" s="33">
        <v>70.5</v>
      </c>
      <c r="F569" s="48">
        <v>20</v>
      </c>
      <c r="G569" s="48">
        <v>6.7</v>
      </c>
      <c r="H569" s="32"/>
      <c r="I569" s="48">
        <v>1.6</v>
      </c>
      <c r="J569" s="33">
        <v>1</v>
      </c>
      <c r="K569" s="33">
        <v>0.36</v>
      </c>
      <c r="L569" s="33">
        <v>0.04</v>
      </c>
      <c r="M569" s="33">
        <v>5.4</v>
      </c>
      <c r="N569" s="32"/>
      <c r="O569" s="33">
        <v>81.900000000000006</v>
      </c>
      <c r="P569" s="32"/>
      <c r="Q569" s="33">
        <v>24.8</v>
      </c>
      <c r="R569" s="33" t="s">
        <v>876</v>
      </c>
      <c r="S569" s="32"/>
      <c r="T569" s="33">
        <v>5</v>
      </c>
      <c r="U569" s="35">
        <v>106</v>
      </c>
    </row>
    <row r="570" spans="1:21">
      <c r="A570" s="50" t="s">
        <v>892</v>
      </c>
      <c r="B570" s="32"/>
      <c r="C570" s="33">
        <v>58</v>
      </c>
      <c r="D570" s="33">
        <v>124</v>
      </c>
      <c r="E570" s="33">
        <v>73.5</v>
      </c>
      <c r="F570" s="48">
        <v>21.6</v>
      </c>
      <c r="G570" s="48">
        <v>4.5</v>
      </c>
      <c r="H570" s="32"/>
      <c r="I570" s="48">
        <v>0</v>
      </c>
      <c r="J570" s="33">
        <v>64</v>
      </c>
      <c r="K570" s="33">
        <v>0.09</v>
      </c>
      <c r="L570" s="33">
        <v>0.08</v>
      </c>
      <c r="M570" s="33">
        <v>15.7</v>
      </c>
      <c r="N570" s="33">
        <v>2.02</v>
      </c>
      <c r="O570" s="33">
        <v>74.099999999999994</v>
      </c>
      <c r="P570" s="33">
        <v>9</v>
      </c>
      <c r="Q570" s="33">
        <v>2.1</v>
      </c>
      <c r="R570" s="33" t="s">
        <v>876</v>
      </c>
      <c r="S570" s="32"/>
      <c r="T570" s="33">
        <v>5</v>
      </c>
      <c r="U570" s="35">
        <v>106</v>
      </c>
    </row>
    <row r="571" spans="1:21">
      <c r="A571" s="50" t="s">
        <v>893</v>
      </c>
      <c r="B571" s="33" t="s">
        <v>1707</v>
      </c>
      <c r="C571" s="33">
        <v>48</v>
      </c>
      <c r="D571" s="33">
        <v>111</v>
      </c>
      <c r="E571" s="33">
        <v>73.900000000000006</v>
      </c>
      <c r="F571" s="48">
        <v>22.3</v>
      </c>
      <c r="G571" s="48">
        <v>2.2999999999999998</v>
      </c>
      <c r="H571" s="32"/>
      <c r="I571" s="48">
        <v>0.3</v>
      </c>
      <c r="J571" s="32"/>
      <c r="K571" s="33">
        <v>0.02</v>
      </c>
      <c r="L571" s="33">
        <v>0.2</v>
      </c>
      <c r="M571" s="33">
        <v>7.1</v>
      </c>
      <c r="N571" s="33">
        <v>1.77</v>
      </c>
      <c r="O571" s="33">
        <v>64</v>
      </c>
      <c r="P571" s="33">
        <v>17</v>
      </c>
      <c r="Q571" s="33">
        <v>2.2999999999999998</v>
      </c>
      <c r="R571" s="33" t="s">
        <v>876</v>
      </c>
      <c r="S571" s="32"/>
      <c r="T571" s="33">
        <v>5</v>
      </c>
      <c r="U571" s="35">
        <v>106</v>
      </c>
    </row>
    <row r="572" spans="1:21">
      <c r="A572" s="50" t="s">
        <v>894</v>
      </c>
      <c r="B572" s="33" t="s">
        <v>1627</v>
      </c>
      <c r="C572" s="33">
        <v>80</v>
      </c>
      <c r="D572" s="33">
        <v>266</v>
      </c>
      <c r="E572" s="33">
        <v>53.6</v>
      </c>
      <c r="F572" s="48">
        <v>18.899999999999999</v>
      </c>
      <c r="G572" s="48">
        <v>18.399999999999999</v>
      </c>
      <c r="H572" s="32"/>
      <c r="I572" s="48">
        <v>6.3</v>
      </c>
      <c r="J572" s="33">
        <v>11</v>
      </c>
      <c r="K572" s="33">
        <v>0.06</v>
      </c>
      <c r="L572" s="33">
        <v>0.22</v>
      </c>
      <c r="M572" s="33">
        <v>3.7</v>
      </c>
      <c r="N572" s="32"/>
      <c r="O572" s="33">
        <v>981.3</v>
      </c>
      <c r="P572" s="33">
        <v>14</v>
      </c>
      <c r="Q572" s="33">
        <v>4.0999999999999996</v>
      </c>
      <c r="R572" s="33" t="s">
        <v>876</v>
      </c>
      <c r="S572" s="32"/>
      <c r="T572" s="33">
        <v>5</v>
      </c>
      <c r="U572" s="35">
        <v>107</v>
      </c>
    </row>
    <row r="573" spans="1:21">
      <c r="A573" s="50" t="s">
        <v>895</v>
      </c>
      <c r="B573" s="32"/>
      <c r="C573" s="33">
        <v>69</v>
      </c>
      <c r="D573" s="33">
        <v>194</v>
      </c>
      <c r="E573" s="33">
        <v>65.400000000000006</v>
      </c>
      <c r="F573" s="48">
        <v>17.399999999999999</v>
      </c>
      <c r="G573" s="48">
        <v>11.8</v>
      </c>
      <c r="H573" s="32"/>
      <c r="I573" s="48">
        <v>4.5999999999999996</v>
      </c>
      <c r="J573" s="33">
        <v>68</v>
      </c>
      <c r="K573" s="33">
        <v>0.01</v>
      </c>
      <c r="L573" s="33">
        <v>0.11</v>
      </c>
      <c r="M573" s="33">
        <v>5.3</v>
      </c>
      <c r="N573" s="33">
        <v>0.25</v>
      </c>
      <c r="O573" s="33">
        <v>50.8</v>
      </c>
      <c r="P573" s="33">
        <v>8</v>
      </c>
      <c r="Q573" s="33">
        <v>1.3</v>
      </c>
      <c r="R573" s="33" t="s">
        <v>876</v>
      </c>
      <c r="S573" s="32"/>
      <c r="T573" s="33">
        <v>5</v>
      </c>
      <c r="U573" s="35">
        <v>113</v>
      </c>
    </row>
    <row r="574" spans="1:21">
      <c r="A574" s="50" t="s">
        <v>896</v>
      </c>
      <c r="B574" s="32"/>
      <c r="C574" s="33">
        <v>100</v>
      </c>
      <c r="D574" s="33">
        <v>121</v>
      </c>
      <c r="E574" s="33">
        <v>74.400000000000006</v>
      </c>
      <c r="F574" s="48">
        <v>16.600000000000001</v>
      </c>
      <c r="G574" s="48">
        <v>4.8</v>
      </c>
      <c r="H574" s="32"/>
      <c r="I574" s="48">
        <v>2.8</v>
      </c>
      <c r="J574" s="33">
        <v>10414</v>
      </c>
      <c r="K574" s="33">
        <v>0.33</v>
      </c>
      <c r="L574" s="33">
        <v>1.1000000000000001</v>
      </c>
      <c r="M574" s="33">
        <v>11.9</v>
      </c>
      <c r="N574" s="33">
        <v>1.88</v>
      </c>
      <c r="O574" s="33">
        <v>92</v>
      </c>
      <c r="P574" s="33">
        <v>7</v>
      </c>
      <c r="Q574" s="33">
        <v>12</v>
      </c>
      <c r="R574" s="33" t="s">
        <v>876</v>
      </c>
      <c r="S574" s="32"/>
      <c r="T574" s="33">
        <v>5</v>
      </c>
      <c r="U574" s="35">
        <v>356</v>
      </c>
    </row>
    <row r="575" spans="1:21">
      <c r="A575" s="50" t="s">
        <v>897</v>
      </c>
      <c r="B575" s="33" t="s">
        <v>1643</v>
      </c>
      <c r="C575" s="33">
        <v>100</v>
      </c>
      <c r="D575" s="33">
        <v>121</v>
      </c>
      <c r="E575" s="33">
        <v>74</v>
      </c>
      <c r="F575" s="48">
        <v>16.7</v>
      </c>
      <c r="G575" s="48">
        <v>4.5</v>
      </c>
      <c r="H575" s="32"/>
      <c r="I575" s="48">
        <v>3.5</v>
      </c>
      <c r="J575" s="33">
        <v>2867</v>
      </c>
      <c r="K575" s="33">
        <v>0.32</v>
      </c>
      <c r="L575" s="33">
        <v>0.57999999999999996</v>
      </c>
      <c r="M575" s="32"/>
      <c r="N575" s="33">
        <v>0.75</v>
      </c>
      <c r="O575" s="33">
        <v>98.2</v>
      </c>
      <c r="P575" s="33">
        <v>4</v>
      </c>
      <c r="Q575" s="33">
        <v>9.6</v>
      </c>
      <c r="R575" s="33" t="s">
        <v>876</v>
      </c>
      <c r="S575" s="32"/>
      <c r="T575" s="33">
        <v>5</v>
      </c>
      <c r="U575" s="35">
        <v>476</v>
      </c>
    </row>
    <row r="576" spans="1:21">
      <c r="A576" s="50" t="s">
        <v>898</v>
      </c>
      <c r="B576" s="33" t="s">
        <v>1647</v>
      </c>
      <c r="C576" s="33">
        <v>100</v>
      </c>
      <c r="D576" s="33">
        <v>118</v>
      </c>
      <c r="E576" s="33">
        <v>74</v>
      </c>
      <c r="F576" s="48">
        <v>17.100000000000001</v>
      </c>
      <c r="G576" s="48">
        <v>3.6</v>
      </c>
      <c r="H576" s="32"/>
      <c r="I576" s="48">
        <v>4.2</v>
      </c>
      <c r="J576" s="32"/>
      <c r="K576" s="32"/>
      <c r="L576" s="32"/>
      <c r="M576" s="32"/>
      <c r="N576" s="32"/>
      <c r="O576" s="32"/>
      <c r="P576" s="32"/>
      <c r="Q576" s="32"/>
      <c r="R576" s="33" t="s">
        <v>876</v>
      </c>
      <c r="S576" s="32"/>
      <c r="T576" s="33">
        <v>5</v>
      </c>
      <c r="U576" s="35">
        <v>385</v>
      </c>
    </row>
    <row r="577" spans="1:21">
      <c r="A577" s="50" t="s">
        <v>899</v>
      </c>
      <c r="B577" s="33" t="s">
        <v>1618</v>
      </c>
      <c r="C577" s="33">
        <v>100</v>
      </c>
      <c r="D577" s="33">
        <v>440</v>
      </c>
      <c r="E577" s="33">
        <v>4.9000000000000004</v>
      </c>
      <c r="F577" s="48">
        <v>7.2</v>
      </c>
      <c r="G577" s="48">
        <v>16.399999999999999</v>
      </c>
      <c r="H577" s="32"/>
      <c r="I577" s="48">
        <v>65.8</v>
      </c>
      <c r="J577" s="33">
        <v>90</v>
      </c>
      <c r="K577" s="33">
        <v>0.03</v>
      </c>
      <c r="L577" s="33">
        <v>0.11</v>
      </c>
      <c r="M577" s="33">
        <v>1</v>
      </c>
      <c r="N577" s="33">
        <v>14.58</v>
      </c>
      <c r="O577" s="33">
        <v>1687.8</v>
      </c>
      <c r="P577" s="33">
        <v>76</v>
      </c>
      <c r="Q577" s="33">
        <v>7.1</v>
      </c>
      <c r="R577" s="33" t="s">
        <v>876</v>
      </c>
      <c r="S577" s="32"/>
      <c r="T577" s="33">
        <v>5</v>
      </c>
      <c r="U577" s="35">
        <v>81</v>
      </c>
    </row>
    <row r="578" spans="1:21">
      <c r="A578" s="50" t="s">
        <v>900</v>
      </c>
      <c r="B578" s="32"/>
      <c r="C578" s="33">
        <v>69</v>
      </c>
      <c r="D578" s="33">
        <v>181</v>
      </c>
      <c r="E578" s="33">
        <v>70.2</v>
      </c>
      <c r="F578" s="48">
        <v>16.399999999999999</v>
      </c>
      <c r="G578" s="48">
        <v>13</v>
      </c>
      <c r="H578" s="32"/>
      <c r="I578" s="48">
        <v>0</v>
      </c>
      <c r="J578" s="33">
        <v>44</v>
      </c>
      <c r="K578" s="33">
        <v>0.02</v>
      </c>
      <c r="L578" s="33">
        <v>0.14000000000000001</v>
      </c>
      <c r="M578" s="33">
        <v>6</v>
      </c>
      <c r="N578" s="33">
        <v>0.03</v>
      </c>
      <c r="O578" s="33">
        <v>64.400000000000006</v>
      </c>
      <c r="P578" s="33">
        <v>6</v>
      </c>
      <c r="Q578" s="33">
        <v>1.5</v>
      </c>
      <c r="R578" s="33" t="s">
        <v>876</v>
      </c>
      <c r="S578" s="32"/>
      <c r="T578" s="33">
        <v>5</v>
      </c>
      <c r="U578" s="35">
        <v>162</v>
      </c>
    </row>
    <row r="579" spans="1:21">
      <c r="A579" s="50" t="s">
        <v>901</v>
      </c>
      <c r="B579" s="32"/>
      <c r="C579" s="33">
        <v>100</v>
      </c>
      <c r="D579" s="33">
        <v>172</v>
      </c>
      <c r="E579" s="33">
        <v>70.8</v>
      </c>
      <c r="F579" s="48">
        <v>15.9</v>
      </c>
      <c r="G579" s="48">
        <v>11.8</v>
      </c>
      <c r="H579" s="32"/>
      <c r="I579" s="48">
        <v>0.6</v>
      </c>
      <c r="J579" s="33">
        <v>910</v>
      </c>
      <c r="K579" s="33">
        <v>0.46</v>
      </c>
      <c r="L579" s="33">
        <v>0.26</v>
      </c>
      <c r="M579" s="33">
        <v>11.5</v>
      </c>
      <c r="N579" s="32"/>
      <c r="O579" s="33">
        <v>108.4</v>
      </c>
      <c r="P579" s="33">
        <v>54</v>
      </c>
      <c r="Q579" s="33">
        <v>4.7</v>
      </c>
      <c r="R579" s="33" t="s">
        <v>876</v>
      </c>
      <c r="S579" s="32"/>
      <c r="T579" s="33">
        <v>5</v>
      </c>
      <c r="U579" s="35">
        <v>194</v>
      </c>
    </row>
    <row r="580" spans="1:21">
      <c r="A580" s="50" t="s">
        <v>902</v>
      </c>
      <c r="B580" s="32"/>
      <c r="C580" s="33">
        <v>100</v>
      </c>
      <c r="D580" s="33">
        <v>133</v>
      </c>
      <c r="E580" s="33">
        <v>72</v>
      </c>
      <c r="F580" s="48">
        <v>19.399999999999999</v>
      </c>
      <c r="G580" s="48">
        <v>5</v>
      </c>
      <c r="H580" s="32"/>
      <c r="I580" s="48">
        <v>2.5</v>
      </c>
      <c r="J580" s="33">
        <v>16</v>
      </c>
      <c r="K580" s="33">
        <v>7.0000000000000007E-2</v>
      </c>
      <c r="L580" s="33">
        <v>0.13</v>
      </c>
      <c r="M580" s="33">
        <v>10.8</v>
      </c>
      <c r="N580" s="33">
        <v>0.22</v>
      </c>
      <c r="O580" s="33">
        <v>34.4</v>
      </c>
      <c r="P580" s="33">
        <v>3</v>
      </c>
      <c r="Q580" s="33">
        <v>0.6</v>
      </c>
      <c r="R580" s="33" t="s">
        <v>876</v>
      </c>
      <c r="S580" s="32"/>
      <c r="T580" s="33">
        <v>5</v>
      </c>
      <c r="U580" s="35">
        <v>82</v>
      </c>
    </row>
    <row r="581" spans="1:21">
      <c r="A581" s="50" t="s">
        <v>903</v>
      </c>
      <c r="B581" s="32"/>
      <c r="C581" s="33">
        <v>100</v>
      </c>
      <c r="D581" s="33">
        <v>49</v>
      </c>
      <c r="E581" s="33">
        <v>87</v>
      </c>
      <c r="F581" s="48">
        <v>7.8</v>
      </c>
      <c r="G581" s="48">
        <v>0.2</v>
      </c>
      <c r="H581" s="32"/>
      <c r="I581" s="48">
        <v>4.0999999999999996</v>
      </c>
      <c r="J581" s="33">
        <v>56</v>
      </c>
      <c r="K581" s="33">
        <v>0.05</v>
      </c>
      <c r="L581" s="33">
        <v>0.04</v>
      </c>
      <c r="M581" s="33">
        <v>0.1</v>
      </c>
      <c r="N581" s="33">
        <v>0.21</v>
      </c>
      <c r="O581" s="33">
        <v>208</v>
      </c>
      <c r="P581" s="33">
        <v>10</v>
      </c>
      <c r="Q581" s="33">
        <v>25</v>
      </c>
      <c r="R581" s="33" t="s">
        <v>876</v>
      </c>
      <c r="S581" s="32"/>
      <c r="T581" s="33">
        <v>5</v>
      </c>
      <c r="U581" s="35">
        <v>170</v>
      </c>
    </row>
    <row r="582" spans="1:21">
      <c r="A582" s="50" t="s">
        <v>904</v>
      </c>
      <c r="B582" s="33" t="s">
        <v>1627</v>
      </c>
      <c r="C582" s="33">
        <v>60</v>
      </c>
      <c r="D582" s="33">
        <v>254</v>
      </c>
      <c r="E582" s="33">
        <v>56.4</v>
      </c>
      <c r="F582" s="48">
        <v>23.9</v>
      </c>
      <c r="G582" s="48">
        <v>16.399999999999999</v>
      </c>
      <c r="H582" s="32"/>
      <c r="I582" s="48">
        <v>2.7</v>
      </c>
      <c r="J582" s="33">
        <v>37</v>
      </c>
      <c r="K582" s="33">
        <v>0.01</v>
      </c>
      <c r="L582" s="33">
        <v>0.13</v>
      </c>
      <c r="M582" s="33">
        <v>2.4</v>
      </c>
      <c r="N582" s="33">
        <v>0.32</v>
      </c>
      <c r="O582" s="33">
        <v>169</v>
      </c>
      <c r="P582" s="33">
        <v>36</v>
      </c>
      <c r="Q582" s="33">
        <v>1.4</v>
      </c>
      <c r="R582" s="33" t="s">
        <v>876</v>
      </c>
      <c r="S582" s="32"/>
      <c r="T582" s="33">
        <v>5</v>
      </c>
      <c r="U582" s="35">
        <v>103</v>
      </c>
    </row>
    <row r="583" spans="1:21">
      <c r="A583" s="50" t="s">
        <v>905</v>
      </c>
      <c r="B583" s="32"/>
      <c r="C583" s="33">
        <v>100</v>
      </c>
      <c r="D583" s="33">
        <v>118</v>
      </c>
      <c r="E583" s="33">
        <v>73.099999999999994</v>
      </c>
      <c r="F583" s="48">
        <v>19.2</v>
      </c>
      <c r="G583" s="48">
        <v>2.8</v>
      </c>
      <c r="H583" s="32"/>
      <c r="I583" s="48">
        <v>4</v>
      </c>
      <c r="J583" s="33">
        <v>36</v>
      </c>
      <c r="K583" s="33">
        <v>0.04</v>
      </c>
      <c r="L583" s="33">
        <v>0.09</v>
      </c>
      <c r="M583" s="33">
        <v>3.4</v>
      </c>
      <c r="N583" s="33">
        <v>0.87</v>
      </c>
      <c r="O583" s="33">
        <v>74.8</v>
      </c>
      <c r="P583" s="33">
        <v>7</v>
      </c>
      <c r="Q583" s="33">
        <v>4.4000000000000004</v>
      </c>
      <c r="R583" s="33" t="s">
        <v>876</v>
      </c>
      <c r="S583" s="32"/>
      <c r="T583" s="33">
        <v>5</v>
      </c>
      <c r="U583" s="35">
        <v>174</v>
      </c>
    </row>
    <row r="584" spans="1:21">
      <c r="A584" s="50" t="s">
        <v>906</v>
      </c>
      <c r="B584" s="32"/>
      <c r="C584" s="33">
        <v>73</v>
      </c>
      <c r="D584" s="33">
        <v>240</v>
      </c>
      <c r="E584" s="33">
        <v>59</v>
      </c>
      <c r="F584" s="48">
        <v>22.4</v>
      </c>
      <c r="G584" s="48">
        <v>16.7</v>
      </c>
      <c r="H584" s="32"/>
      <c r="I584" s="48">
        <v>0.1</v>
      </c>
      <c r="J584" s="33">
        <v>37</v>
      </c>
      <c r="K584" s="33">
        <v>0.05</v>
      </c>
      <c r="L584" s="33">
        <v>0.19</v>
      </c>
      <c r="M584" s="33">
        <v>3.5</v>
      </c>
      <c r="N584" s="33">
        <v>0.22</v>
      </c>
      <c r="O584" s="33">
        <v>472.3</v>
      </c>
      <c r="P584" s="33">
        <v>25</v>
      </c>
      <c r="Q584" s="33">
        <v>1.7</v>
      </c>
      <c r="R584" s="33" t="s">
        <v>876</v>
      </c>
      <c r="S584" s="32"/>
      <c r="T584" s="33">
        <v>5</v>
      </c>
      <c r="U584" s="35">
        <v>99</v>
      </c>
    </row>
    <row r="585" spans="1:21">
      <c r="A585" s="50" t="s">
        <v>907</v>
      </c>
      <c r="B585" s="33" t="s">
        <v>1639</v>
      </c>
      <c r="C585" s="33">
        <v>70</v>
      </c>
      <c r="D585" s="33">
        <v>212</v>
      </c>
      <c r="E585" s="33">
        <v>54.4</v>
      </c>
      <c r="F585" s="48">
        <v>29.4</v>
      </c>
      <c r="G585" s="48">
        <v>7.9</v>
      </c>
      <c r="H585" s="32"/>
      <c r="I585" s="48">
        <v>5.8</v>
      </c>
      <c r="J585" s="33">
        <v>76</v>
      </c>
      <c r="K585" s="33">
        <v>0.02</v>
      </c>
      <c r="L585" s="33">
        <v>0.35</v>
      </c>
      <c r="M585" s="33">
        <v>0.2</v>
      </c>
      <c r="N585" s="33">
        <v>0.9</v>
      </c>
      <c r="O585" s="33">
        <v>221.7</v>
      </c>
      <c r="P585" s="33">
        <v>71</v>
      </c>
      <c r="Q585" s="33">
        <v>5.4</v>
      </c>
      <c r="R585" s="33" t="s">
        <v>876</v>
      </c>
      <c r="S585" s="32"/>
      <c r="T585" s="33">
        <v>5</v>
      </c>
      <c r="U585" s="49"/>
    </row>
    <row r="586" spans="1:21">
      <c r="A586" s="50" t="s">
        <v>908</v>
      </c>
      <c r="B586" s="33" t="s">
        <v>1655</v>
      </c>
      <c r="C586" s="33">
        <v>100</v>
      </c>
      <c r="D586" s="33">
        <v>190</v>
      </c>
      <c r="E586" s="33">
        <v>63.3</v>
      </c>
      <c r="F586" s="48">
        <v>20.9</v>
      </c>
      <c r="G586" s="48">
        <v>9.5</v>
      </c>
      <c r="H586" s="32"/>
      <c r="I586" s="48">
        <v>5.2</v>
      </c>
      <c r="J586" s="33">
        <v>63</v>
      </c>
      <c r="K586" s="33">
        <v>0.01</v>
      </c>
      <c r="L586" s="33">
        <v>0.21</v>
      </c>
      <c r="M586" s="33">
        <v>0.5</v>
      </c>
      <c r="N586" s="33">
        <v>1.08</v>
      </c>
      <c r="O586" s="33">
        <v>201.2</v>
      </c>
      <c r="P586" s="33">
        <v>16</v>
      </c>
      <c r="Q586" s="33">
        <v>1.9</v>
      </c>
      <c r="R586" s="33" t="s">
        <v>876</v>
      </c>
      <c r="S586" s="32"/>
      <c r="T586" s="33">
        <v>5</v>
      </c>
      <c r="U586" s="49"/>
    </row>
    <row r="587" spans="1:21">
      <c r="A587" s="50" t="s">
        <v>909</v>
      </c>
      <c r="B587" s="33" t="s">
        <v>1628</v>
      </c>
      <c r="C587" s="33">
        <v>73</v>
      </c>
      <c r="D587" s="33">
        <v>289</v>
      </c>
      <c r="E587" s="33">
        <v>52.8</v>
      </c>
      <c r="F587" s="48">
        <v>19.7</v>
      </c>
      <c r="G587" s="48">
        <v>21.5</v>
      </c>
      <c r="H587" s="32"/>
      <c r="I587" s="48">
        <v>4.2</v>
      </c>
      <c r="J587" s="33">
        <v>9</v>
      </c>
      <c r="K587" s="33">
        <v>0.09</v>
      </c>
      <c r="L587" s="33">
        <v>0.11</v>
      </c>
      <c r="M587" s="33">
        <v>3.6</v>
      </c>
      <c r="N587" s="33">
        <v>7.0000000000000007E-2</v>
      </c>
      <c r="O587" s="33">
        <v>240</v>
      </c>
      <c r="P587" s="33">
        <v>91</v>
      </c>
      <c r="Q587" s="33">
        <v>3.8</v>
      </c>
      <c r="R587" s="33" t="s">
        <v>876</v>
      </c>
      <c r="S587" s="32"/>
      <c r="T587" s="33">
        <v>5</v>
      </c>
      <c r="U587" s="35">
        <v>116</v>
      </c>
    </row>
    <row r="588" spans="1:21">
      <c r="A588" s="50" t="s">
        <v>910</v>
      </c>
      <c r="B588" s="33" t="s">
        <v>1655</v>
      </c>
      <c r="C588" s="33">
        <v>100</v>
      </c>
      <c r="D588" s="33">
        <v>408</v>
      </c>
      <c r="E588" s="32"/>
      <c r="F588" s="48">
        <v>1.3</v>
      </c>
      <c r="G588" s="48">
        <v>2.4</v>
      </c>
      <c r="H588" s="32"/>
      <c r="I588" s="48">
        <v>95.2</v>
      </c>
      <c r="J588" s="32"/>
      <c r="K588" s="33">
        <v>0.01</v>
      </c>
      <c r="L588" s="33">
        <v>7.0000000000000007E-2</v>
      </c>
      <c r="M588" s="32"/>
      <c r="N588" s="33">
        <v>0.21</v>
      </c>
      <c r="O588" s="33">
        <v>251.4</v>
      </c>
      <c r="P588" s="33">
        <v>2</v>
      </c>
      <c r="Q588" s="33">
        <v>0.3</v>
      </c>
      <c r="R588" s="33" t="s">
        <v>876</v>
      </c>
      <c r="S588" s="32"/>
      <c r="T588" s="33">
        <v>5</v>
      </c>
      <c r="U588" s="35">
        <v>24</v>
      </c>
    </row>
    <row r="589" spans="1:21">
      <c r="A589" s="50" t="s">
        <v>911</v>
      </c>
      <c r="B589" s="33" t="s">
        <v>1647</v>
      </c>
      <c r="C589" s="33">
        <v>100</v>
      </c>
      <c r="D589" s="33">
        <v>136</v>
      </c>
      <c r="E589" s="33">
        <v>70.7</v>
      </c>
      <c r="F589" s="48">
        <v>21</v>
      </c>
      <c r="G589" s="48">
        <v>4.5999999999999996</v>
      </c>
      <c r="H589" s="32"/>
      <c r="I589" s="48">
        <v>2.6</v>
      </c>
      <c r="J589" s="32"/>
      <c r="K589" s="33">
        <v>0.02</v>
      </c>
      <c r="L589" s="32"/>
      <c r="M589" s="32"/>
      <c r="N589" s="32"/>
      <c r="O589" s="32"/>
      <c r="P589" s="32"/>
      <c r="Q589" s="32"/>
      <c r="R589" s="33" t="s">
        <v>876</v>
      </c>
      <c r="S589" s="32"/>
      <c r="T589" s="33">
        <v>5</v>
      </c>
      <c r="U589" s="35">
        <v>131</v>
      </c>
    </row>
    <row r="590" spans="1:21">
      <c r="A590" s="50" t="s">
        <v>912</v>
      </c>
      <c r="B590" s="33" t="s">
        <v>1647</v>
      </c>
      <c r="C590" s="33">
        <v>100</v>
      </c>
      <c r="D590" s="33">
        <v>128</v>
      </c>
      <c r="E590" s="33">
        <v>71.3</v>
      </c>
      <c r="F590" s="48">
        <v>23.2</v>
      </c>
      <c r="G590" s="48">
        <v>3.6</v>
      </c>
      <c r="H590" s="32"/>
      <c r="I590" s="48">
        <v>0.8</v>
      </c>
      <c r="J590" s="32"/>
      <c r="K590" s="32"/>
      <c r="L590" s="32"/>
      <c r="M590" s="32"/>
      <c r="N590" s="32"/>
      <c r="O590" s="32"/>
      <c r="P590" s="32"/>
      <c r="Q590" s="32"/>
      <c r="R590" s="33" t="s">
        <v>876</v>
      </c>
      <c r="S590" s="32"/>
      <c r="T590" s="33">
        <v>5</v>
      </c>
      <c r="U590" s="35">
        <v>112</v>
      </c>
    </row>
    <row r="591" spans="1:21">
      <c r="A591" s="50" t="s">
        <v>913</v>
      </c>
      <c r="B591" s="32"/>
      <c r="C591" s="33">
        <v>68</v>
      </c>
      <c r="D591" s="33">
        <v>240</v>
      </c>
      <c r="E591" s="33">
        <v>63.9</v>
      </c>
      <c r="F591" s="48">
        <v>15.5</v>
      </c>
      <c r="G591" s="48">
        <v>19.7</v>
      </c>
      <c r="H591" s="32"/>
      <c r="I591" s="48">
        <v>0.2</v>
      </c>
      <c r="J591" s="33">
        <v>52</v>
      </c>
      <c r="K591" s="33">
        <v>0.08</v>
      </c>
      <c r="L591" s="33">
        <v>0.22</v>
      </c>
      <c r="M591" s="33">
        <v>4.2</v>
      </c>
      <c r="N591" s="33">
        <v>0.27</v>
      </c>
      <c r="O591" s="33">
        <v>69</v>
      </c>
      <c r="P591" s="33">
        <v>6</v>
      </c>
      <c r="Q591" s="33">
        <v>2.2000000000000002</v>
      </c>
      <c r="R591" s="33" t="s">
        <v>876</v>
      </c>
      <c r="S591" s="32"/>
      <c r="T591" s="33">
        <v>5</v>
      </c>
      <c r="U591" s="35">
        <v>94</v>
      </c>
    </row>
    <row r="592" spans="1:21">
      <c r="A592" s="50" t="s">
        <v>914</v>
      </c>
      <c r="B592" s="33" t="s">
        <v>1618</v>
      </c>
      <c r="C592" s="33">
        <v>75</v>
      </c>
      <c r="D592" s="33">
        <v>424</v>
      </c>
      <c r="E592" s="33">
        <v>45</v>
      </c>
      <c r="F592" s="48">
        <v>9.3000000000000007</v>
      </c>
      <c r="G592" s="48">
        <v>41.3</v>
      </c>
      <c r="H592" s="32"/>
      <c r="I592" s="48">
        <v>3.9</v>
      </c>
      <c r="J592" s="33">
        <v>30</v>
      </c>
      <c r="K592" s="32"/>
      <c r="L592" s="32"/>
      <c r="M592" s="33">
        <v>4.2</v>
      </c>
      <c r="N592" s="33">
        <v>0.53</v>
      </c>
      <c r="O592" s="33">
        <v>45.5</v>
      </c>
      <c r="P592" s="33">
        <v>15</v>
      </c>
      <c r="Q592" s="33">
        <v>1.6</v>
      </c>
      <c r="R592" s="33" t="s">
        <v>876</v>
      </c>
      <c r="S592" s="32"/>
      <c r="T592" s="33">
        <v>5</v>
      </c>
      <c r="U592" s="35">
        <v>96</v>
      </c>
    </row>
    <row r="593" spans="1:21">
      <c r="A593" s="50" t="s">
        <v>915</v>
      </c>
      <c r="B593" s="33" t="s">
        <v>1643</v>
      </c>
      <c r="C593" s="33">
        <v>63</v>
      </c>
      <c r="D593" s="33">
        <v>360</v>
      </c>
      <c r="E593" s="33">
        <v>47.9</v>
      </c>
      <c r="F593" s="48">
        <v>14.3</v>
      </c>
      <c r="G593" s="48">
        <v>30.9</v>
      </c>
      <c r="H593" s="32"/>
      <c r="I593" s="48">
        <v>6.1</v>
      </c>
      <c r="J593" s="33">
        <v>238</v>
      </c>
      <c r="K593" s="33">
        <v>0.05</v>
      </c>
      <c r="L593" s="33">
        <v>0.11</v>
      </c>
      <c r="M593" s="32"/>
      <c r="N593" s="33">
        <v>0.13</v>
      </c>
      <c r="O593" s="33">
        <v>61.6</v>
      </c>
      <c r="P593" s="33">
        <v>4</v>
      </c>
      <c r="Q593" s="33">
        <v>3</v>
      </c>
      <c r="R593" s="33" t="s">
        <v>876</v>
      </c>
      <c r="S593" s="32"/>
      <c r="T593" s="33">
        <v>5</v>
      </c>
      <c r="U593" s="35">
        <v>143</v>
      </c>
    </row>
    <row r="594" spans="1:21">
      <c r="A594" s="50" t="s">
        <v>916</v>
      </c>
      <c r="B594" s="33" t="s">
        <v>1643</v>
      </c>
      <c r="C594" s="33">
        <v>75</v>
      </c>
      <c r="D594" s="33">
        <v>461</v>
      </c>
      <c r="E594" s="33">
        <v>40.200000000000003</v>
      </c>
      <c r="F594" s="48">
        <v>13</v>
      </c>
      <c r="G594" s="48">
        <v>44.8</v>
      </c>
      <c r="H594" s="32"/>
      <c r="I594" s="48">
        <v>1.4</v>
      </c>
      <c r="J594" s="33">
        <v>476</v>
      </c>
      <c r="K594" s="33">
        <v>0.06</v>
      </c>
      <c r="L594" s="33">
        <v>0.09</v>
      </c>
      <c r="M594" s="32"/>
      <c r="N594" s="33">
        <v>0.6</v>
      </c>
      <c r="O594" s="33">
        <v>48.8</v>
      </c>
      <c r="P594" s="33">
        <v>9</v>
      </c>
      <c r="Q594" s="33">
        <v>2.9</v>
      </c>
      <c r="R594" s="33" t="s">
        <v>876</v>
      </c>
      <c r="S594" s="32"/>
      <c r="T594" s="33">
        <v>5</v>
      </c>
      <c r="U594" s="35">
        <v>132</v>
      </c>
    </row>
    <row r="595" spans="1:21">
      <c r="A595" s="50" t="s">
        <v>917</v>
      </c>
      <c r="B595" s="33" t="s">
        <v>1618</v>
      </c>
      <c r="C595" s="33">
        <v>53</v>
      </c>
      <c r="D595" s="33">
        <v>129</v>
      </c>
      <c r="E595" s="33">
        <v>77</v>
      </c>
      <c r="F595" s="48">
        <v>14.2</v>
      </c>
      <c r="G595" s="48">
        <v>7.8</v>
      </c>
      <c r="H595" s="32"/>
      <c r="I595" s="48">
        <v>0.4</v>
      </c>
      <c r="J595" s="32"/>
      <c r="K595" s="33">
        <v>0.02</v>
      </c>
      <c r="L595" s="33">
        <v>0.22</v>
      </c>
      <c r="M595" s="33">
        <v>3.1</v>
      </c>
      <c r="N595" s="32"/>
      <c r="O595" s="33">
        <v>32</v>
      </c>
      <c r="P595" s="33">
        <v>31</v>
      </c>
      <c r="Q595" s="33">
        <v>2.2999999999999998</v>
      </c>
      <c r="R595" s="33" t="s">
        <v>876</v>
      </c>
      <c r="S595" s="32"/>
      <c r="T595" s="33">
        <v>5</v>
      </c>
      <c r="U595" s="35">
        <v>187</v>
      </c>
    </row>
    <row r="596" spans="1:21">
      <c r="A596" s="50" t="s">
        <v>918</v>
      </c>
      <c r="B596" s="33" t="s">
        <v>1618</v>
      </c>
      <c r="C596" s="33">
        <v>67</v>
      </c>
      <c r="D596" s="33">
        <v>146</v>
      </c>
      <c r="E596" s="33">
        <v>70.599999999999994</v>
      </c>
      <c r="F596" s="48">
        <v>16.5</v>
      </c>
      <c r="G596" s="48">
        <v>6.1</v>
      </c>
      <c r="H596" s="32"/>
      <c r="I596" s="48">
        <v>6.3</v>
      </c>
      <c r="J596" s="32"/>
      <c r="K596" s="33">
        <v>0.02</v>
      </c>
      <c r="L596" s="33">
        <v>0.16</v>
      </c>
      <c r="M596" s="33">
        <v>2.4</v>
      </c>
      <c r="N596" s="32"/>
      <c r="O596" s="33">
        <v>53.6</v>
      </c>
      <c r="P596" s="33">
        <v>20</v>
      </c>
      <c r="Q596" s="33">
        <v>2.1</v>
      </c>
      <c r="R596" s="33" t="s">
        <v>876</v>
      </c>
      <c r="S596" s="32"/>
      <c r="T596" s="33">
        <v>5</v>
      </c>
      <c r="U596" s="35">
        <v>49</v>
      </c>
    </row>
    <row r="597" spans="1:21">
      <c r="A597" s="50" t="s">
        <v>919</v>
      </c>
      <c r="B597" s="32"/>
      <c r="C597" s="33">
        <v>100</v>
      </c>
      <c r="D597" s="33">
        <v>128</v>
      </c>
      <c r="E597" s="33">
        <v>76.3</v>
      </c>
      <c r="F597" s="48">
        <v>14.5</v>
      </c>
      <c r="G597" s="48">
        <v>7.5</v>
      </c>
      <c r="H597" s="32"/>
      <c r="I597" s="48">
        <v>0.5</v>
      </c>
      <c r="J597" s="33">
        <v>1040</v>
      </c>
      <c r="K597" s="33">
        <v>0.26</v>
      </c>
      <c r="L597" s="33">
        <v>1.05</v>
      </c>
      <c r="M597" s="33">
        <v>6.9</v>
      </c>
      <c r="N597" s="33">
        <v>1.41</v>
      </c>
      <c r="O597" s="33">
        <v>87.2</v>
      </c>
      <c r="P597" s="33">
        <v>18</v>
      </c>
      <c r="Q597" s="33">
        <v>23.1</v>
      </c>
      <c r="R597" s="33" t="s">
        <v>876</v>
      </c>
      <c r="S597" s="32"/>
      <c r="T597" s="33">
        <v>5</v>
      </c>
      <c r="U597" s="35">
        <v>341</v>
      </c>
    </row>
    <row r="598" spans="1:21">
      <c r="A598" s="50" t="s">
        <v>920</v>
      </c>
      <c r="B598" s="33" t="s">
        <v>1643</v>
      </c>
      <c r="C598" s="33">
        <v>100</v>
      </c>
      <c r="D598" s="33">
        <v>136</v>
      </c>
      <c r="E598" s="33">
        <v>69.8</v>
      </c>
      <c r="F598" s="48">
        <v>14.7</v>
      </c>
      <c r="G598" s="48">
        <v>4.0999999999999996</v>
      </c>
      <c r="H598" s="32"/>
      <c r="I598" s="48">
        <v>10.1</v>
      </c>
      <c r="J598" s="32"/>
      <c r="K598" s="33">
        <v>0.15</v>
      </c>
      <c r="L598" s="33">
        <v>0.34</v>
      </c>
      <c r="M598" s="32"/>
      <c r="N598" s="33">
        <v>0.25</v>
      </c>
      <c r="O598" s="33">
        <v>99.3</v>
      </c>
      <c r="P598" s="33">
        <v>1</v>
      </c>
      <c r="Q598" s="33">
        <v>35.1</v>
      </c>
      <c r="R598" s="33" t="s">
        <v>876</v>
      </c>
      <c r="S598" s="32"/>
      <c r="T598" s="33">
        <v>5</v>
      </c>
      <c r="U598" s="35">
        <v>313</v>
      </c>
    </row>
    <row r="599" spans="1:21">
      <c r="A599" s="50" t="s">
        <v>921</v>
      </c>
      <c r="B599" s="33" t="s">
        <v>1643</v>
      </c>
      <c r="C599" s="33">
        <v>100</v>
      </c>
      <c r="D599" s="33">
        <v>113</v>
      </c>
      <c r="E599" s="33">
        <v>73.5</v>
      </c>
      <c r="F599" s="48">
        <v>16.8</v>
      </c>
      <c r="G599" s="48">
        <v>2.5</v>
      </c>
      <c r="H599" s="32"/>
      <c r="I599" s="48">
        <v>5.9</v>
      </c>
      <c r="J599" s="33">
        <v>4675</v>
      </c>
      <c r="K599" s="33">
        <v>0.35</v>
      </c>
      <c r="L599" s="33">
        <v>0.65</v>
      </c>
      <c r="M599" s="32"/>
      <c r="N599" s="33">
        <v>1.1100000000000001</v>
      </c>
      <c r="O599" s="33">
        <v>107.5</v>
      </c>
      <c r="P599" s="33">
        <v>1</v>
      </c>
      <c r="Q599" s="33">
        <v>50.1</v>
      </c>
      <c r="R599" s="33" t="s">
        <v>876</v>
      </c>
      <c r="S599" s="32"/>
      <c r="T599" s="33">
        <v>5</v>
      </c>
      <c r="U599" s="35">
        <v>252</v>
      </c>
    </row>
    <row r="600" spans="1:21">
      <c r="A600" s="50" t="s">
        <v>922</v>
      </c>
      <c r="B600" s="33" t="s">
        <v>1627</v>
      </c>
      <c r="C600" s="33">
        <v>81</v>
      </c>
      <c r="D600" s="33">
        <v>312</v>
      </c>
      <c r="E600" s="33">
        <v>51.7</v>
      </c>
      <c r="F600" s="48">
        <v>16.600000000000001</v>
      </c>
      <c r="G600" s="48">
        <v>26.1</v>
      </c>
      <c r="H600" s="32"/>
      <c r="I600" s="48">
        <v>2.8</v>
      </c>
      <c r="J600" s="33">
        <v>35</v>
      </c>
      <c r="K600" s="33">
        <v>7.0000000000000007E-2</v>
      </c>
      <c r="L600" s="33">
        <v>0.21</v>
      </c>
      <c r="M600" s="33">
        <v>2.5</v>
      </c>
      <c r="N600" s="33">
        <v>0.42</v>
      </c>
      <c r="O600" s="33">
        <v>1557.5</v>
      </c>
      <c r="P600" s="33">
        <v>10</v>
      </c>
      <c r="Q600" s="33">
        <v>0.7</v>
      </c>
      <c r="R600" s="33" t="s">
        <v>876</v>
      </c>
      <c r="S600" s="32"/>
      <c r="T600" s="33">
        <v>5</v>
      </c>
      <c r="U600" s="35">
        <v>81</v>
      </c>
    </row>
    <row r="601" spans="1:21">
      <c r="A601" s="50" t="s">
        <v>923</v>
      </c>
      <c r="B601" s="33" t="s">
        <v>1618</v>
      </c>
      <c r="C601" s="33">
        <v>100</v>
      </c>
      <c r="D601" s="33">
        <v>538</v>
      </c>
      <c r="E601" s="33">
        <v>28.1</v>
      </c>
      <c r="F601" s="48">
        <v>6.5</v>
      </c>
      <c r="G601" s="48">
        <v>50.2</v>
      </c>
      <c r="H601" s="32"/>
      <c r="I601" s="48">
        <v>15.1</v>
      </c>
      <c r="J601" s="33">
        <v>21</v>
      </c>
      <c r="K601" s="33">
        <v>0.01</v>
      </c>
      <c r="L601" s="33">
        <v>0.04</v>
      </c>
      <c r="M601" s="33">
        <v>1</v>
      </c>
      <c r="N601" s="32"/>
      <c r="O601" s="33">
        <v>26.2</v>
      </c>
      <c r="P601" s="33">
        <v>6</v>
      </c>
      <c r="Q601" s="33">
        <v>3.1</v>
      </c>
      <c r="R601" s="33" t="s">
        <v>876</v>
      </c>
      <c r="S601" s="32"/>
      <c r="T601" s="33">
        <v>5</v>
      </c>
      <c r="U601" s="35">
        <v>46</v>
      </c>
    </row>
    <row r="602" spans="1:21">
      <c r="A602" s="50" t="s">
        <v>924</v>
      </c>
      <c r="B602" s="33" t="s">
        <v>1708</v>
      </c>
      <c r="C602" s="33">
        <v>100</v>
      </c>
      <c r="D602" s="33">
        <v>90</v>
      </c>
      <c r="E602" s="33">
        <v>78.599999999999994</v>
      </c>
      <c r="F602" s="48">
        <v>15</v>
      </c>
      <c r="G602" s="48">
        <v>1.5</v>
      </c>
      <c r="H602" s="32"/>
      <c r="I602" s="48">
        <v>4</v>
      </c>
      <c r="J602" s="32"/>
      <c r="K602" s="33">
        <v>0.01</v>
      </c>
      <c r="L602" s="33">
        <v>7.0000000000000007E-2</v>
      </c>
      <c r="M602" s="33">
        <v>4.2</v>
      </c>
      <c r="N602" s="33">
        <v>1.98</v>
      </c>
      <c r="O602" s="33">
        <v>60.2</v>
      </c>
      <c r="P602" s="33">
        <v>6</v>
      </c>
      <c r="Q602" s="33">
        <v>4.0999999999999996</v>
      </c>
      <c r="R602" s="33" t="s">
        <v>876</v>
      </c>
      <c r="S602" s="32"/>
      <c r="T602" s="33">
        <v>5</v>
      </c>
      <c r="U602" s="49"/>
    </row>
    <row r="603" spans="1:21">
      <c r="A603" s="50" t="s">
        <v>925</v>
      </c>
      <c r="B603" s="33" t="s">
        <v>1618</v>
      </c>
      <c r="C603" s="33">
        <v>61</v>
      </c>
      <c r="D603" s="33">
        <v>245</v>
      </c>
      <c r="E603" s="33">
        <v>62.6</v>
      </c>
      <c r="F603" s="48">
        <v>16.600000000000001</v>
      </c>
      <c r="G603" s="48">
        <v>19.7</v>
      </c>
      <c r="H603" s="32"/>
      <c r="I603" s="48">
        <v>0.4</v>
      </c>
      <c r="J603" s="33">
        <v>35</v>
      </c>
      <c r="K603" s="33">
        <v>0.01</v>
      </c>
      <c r="L603" s="33">
        <v>0.21</v>
      </c>
      <c r="M603" s="33">
        <v>1.6</v>
      </c>
      <c r="N603" s="33">
        <v>0.23</v>
      </c>
      <c r="O603" s="33">
        <v>81.5</v>
      </c>
      <c r="P603" s="33">
        <v>13</v>
      </c>
      <c r="Q603" s="33">
        <v>2.2000000000000002</v>
      </c>
      <c r="R603" s="33" t="s">
        <v>876</v>
      </c>
      <c r="S603" s="32"/>
      <c r="T603" s="33">
        <v>5</v>
      </c>
      <c r="U603" s="35">
        <v>118</v>
      </c>
    </row>
    <row r="604" spans="1:21">
      <c r="A604" s="50" t="s">
        <v>926</v>
      </c>
      <c r="B604" s="32"/>
      <c r="C604" s="33">
        <v>93</v>
      </c>
      <c r="D604" s="33">
        <v>92</v>
      </c>
      <c r="E604" s="33">
        <v>77.8</v>
      </c>
      <c r="F604" s="48">
        <v>17.899999999999999</v>
      </c>
      <c r="G604" s="48">
        <v>1.3</v>
      </c>
      <c r="H604" s="32"/>
      <c r="I604" s="48">
        <v>2.1</v>
      </c>
      <c r="J604" s="33">
        <v>6</v>
      </c>
      <c r="K604" s="33">
        <v>0.04</v>
      </c>
      <c r="L604" s="33">
        <v>0.15</v>
      </c>
      <c r="M604" s="33">
        <v>4.4000000000000004</v>
      </c>
      <c r="N604" s="33">
        <v>0.21</v>
      </c>
      <c r="O604" s="33">
        <v>69.2</v>
      </c>
      <c r="P604" s="33">
        <v>12</v>
      </c>
      <c r="Q604" s="33">
        <v>4.3</v>
      </c>
      <c r="R604" s="33" t="s">
        <v>876</v>
      </c>
      <c r="S604" s="32"/>
      <c r="T604" s="33">
        <v>5</v>
      </c>
      <c r="U604" s="35">
        <v>153</v>
      </c>
    </row>
    <row r="605" spans="1:21">
      <c r="A605" s="50" t="s">
        <v>927</v>
      </c>
      <c r="B605" s="33" t="s">
        <v>1643</v>
      </c>
      <c r="C605" s="33">
        <v>100</v>
      </c>
      <c r="D605" s="33">
        <v>112</v>
      </c>
      <c r="E605" s="33">
        <v>72.599999999999994</v>
      </c>
      <c r="F605" s="48">
        <v>19.8</v>
      </c>
      <c r="G605" s="48">
        <v>1.2</v>
      </c>
      <c r="H605" s="32"/>
      <c r="I605" s="48">
        <v>5.4</v>
      </c>
      <c r="J605" s="32"/>
      <c r="K605" s="33">
        <v>0.05</v>
      </c>
      <c r="L605" s="33">
        <v>0.08</v>
      </c>
      <c r="M605" s="32"/>
      <c r="N605" s="33">
        <v>0.12</v>
      </c>
      <c r="O605" s="33">
        <v>70.099999999999994</v>
      </c>
      <c r="P605" s="33">
        <v>2</v>
      </c>
      <c r="Q605" s="33">
        <v>3.9</v>
      </c>
      <c r="R605" s="33" t="s">
        <v>876</v>
      </c>
      <c r="S605" s="32"/>
      <c r="T605" s="33">
        <v>5</v>
      </c>
      <c r="U605" s="35">
        <v>291</v>
      </c>
    </row>
    <row r="606" spans="1:21">
      <c r="A606" s="50" t="s">
        <v>928</v>
      </c>
      <c r="B606" s="33" t="s">
        <v>1643</v>
      </c>
      <c r="C606" s="33">
        <v>100</v>
      </c>
      <c r="D606" s="33">
        <v>126</v>
      </c>
      <c r="E606" s="33">
        <v>72.900000000000006</v>
      </c>
      <c r="F606" s="48">
        <v>20.399999999999999</v>
      </c>
      <c r="G606" s="48">
        <v>4.2</v>
      </c>
      <c r="H606" s="32"/>
      <c r="I606" s="48">
        <v>1.6</v>
      </c>
      <c r="J606" s="33">
        <v>102</v>
      </c>
      <c r="K606" s="33">
        <v>0.04</v>
      </c>
      <c r="L606" s="33">
        <v>0.09</v>
      </c>
      <c r="M606" s="32"/>
      <c r="N606" s="33">
        <v>0.12</v>
      </c>
      <c r="O606" s="33">
        <v>69</v>
      </c>
      <c r="P606" s="33">
        <v>1</v>
      </c>
      <c r="Q606" s="33">
        <v>4</v>
      </c>
      <c r="R606" s="33" t="s">
        <v>876</v>
      </c>
      <c r="S606" s="32"/>
      <c r="T606" s="33">
        <v>5</v>
      </c>
      <c r="U606" s="35">
        <v>191</v>
      </c>
    </row>
    <row r="607" spans="1:21">
      <c r="A607" s="50" t="s">
        <v>929</v>
      </c>
      <c r="B607" s="33" t="s">
        <v>1618</v>
      </c>
      <c r="C607" s="33">
        <v>100</v>
      </c>
      <c r="D607" s="33">
        <v>143</v>
      </c>
      <c r="E607" s="33">
        <v>74.5</v>
      </c>
      <c r="F607" s="48">
        <v>12.8</v>
      </c>
      <c r="G607" s="48">
        <v>8.9</v>
      </c>
      <c r="H607" s="32"/>
      <c r="I607" s="48">
        <v>2.9</v>
      </c>
      <c r="J607" s="33">
        <v>24</v>
      </c>
      <c r="K607" s="33">
        <v>0.14000000000000001</v>
      </c>
      <c r="L607" s="33">
        <v>0.87</v>
      </c>
      <c r="M607" s="33">
        <v>8</v>
      </c>
      <c r="N607" s="33">
        <v>0.81</v>
      </c>
      <c r="O607" s="33">
        <v>86.2</v>
      </c>
      <c r="P607" s="33">
        <v>20</v>
      </c>
      <c r="Q607" s="33">
        <v>5</v>
      </c>
      <c r="R607" s="33" t="s">
        <v>876</v>
      </c>
      <c r="S607" s="32"/>
      <c r="T607" s="33">
        <v>5</v>
      </c>
      <c r="U607" s="35">
        <v>120</v>
      </c>
    </row>
    <row r="608" spans="1:21">
      <c r="A608" s="50" t="s">
        <v>930</v>
      </c>
      <c r="B608" s="33" t="s">
        <v>1643</v>
      </c>
      <c r="C608" s="33">
        <v>100</v>
      </c>
      <c r="D608" s="33">
        <v>58</v>
      </c>
      <c r="E608" s="33">
        <v>85</v>
      </c>
      <c r="F608" s="48">
        <v>13.6</v>
      </c>
      <c r="G608" s="48">
        <v>0.4</v>
      </c>
      <c r="H608" s="32"/>
      <c r="I608" s="48">
        <v>0</v>
      </c>
      <c r="J608" s="32"/>
      <c r="K608" s="33">
        <v>0.06</v>
      </c>
      <c r="L608" s="33">
        <v>0.06</v>
      </c>
      <c r="M608" s="32"/>
      <c r="N608" s="33">
        <v>0.34</v>
      </c>
      <c r="O608" s="33">
        <v>173.6</v>
      </c>
      <c r="P608" s="33">
        <v>5</v>
      </c>
      <c r="Q608" s="33">
        <v>30.5</v>
      </c>
      <c r="R608" s="33" t="s">
        <v>876</v>
      </c>
      <c r="S608" s="32"/>
      <c r="T608" s="33">
        <v>5</v>
      </c>
      <c r="U608" s="35">
        <v>95</v>
      </c>
    </row>
    <row r="609" spans="1:21">
      <c r="A609" s="50" t="s">
        <v>931</v>
      </c>
      <c r="B609" s="33" t="s">
        <v>1643</v>
      </c>
      <c r="C609" s="33">
        <v>100</v>
      </c>
      <c r="D609" s="33">
        <v>56</v>
      </c>
      <c r="E609" s="33">
        <v>85.1</v>
      </c>
      <c r="F609" s="48">
        <v>13.2</v>
      </c>
      <c r="G609" s="48">
        <v>0.4</v>
      </c>
      <c r="H609" s="32"/>
      <c r="I609" s="48">
        <v>0</v>
      </c>
      <c r="J609" s="33">
        <v>57</v>
      </c>
      <c r="K609" s="33">
        <v>0.05</v>
      </c>
      <c r="L609" s="33">
        <v>0.03</v>
      </c>
      <c r="M609" s="32"/>
      <c r="N609" s="33">
        <v>0.1</v>
      </c>
      <c r="O609" s="33">
        <v>198.6</v>
      </c>
      <c r="P609" s="33">
        <v>3</v>
      </c>
      <c r="Q609" s="33">
        <v>31.8</v>
      </c>
      <c r="R609" s="33" t="s">
        <v>876</v>
      </c>
      <c r="S609" s="32"/>
      <c r="T609" s="33">
        <v>5</v>
      </c>
      <c r="U609" s="35">
        <v>95</v>
      </c>
    </row>
    <row r="610" spans="1:21">
      <c r="A610" s="50" t="s">
        <v>932</v>
      </c>
      <c r="B610" s="33" t="s">
        <v>1643</v>
      </c>
      <c r="C610" s="33">
        <v>100</v>
      </c>
      <c r="D610" s="33">
        <v>55</v>
      </c>
      <c r="E610" s="33">
        <v>85.6</v>
      </c>
      <c r="F610" s="48">
        <v>13.1</v>
      </c>
      <c r="G610" s="48">
        <v>0.3</v>
      </c>
      <c r="H610" s="32"/>
      <c r="I610" s="48">
        <v>0</v>
      </c>
      <c r="J610" s="33">
        <v>110</v>
      </c>
      <c r="K610" s="33">
        <v>0.05</v>
      </c>
      <c r="L610" s="33">
        <v>7.0000000000000007E-2</v>
      </c>
      <c r="M610" s="32"/>
      <c r="N610" s="33">
        <v>0.1</v>
      </c>
      <c r="O610" s="33">
        <v>175.2</v>
      </c>
      <c r="P610" s="33">
        <v>2</v>
      </c>
      <c r="Q610" s="33">
        <v>39.6</v>
      </c>
      <c r="R610" s="33" t="s">
        <v>876</v>
      </c>
      <c r="S610" s="32"/>
      <c r="T610" s="33">
        <v>5</v>
      </c>
      <c r="U610" s="35">
        <v>95</v>
      </c>
    </row>
    <row r="611" spans="1:21">
      <c r="A611" s="50" t="s">
        <v>933</v>
      </c>
      <c r="B611" s="33" t="s">
        <v>1618</v>
      </c>
      <c r="C611" s="33">
        <v>97</v>
      </c>
      <c r="D611" s="33">
        <v>117</v>
      </c>
      <c r="E611" s="33">
        <v>72.599999999999994</v>
      </c>
      <c r="F611" s="48">
        <v>21.7</v>
      </c>
      <c r="G611" s="48">
        <v>2.9</v>
      </c>
      <c r="H611" s="32"/>
      <c r="I611" s="48">
        <v>1</v>
      </c>
      <c r="J611" s="33">
        <v>6</v>
      </c>
      <c r="K611" s="33">
        <v>0.02</v>
      </c>
      <c r="L611" s="33">
        <v>0.78</v>
      </c>
      <c r="M611" s="33">
        <v>3.2</v>
      </c>
      <c r="N611" s="32"/>
      <c r="O611" s="33">
        <v>55.7</v>
      </c>
      <c r="P611" s="33">
        <v>20</v>
      </c>
      <c r="Q611" s="33">
        <v>1.9</v>
      </c>
      <c r="R611" s="33" t="s">
        <v>876</v>
      </c>
      <c r="S611" s="32"/>
      <c r="T611" s="33">
        <v>5</v>
      </c>
      <c r="U611" s="35">
        <v>230</v>
      </c>
    </row>
    <row r="612" spans="1:21">
      <c r="A612" s="50" t="s">
        <v>934</v>
      </c>
      <c r="B612" s="33" t="s">
        <v>1618</v>
      </c>
      <c r="C612" s="33">
        <v>59</v>
      </c>
      <c r="D612" s="33">
        <v>150</v>
      </c>
      <c r="E612" s="33">
        <v>64.7</v>
      </c>
      <c r="F612" s="48">
        <v>13.4</v>
      </c>
      <c r="G612" s="48">
        <v>1.9</v>
      </c>
      <c r="H612" s="32"/>
      <c r="I612" s="48">
        <v>19.7</v>
      </c>
      <c r="J612" s="33">
        <v>11</v>
      </c>
      <c r="K612" s="32"/>
      <c r="L612" s="33">
        <v>0.17</v>
      </c>
      <c r="M612" s="33">
        <v>1.1000000000000001</v>
      </c>
      <c r="N612" s="32"/>
      <c r="O612" s="33">
        <v>61.1</v>
      </c>
      <c r="P612" s="33">
        <v>24</v>
      </c>
      <c r="Q612" s="33">
        <v>1.3</v>
      </c>
      <c r="R612" s="33" t="s">
        <v>876</v>
      </c>
      <c r="S612" s="32"/>
      <c r="T612" s="33">
        <v>5</v>
      </c>
      <c r="U612" s="35">
        <v>36</v>
      </c>
    </row>
    <row r="613" spans="1:21">
      <c r="A613" s="50" t="s">
        <v>935</v>
      </c>
      <c r="B613" s="33" t="s">
        <v>1618</v>
      </c>
      <c r="C613" s="33">
        <v>70</v>
      </c>
      <c r="D613" s="33">
        <v>279</v>
      </c>
      <c r="E613" s="33">
        <v>49.4</v>
      </c>
      <c r="F613" s="48">
        <v>20.3</v>
      </c>
      <c r="G613" s="48">
        <v>17.3</v>
      </c>
      <c r="H613" s="32"/>
      <c r="I613" s="48">
        <v>10.5</v>
      </c>
      <c r="J613" s="33">
        <v>23</v>
      </c>
      <c r="K613" s="33">
        <v>0.03</v>
      </c>
      <c r="L613" s="33">
        <v>0.17</v>
      </c>
      <c r="M613" s="33">
        <v>16.7</v>
      </c>
      <c r="N613" s="33">
        <v>6.44</v>
      </c>
      <c r="O613" s="33">
        <v>755</v>
      </c>
      <c r="P613" s="33">
        <v>109</v>
      </c>
      <c r="Q613" s="33">
        <v>2.2000000000000002</v>
      </c>
      <c r="R613" s="33" t="s">
        <v>876</v>
      </c>
      <c r="S613" s="32"/>
      <c r="T613" s="33">
        <v>5</v>
      </c>
      <c r="U613" s="35">
        <v>198</v>
      </c>
    </row>
    <row r="614" spans="1:21">
      <c r="A614" s="50" t="s">
        <v>936</v>
      </c>
      <c r="B614" s="33" t="s">
        <v>1627</v>
      </c>
      <c r="C614" s="33">
        <v>100</v>
      </c>
      <c r="D614" s="33">
        <v>742</v>
      </c>
      <c r="E614" s="33">
        <v>17.7</v>
      </c>
      <c r="F614" s="51"/>
      <c r="G614" s="48">
        <v>82.7</v>
      </c>
      <c r="H614" s="32"/>
      <c r="I614" s="48">
        <v>0</v>
      </c>
      <c r="J614" s="33">
        <v>534</v>
      </c>
      <c r="K614" s="33">
        <v>0.01</v>
      </c>
      <c r="L614" s="33">
        <v>0.06</v>
      </c>
      <c r="M614" s="33">
        <v>0.1</v>
      </c>
      <c r="N614" s="33">
        <v>3.71</v>
      </c>
      <c r="O614" s="33">
        <v>18</v>
      </c>
      <c r="P614" s="33">
        <v>1</v>
      </c>
      <c r="Q614" s="33">
        <v>1</v>
      </c>
      <c r="R614" s="33" t="s">
        <v>937</v>
      </c>
      <c r="S614" s="32"/>
      <c r="T614" s="33">
        <v>25</v>
      </c>
      <c r="U614" s="35">
        <v>152</v>
      </c>
    </row>
    <row r="615" spans="1:21">
      <c r="A615" s="50" t="s">
        <v>938</v>
      </c>
      <c r="B615" s="33" t="s">
        <v>1618</v>
      </c>
      <c r="C615" s="33">
        <v>100</v>
      </c>
      <c r="D615" s="33">
        <v>396</v>
      </c>
      <c r="E615" s="33">
        <v>2.5</v>
      </c>
      <c r="F615" s="48">
        <v>14.5</v>
      </c>
      <c r="G615" s="48">
        <v>3.5</v>
      </c>
      <c r="H615" s="32"/>
      <c r="I615" s="48">
        <v>76.7</v>
      </c>
      <c r="J615" s="33">
        <v>62</v>
      </c>
      <c r="K615" s="33">
        <v>0.08</v>
      </c>
      <c r="L615" s="33">
        <v>0.41</v>
      </c>
      <c r="M615" s="33">
        <v>0.3</v>
      </c>
      <c r="N615" s="32"/>
      <c r="O615" s="33">
        <v>180.6</v>
      </c>
      <c r="P615" s="33">
        <v>539</v>
      </c>
      <c r="Q615" s="33">
        <v>1.2</v>
      </c>
      <c r="R615" s="33" t="s">
        <v>937</v>
      </c>
      <c r="S615" s="32"/>
      <c r="T615" s="33">
        <v>25</v>
      </c>
      <c r="U615" s="35">
        <v>86</v>
      </c>
    </row>
    <row r="616" spans="1:21">
      <c r="A616" s="50" t="s">
        <v>939</v>
      </c>
      <c r="B616" s="33" t="s">
        <v>1637</v>
      </c>
      <c r="C616" s="33">
        <v>100</v>
      </c>
      <c r="D616" s="33">
        <v>20</v>
      </c>
      <c r="E616" s="33">
        <v>95.5</v>
      </c>
      <c r="F616" s="48">
        <v>1.9</v>
      </c>
      <c r="G616" s="48">
        <v>0.8</v>
      </c>
      <c r="H616" s="32"/>
      <c r="I616" s="48">
        <v>1.4</v>
      </c>
      <c r="J616" s="32"/>
      <c r="K616" s="33">
        <v>0.01</v>
      </c>
      <c r="L616" s="33">
        <v>0.02</v>
      </c>
      <c r="M616" s="32"/>
      <c r="N616" s="32"/>
      <c r="O616" s="33">
        <v>37.4</v>
      </c>
      <c r="P616" s="33">
        <v>88</v>
      </c>
      <c r="Q616" s="33">
        <v>0.1</v>
      </c>
      <c r="R616" s="33" t="s">
        <v>937</v>
      </c>
      <c r="S616" s="32"/>
      <c r="T616" s="33">
        <v>25</v>
      </c>
      <c r="U616" s="35">
        <v>18</v>
      </c>
    </row>
    <row r="617" spans="1:21">
      <c r="A617" s="50" t="s">
        <v>940</v>
      </c>
      <c r="B617" s="33" t="s">
        <v>1631</v>
      </c>
      <c r="C617" s="33">
        <v>100</v>
      </c>
      <c r="D617" s="33">
        <v>892</v>
      </c>
      <c r="E617" s="33">
        <v>0.5</v>
      </c>
      <c r="F617" s="48">
        <v>1.4</v>
      </c>
      <c r="G617" s="48">
        <v>98.8</v>
      </c>
      <c r="H617" s="32"/>
      <c r="I617" s="48">
        <v>0</v>
      </c>
      <c r="J617" s="32"/>
      <c r="K617" s="32"/>
      <c r="L617" s="33">
        <v>0.02</v>
      </c>
      <c r="M617" s="32"/>
      <c r="N617" s="32"/>
      <c r="O617" s="33">
        <v>40.299999999999997</v>
      </c>
      <c r="P617" s="33">
        <v>35</v>
      </c>
      <c r="Q617" s="33">
        <v>0.8</v>
      </c>
      <c r="R617" s="33" t="s">
        <v>937</v>
      </c>
      <c r="S617" s="32"/>
      <c r="T617" s="33">
        <v>25</v>
      </c>
      <c r="U617" s="35">
        <v>296</v>
      </c>
    </row>
    <row r="618" spans="1:21">
      <c r="A618" s="50" t="s">
        <v>941</v>
      </c>
      <c r="B618" s="33" t="s">
        <v>1631</v>
      </c>
      <c r="C618" s="33">
        <v>100</v>
      </c>
      <c r="D618" s="33">
        <v>599</v>
      </c>
      <c r="E618" s="33">
        <v>4.7</v>
      </c>
      <c r="F618" s="48">
        <v>11.1</v>
      </c>
      <c r="G618" s="48">
        <v>43.8</v>
      </c>
      <c r="H618" s="32"/>
      <c r="I618" s="48">
        <v>40</v>
      </c>
      <c r="J618" s="32"/>
      <c r="K618" s="33">
        <v>0.03</v>
      </c>
      <c r="L618" s="33">
        <v>0.47</v>
      </c>
      <c r="M618" s="33">
        <v>0.4</v>
      </c>
      <c r="N618" s="32"/>
      <c r="O618" s="33">
        <v>60.2</v>
      </c>
      <c r="P618" s="33">
        <v>597</v>
      </c>
      <c r="Q618" s="33">
        <v>2.6</v>
      </c>
      <c r="R618" s="33" t="s">
        <v>937</v>
      </c>
      <c r="S618" s="32"/>
      <c r="T618" s="33">
        <v>25</v>
      </c>
      <c r="U618" s="35">
        <v>150</v>
      </c>
    </row>
    <row r="619" spans="1:21">
      <c r="A619" s="50" t="s">
        <v>942</v>
      </c>
      <c r="B619" s="32"/>
      <c r="C619" s="33">
        <v>100</v>
      </c>
      <c r="D619" s="33">
        <v>332</v>
      </c>
      <c r="E619" s="33">
        <v>26.2</v>
      </c>
      <c r="F619" s="48">
        <v>8</v>
      </c>
      <c r="G619" s="48">
        <v>8.6999999999999993</v>
      </c>
      <c r="H619" s="32"/>
      <c r="I619" s="48">
        <v>55.4</v>
      </c>
      <c r="J619" s="33">
        <v>41</v>
      </c>
      <c r="K619" s="33">
        <v>0.03</v>
      </c>
      <c r="L619" s="33">
        <v>0.16</v>
      </c>
      <c r="M619" s="33">
        <v>0.3</v>
      </c>
      <c r="N619" s="33">
        <v>0.28000000000000003</v>
      </c>
      <c r="O619" s="33">
        <v>211.9</v>
      </c>
      <c r="P619" s="33">
        <v>242</v>
      </c>
      <c r="Q619" s="33">
        <v>0.4</v>
      </c>
      <c r="R619" s="33" t="s">
        <v>937</v>
      </c>
      <c r="S619" s="32"/>
      <c r="T619" s="33">
        <v>25</v>
      </c>
      <c r="U619" s="35">
        <v>36</v>
      </c>
    </row>
    <row r="620" spans="1:21">
      <c r="A620" s="50" t="s">
        <v>943</v>
      </c>
      <c r="B620" s="33" t="s">
        <v>1631</v>
      </c>
      <c r="C620" s="33">
        <v>100</v>
      </c>
      <c r="D620" s="33">
        <v>305</v>
      </c>
      <c r="E620" s="33">
        <v>31.9</v>
      </c>
      <c r="F620" s="48">
        <v>46.2</v>
      </c>
      <c r="G620" s="48">
        <v>7.8</v>
      </c>
      <c r="H620" s="32"/>
      <c r="I620" s="48">
        <v>12.5</v>
      </c>
      <c r="J620" s="32"/>
      <c r="K620" s="33">
        <v>0.01</v>
      </c>
      <c r="L620" s="33">
        <v>0.69</v>
      </c>
      <c r="M620" s="33">
        <v>0.7</v>
      </c>
      <c r="N620" s="32"/>
      <c r="O620" s="33">
        <v>90.2</v>
      </c>
      <c r="P620" s="33">
        <v>597</v>
      </c>
      <c r="Q620" s="33">
        <v>3.1</v>
      </c>
      <c r="R620" s="33" t="s">
        <v>937</v>
      </c>
      <c r="S620" s="32"/>
      <c r="T620" s="33">
        <v>25</v>
      </c>
      <c r="U620" s="35">
        <v>36</v>
      </c>
    </row>
    <row r="621" spans="1:21">
      <c r="A621" s="50" t="s">
        <v>944</v>
      </c>
      <c r="B621" s="33" t="s">
        <v>1631</v>
      </c>
      <c r="C621" s="33">
        <v>100</v>
      </c>
      <c r="D621" s="33">
        <v>343</v>
      </c>
      <c r="E621" s="33">
        <v>14.7</v>
      </c>
      <c r="F621" s="48">
        <v>53.7</v>
      </c>
      <c r="G621" s="48">
        <v>2.5</v>
      </c>
      <c r="H621" s="32"/>
      <c r="I621" s="48">
        <v>26.5</v>
      </c>
      <c r="J621" s="32"/>
      <c r="K621" s="33">
        <v>0.03</v>
      </c>
      <c r="L621" s="33">
        <v>0.27</v>
      </c>
      <c r="M621" s="33">
        <v>0.4</v>
      </c>
      <c r="N621" s="32"/>
      <c r="O621" s="33">
        <v>55.4</v>
      </c>
      <c r="P621" s="33">
        <v>360</v>
      </c>
      <c r="Q621" s="33">
        <v>12.4</v>
      </c>
      <c r="R621" s="33" t="s">
        <v>937</v>
      </c>
      <c r="S621" s="32"/>
      <c r="T621" s="33">
        <v>25</v>
      </c>
      <c r="U621" s="35">
        <v>36</v>
      </c>
    </row>
    <row r="622" spans="1:21">
      <c r="A622" s="50" t="s">
        <v>945</v>
      </c>
      <c r="B622" s="32"/>
      <c r="C622" s="33">
        <v>100</v>
      </c>
      <c r="D622" s="33">
        <v>426</v>
      </c>
      <c r="E622" s="33">
        <v>8.9</v>
      </c>
      <c r="F622" s="48">
        <v>55.1</v>
      </c>
      <c r="G622" s="48">
        <v>15</v>
      </c>
      <c r="H622" s="32"/>
      <c r="I622" s="48">
        <v>17.7</v>
      </c>
      <c r="J622" s="32"/>
      <c r="K622" s="33">
        <v>0.05</v>
      </c>
      <c r="L622" s="33">
        <v>0.24</v>
      </c>
      <c r="M622" s="33">
        <v>0.8</v>
      </c>
      <c r="N622" s="32"/>
      <c r="O622" s="33">
        <v>79.3</v>
      </c>
      <c r="P622" s="33">
        <v>730</v>
      </c>
      <c r="Q622" s="33">
        <v>18.7</v>
      </c>
      <c r="R622" s="33" t="s">
        <v>937</v>
      </c>
      <c r="S622" s="32"/>
      <c r="T622" s="33">
        <v>25</v>
      </c>
      <c r="U622" s="35">
        <v>51</v>
      </c>
    </row>
    <row r="623" spans="1:21">
      <c r="A623" s="50" t="s">
        <v>946</v>
      </c>
      <c r="B623" s="32"/>
      <c r="C623" s="33">
        <v>100</v>
      </c>
      <c r="D623" s="33">
        <v>328</v>
      </c>
      <c r="E623" s="33">
        <v>43.5</v>
      </c>
      <c r="F623" s="48">
        <v>25.7</v>
      </c>
      <c r="G623" s="48">
        <v>23.5</v>
      </c>
      <c r="H623" s="32"/>
      <c r="I623" s="48">
        <v>3.5</v>
      </c>
      <c r="J623" s="33">
        <v>152</v>
      </c>
      <c r="K623" s="33">
        <v>0.06</v>
      </c>
      <c r="L623" s="33">
        <v>0.91</v>
      </c>
      <c r="M623" s="33">
        <v>0.6</v>
      </c>
      <c r="N623" s="33">
        <v>0.6</v>
      </c>
      <c r="O623" s="33">
        <v>584.6</v>
      </c>
      <c r="P623" s="33">
        <v>799</v>
      </c>
      <c r="Q623" s="33">
        <v>2.4</v>
      </c>
      <c r="R623" s="33" t="s">
        <v>937</v>
      </c>
      <c r="S623" s="32"/>
      <c r="T623" s="33">
        <v>25</v>
      </c>
      <c r="U623" s="35">
        <v>11</v>
      </c>
    </row>
    <row r="624" spans="1:21">
      <c r="A624" s="50" t="s">
        <v>947</v>
      </c>
      <c r="B624" s="33" t="s">
        <v>1655</v>
      </c>
      <c r="C624" s="33">
        <v>100</v>
      </c>
      <c r="D624" s="33">
        <v>472</v>
      </c>
      <c r="E624" s="33">
        <v>3.7</v>
      </c>
      <c r="F624" s="48">
        <v>13.3</v>
      </c>
      <c r="G624" s="48">
        <v>20.2</v>
      </c>
      <c r="H624" s="32"/>
      <c r="I624" s="48">
        <v>59.3</v>
      </c>
      <c r="J624" s="33">
        <v>75</v>
      </c>
      <c r="K624" s="33">
        <v>0.05</v>
      </c>
      <c r="L624" s="33">
        <v>0.2</v>
      </c>
      <c r="M624" s="33">
        <v>1.6</v>
      </c>
      <c r="N624" s="33">
        <v>0.05</v>
      </c>
      <c r="O624" s="33">
        <v>179.7</v>
      </c>
      <c r="P624" s="33">
        <v>269</v>
      </c>
      <c r="Q624" s="33">
        <v>1.6</v>
      </c>
      <c r="R624" s="33" t="s">
        <v>937</v>
      </c>
      <c r="S624" s="32"/>
      <c r="T624" s="33">
        <v>25</v>
      </c>
      <c r="U624" s="35">
        <v>65</v>
      </c>
    </row>
    <row r="625" spans="1:21">
      <c r="A625" s="50" t="s">
        <v>948</v>
      </c>
      <c r="B625" s="33" t="s">
        <v>1631</v>
      </c>
      <c r="C625" s="33">
        <v>100</v>
      </c>
      <c r="D625" s="33">
        <v>460</v>
      </c>
      <c r="E625" s="33">
        <v>36.9</v>
      </c>
      <c r="F625" s="48">
        <v>12.2</v>
      </c>
      <c r="G625" s="48">
        <v>42.9</v>
      </c>
      <c r="H625" s="32"/>
      <c r="I625" s="48">
        <v>6.3</v>
      </c>
      <c r="J625" s="32"/>
      <c r="K625" s="33">
        <v>0.02</v>
      </c>
      <c r="L625" s="33">
        <v>0.23</v>
      </c>
      <c r="M625" s="33">
        <v>0.2</v>
      </c>
      <c r="N625" s="32"/>
      <c r="O625" s="33">
        <v>2.2999999999999998</v>
      </c>
      <c r="P625" s="33">
        <v>818</v>
      </c>
      <c r="Q625" s="33">
        <v>1.3</v>
      </c>
      <c r="R625" s="33" t="s">
        <v>937</v>
      </c>
      <c r="S625" s="32"/>
      <c r="T625" s="33">
        <v>25</v>
      </c>
      <c r="U625" s="35">
        <v>78</v>
      </c>
    </row>
    <row r="626" spans="1:21">
      <c r="A626" s="50" t="s">
        <v>949</v>
      </c>
      <c r="B626" s="33" t="s">
        <v>1624</v>
      </c>
      <c r="C626" s="33">
        <v>100</v>
      </c>
      <c r="D626" s="33">
        <v>720</v>
      </c>
      <c r="E626" s="33">
        <v>18</v>
      </c>
      <c r="F626" s="48">
        <v>2.5</v>
      </c>
      <c r="G626" s="48">
        <v>78.599999999999994</v>
      </c>
      <c r="H626" s="32"/>
      <c r="I626" s="48">
        <v>0.7</v>
      </c>
      <c r="J626" s="33">
        <v>1042</v>
      </c>
      <c r="K626" s="32"/>
      <c r="L626" s="33">
        <v>0.05</v>
      </c>
      <c r="M626" s="33">
        <v>0.1</v>
      </c>
      <c r="N626" s="33">
        <v>66.010000000000005</v>
      </c>
      <c r="O626" s="33">
        <v>29.6</v>
      </c>
      <c r="P626" s="33">
        <v>1</v>
      </c>
      <c r="Q626" s="33">
        <v>0.7</v>
      </c>
      <c r="R626" s="33" t="s">
        <v>937</v>
      </c>
      <c r="S626" s="32"/>
      <c r="T626" s="33">
        <v>25</v>
      </c>
      <c r="U626" s="35">
        <v>168</v>
      </c>
    </row>
    <row r="627" spans="1:21">
      <c r="A627" s="50" t="s">
        <v>950</v>
      </c>
      <c r="B627" s="33" t="s">
        <v>1631</v>
      </c>
      <c r="C627" s="33">
        <v>100</v>
      </c>
      <c r="D627" s="33">
        <v>447</v>
      </c>
      <c r="E627" s="33">
        <v>48.1</v>
      </c>
      <c r="F627" s="48">
        <v>3.6</v>
      </c>
      <c r="G627" s="48">
        <v>48.3</v>
      </c>
      <c r="H627" s="32"/>
      <c r="I627" s="48">
        <v>0</v>
      </c>
      <c r="J627" s="32"/>
      <c r="K627" s="33">
        <v>0.05</v>
      </c>
      <c r="L627" s="33">
        <v>0.16</v>
      </c>
      <c r="M627" s="33">
        <v>0.2</v>
      </c>
      <c r="N627" s="32"/>
      <c r="O627" s="33">
        <v>41.1</v>
      </c>
      <c r="P627" s="33">
        <v>202</v>
      </c>
      <c r="Q627" s="33">
        <v>1</v>
      </c>
      <c r="R627" s="33" t="s">
        <v>937</v>
      </c>
      <c r="S627" s="32"/>
      <c r="T627" s="33">
        <v>25</v>
      </c>
      <c r="U627" s="35">
        <v>92</v>
      </c>
    </row>
    <row r="628" spans="1:21">
      <c r="A628" s="50" t="s">
        <v>951</v>
      </c>
      <c r="B628" s="33" t="s">
        <v>1627</v>
      </c>
      <c r="C628" s="33">
        <v>100</v>
      </c>
      <c r="D628" s="33">
        <v>503</v>
      </c>
      <c r="E628" s="33">
        <v>43.4</v>
      </c>
      <c r="F628" s="48">
        <v>1.1000000000000001</v>
      </c>
      <c r="G628" s="48">
        <v>55.5</v>
      </c>
      <c r="H628" s="32"/>
      <c r="I628" s="48">
        <v>0</v>
      </c>
      <c r="J628" s="33">
        <v>345</v>
      </c>
      <c r="K628" s="33">
        <v>0.01</v>
      </c>
      <c r="L628" s="33">
        <v>0.16</v>
      </c>
      <c r="M628" s="33">
        <v>0.1</v>
      </c>
      <c r="N628" s="33">
        <v>2.19</v>
      </c>
      <c r="O628" s="33">
        <v>190.8</v>
      </c>
      <c r="P628" s="33">
        <v>20</v>
      </c>
      <c r="Q628" s="33">
        <v>0.1</v>
      </c>
      <c r="R628" s="33" t="s">
        <v>937</v>
      </c>
      <c r="S628" s="32"/>
      <c r="T628" s="33">
        <v>25</v>
      </c>
      <c r="U628" s="35">
        <v>103</v>
      </c>
    </row>
    <row r="629" spans="1:21">
      <c r="A629" s="50" t="s">
        <v>952</v>
      </c>
      <c r="B629" s="33" t="s">
        <v>1640</v>
      </c>
      <c r="C629" s="33">
        <v>100</v>
      </c>
      <c r="D629" s="33">
        <v>112</v>
      </c>
      <c r="E629" s="33">
        <v>75.3</v>
      </c>
      <c r="F629" s="48">
        <v>2.7</v>
      </c>
      <c r="G629" s="48">
        <v>3.3</v>
      </c>
      <c r="H629" s="32"/>
      <c r="I629" s="48">
        <v>17.899999999999999</v>
      </c>
      <c r="J629" s="32"/>
      <c r="K629" s="33">
        <v>0.03</v>
      </c>
      <c r="L629" s="32"/>
      <c r="M629" s="32"/>
      <c r="N629" s="32"/>
      <c r="O629" s="32"/>
      <c r="P629" s="32"/>
      <c r="Q629" s="32"/>
      <c r="R629" s="33" t="s">
        <v>937</v>
      </c>
      <c r="S629" s="32"/>
      <c r="T629" s="33">
        <v>25</v>
      </c>
      <c r="U629" s="35">
        <v>76</v>
      </c>
    </row>
    <row r="630" spans="1:21">
      <c r="A630" s="50" t="s">
        <v>953</v>
      </c>
      <c r="B630" s="32"/>
      <c r="C630" s="33">
        <v>100</v>
      </c>
      <c r="D630" s="33">
        <v>54</v>
      </c>
      <c r="E630" s="33">
        <v>89.8</v>
      </c>
      <c r="F630" s="48">
        <v>3</v>
      </c>
      <c r="G630" s="48">
        <v>3.2</v>
      </c>
      <c r="H630" s="32"/>
      <c r="I630" s="48">
        <v>3.4</v>
      </c>
      <c r="J630" s="33">
        <v>24</v>
      </c>
      <c r="K630" s="33">
        <v>0.03</v>
      </c>
      <c r="L630" s="33">
        <v>0.14000000000000001</v>
      </c>
      <c r="M630" s="33">
        <v>0.1</v>
      </c>
      <c r="N630" s="33">
        <v>0.21</v>
      </c>
      <c r="O630" s="33">
        <v>37.200000000000003</v>
      </c>
      <c r="P630" s="33">
        <v>104</v>
      </c>
      <c r="Q630" s="33">
        <v>0.3</v>
      </c>
      <c r="R630" s="33" t="s">
        <v>937</v>
      </c>
      <c r="S630" s="32"/>
      <c r="T630" s="33">
        <v>25</v>
      </c>
      <c r="U630" s="35">
        <v>15</v>
      </c>
    </row>
    <row r="631" spans="1:21">
      <c r="A631" s="50" t="s">
        <v>954</v>
      </c>
      <c r="B631" s="33" t="s">
        <v>1709</v>
      </c>
      <c r="C631" s="33">
        <v>100</v>
      </c>
      <c r="D631" s="33">
        <v>60</v>
      </c>
      <c r="E631" s="33">
        <v>88.1</v>
      </c>
      <c r="F631" s="48">
        <v>3.1</v>
      </c>
      <c r="G631" s="48">
        <v>3</v>
      </c>
      <c r="H631" s="32"/>
      <c r="I631" s="48">
        <v>5.0999999999999996</v>
      </c>
      <c r="J631" s="33">
        <v>13</v>
      </c>
      <c r="K631" s="33">
        <v>0.12</v>
      </c>
      <c r="L631" s="33">
        <v>0.16</v>
      </c>
      <c r="M631" s="32"/>
      <c r="N631" s="32"/>
      <c r="O631" s="33">
        <v>45.8</v>
      </c>
      <c r="P631" s="33">
        <v>114</v>
      </c>
      <c r="Q631" s="33">
        <v>0.1</v>
      </c>
      <c r="R631" s="33" t="s">
        <v>937</v>
      </c>
      <c r="S631" s="32"/>
      <c r="T631" s="33">
        <v>25</v>
      </c>
      <c r="U631" s="35">
        <v>32</v>
      </c>
    </row>
    <row r="632" spans="1:21">
      <c r="A632" s="50" t="s">
        <v>955</v>
      </c>
      <c r="B632" s="32"/>
      <c r="C632" s="33">
        <v>100</v>
      </c>
      <c r="D632" s="33">
        <v>51</v>
      </c>
      <c r="E632" s="33">
        <v>89</v>
      </c>
      <c r="F632" s="48">
        <v>2.7</v>
      </c>
      <c r="G632" s="48">
        <v>2</v>
      </c>
      <c r="H632" s="32"/>
      <c r="I632" s="48">
        <v>5.6</v>
      </c>
      <c r="J632" s="33">
        <v>66</v>
      </c>
      <c r="K632" s="33">
        <v>0.02</v>
      </c>
      <c r="L632" s="33">
        <v>0.08</v>
      </c>
      <c r="M632" s="33">
        <v>0.1</v>
      </c>
      <c r="N632" s="32"/>
      <c r="O632" s="33">
        <v>42.6</v>
      </c>
      <c r="P632" s="33">
        <v>140</v>
      </c>
      <c r="Q632" s="33">
        <v>0.2</v>
      </c>
      <c r="R632" s="33" t="s">
        <v>937</v>
      </c>
      <c r="S632" s="32"/>
      <c r="T632" s="33">
        <v>25</v>
      </c>
      <c r="U632" s="49"/>
    </row>
    <row r="633" spans="1:21">
      <c r="A633" s="50" t="s">
        <v>956</v>
      </c>
      <c r="B633" s="33" t="s">
        <v>1709</v>
      </c>
      <c r="C633" s="33">
        <v>100</v>
      </c>
      <c r="D633" s="33">
        <v>59</v>
      </c>
      <c r="E633" s="33">
        <v>88.6</v>
      </c>
      <c r="F633" s="48">
        <v>2.9</v>
      </c>
      <c r="G633" s="48">
        <v>3.2</v>
      </c>
      <c r="H633" s="32"/>
      <c r="I633" s="48">
        <v>4.5999999999999996</v>
      </c>
      <c r="J633" s="33">
        <v>9</v>
      </c>
      <c r="K633" s="33">
        <v>0.13</v>
      </c>
      <c r="L633" s="33">
        <v>0.18</v>
      </c>
      <c r="M633" s="32"/>
      <c r="N633" s="32"/>
      <c r="O633" s="33">
        <v>40.200000000000003</v>
      </c>
      <c r="P633" s="33">
        <v>108</v>
      </c>
      <c r="Q633" s="33">
        <v>0.1</v>
      </c>
      <c r="R633" s="33" t="s">
        <v>937</v>
      </c>
      <c r="S633" s="32"/>
      <c r="T633" s="33">
        <v>25</v>
      </c>
      <c r="U633" s="35">
        <v>26</v>
      </c>
    </row>
    <row r="634" spans="1:21">
      <c r="A634" s="50" t="s">
        <v>957</v>
      </c>
      <c r="B634" s="33" t="s">
        <v>1655</v>
      </c>
      <c r="C634" s="33">
        <v>100</v>
      </c>
      <c r="D634" s="33">
        <v>50</v>
      </c>
      <c r="E634" s="33">
        <v>90</v>
      </c>
      <c r="F634" s="48">
        <v>4.0999999999999996</v>
      </c>
      <c r="G634" s="48">
        <v>2.5</v>
      </c>
      <c r="H634" s="32"/>
      <c r="I634" s="48">
        <v>2.7</v>
      </c>
      <c r="J634" s="32"/>
      <c r="K634" s="33">
        <v>0.02</v>
      </c>
      <c r="L634" s="33">
        <v>0.09</v>
      </c>
      <c r="M634" s="33">
        <v>0.2</v>
      </c>
      <c r="N634" s="32"/>
      <c r="O634" s="33">
        <v>28.8</v>
      </c>
      <c r="P634" s="33">
        <v>77</v>
      </c>
      <c r="Q634" s="33">
        <v>0.7</v>
      </c>
      <c r="R634" s="33" t="s">
        <v>937</v>
      </c>
      <c r="S634" s="32"/>
      <c r="T634" s="33">
        <v>25</v>
      </c>
      <c r="U634" s="35">
        <v>9</v>
      </c>
    </row>
    <row r="635" spans="1:21">
      <c r="A635" s="50" t="s">
        <v>958</v>
      </c>
      <c r="B635" s="32"/>
      <c r="C635" s="33">
        <v>100</v>
      </c>
      <c r="D635" s="33">
        <v>510</v>
      </c>
      <c r="E635" s="33">
        <v>2.9</v>
      </c>
      <c r="F635" s="48">
        <v>14.5</v>
      </c>
      <c r="G635" s="48">
        <v>27.1</v>
      </c>
      <c r="H635" s="32"/>
      <c r="I635" s="48">
        <v>51.9</v>
      </c>
      <c r="J635" s="33">
        <v>303</v>
      </c>
      <c r="K635" s="33">
        <v>0.35</v>
      </c>
      <c r="L635" s="33">
        <v>1.1599999999999999</v>
      </c>
      <c r="M635" s="33">
        <v>0.5</v>
      </c>
      <c r="N635" s="33">
        <v>0.18</v>
      </c>
      <c r="O635" s="33">
        <v>168.7</v>
      </c>
      <c r="P635" s="33">
        <v>251</v>
      </c>
      <c r="Q635" s="33">
        <v>8.3000000000000007</v>
      </c>
      <c r="R635" s="33" t="s">
        <v>937</v>
      </c>
      <c r="S635" s="32"/>
      <c r="T635" s="33">
        <v>25</v>
      </c>
      <c r="U635" s="49"/>
    </row>
    <row r="636" spans="1:21">
      <c r="A636" s="50" t="s">
        <v>959</v>
      </c>
      <c r="B636" s="33" t="s">
        <v>1618</v>
      </c>
      <c r="C636" s="33">
        <v>100</v>
      </c>
      <c r="D636" s="33">
        <v>484</v>
      </c>
      <c r="E636" s="33">
        <v>2.8</v>
      </c>
      <c r="F636" s="48">
        <v>19.899999999999999</v>
      </c>
      <c r="G636" s="48">
        <v>22.7</v>
      </c>
      <c r="H636" s="32"/>
      <c r="I636" s="48">
        <v>49.9</v>
      </c>
      <c r="J636" s="33">
        <v>77</v>
      </c>
      <c r="K636" s="33">
        <v>0.28000000000000003</v>
      </c>
      <c r="L636" s="33">
        <v>6.68</v>
      </c>
      <c r="M636" s="33">
        <v>0.5</v>
      </c>
      <c r="N636" s="33">
        <v>0.48</v>
      </c>
      <c r="O636" s="33">
        <v>567.79999999999995</v>
      </c>
      <c r="P636" s="33">
        <v>1797</v>
      </c>
      <c r="Q636" s="33">
        <v>1.4</v>
      </c>
      <c r="R636" s="33" t="s">
        <v>937</v>
      </c>
      <c r="S636" s="32"/>
      <c r="T636" s="33">
        <v>25</v>
      </c>
      <c r="U636" s="35">
        <v>68</v>
      </c>
    </row>
    <row r="637" spans="1:21">
      <c r="A637" s="50" t="s">
        <v>960</v>
      </c>
      <c r="B637" s="32"/>
      <c r="C637" s="33">
        <v>100</v>
      </c>
      <c r="D637" s="33">
        <v>478</v>
      </c>
      <c r="E637" s="33">
        <v>2.2999999999999998</v>
      </c>
      <c r="F637" s="48">
        <v>20.100000000000001</v>
      </c>
      <c r="G637" s="48">
        <v>21.2</v>
      </c>
      <c r="H637" s="32"/>
      <c r="I637" s="48">
        <v>51.7</v>
      </c>
      <c r="J637" s="33">
        <v>141</v>
      </c>
      <c r="K637" s="33">
        <v>0.11</v>
      </c>
      <c r="L637" s="33">
        <v>0.73</v>
      </c>
      <c r="M637" s="33">
        <v>0.9</v>
      </c>
      <c r="N637" s="33">
        <v>0.48</v>
      </c>
      <c r="O637" s="33">
        <v>260.10000000000002</v>
      </c>
      <c r="P637" s="33">
        <v>676</v>
      </c>
      <c r="Q637" s="33">
        <v>1.2</v>
      </c>
      <c r="R637" s="33" t="s">
        <v>937</v>
      </c>
      <c r="S637" s="32"/>
      <c r="T637" s="33">
        <v>25</v>
      </c>
      <c r="U637" s="35">
        <v>110</v>
      </c>
    </row>
    <row r="638" spans="1:21">
      <c r="A638" s="50" t="s">
        <v>961</v>
      </c>
      <c r="B638" s="32"/>
      <c r="C638" s="33">
        <v>100</v>
      </c>
      <c r="D638" s="33">
        <v>466</v>
      </c>
      <c r="E638" s="33">
        <v>2.2999999999999998</v>
      </c>
      <c r="F638" s="48">
        <v>19.899999999999999</v>
      </c>
      <c r="G638" s="48">
        <v>18.899999999999999</v>
      </c>
      <c r="H638" s="32"/>
      <c r="I638" s="48">
        <v>54</v>
      </c>
      <c r="J638" s="33">
        <v>272</v>
      </c>
      <c r="K638" s="33">
        <v>0.08</v>
      </c>
      <c r="L638" s="33">
        <v>0.8</v>
      </c>
      <c r="M638" s="33">
        <v>0.5</v>
      </c>
      <c r="N638" s="33">
        <v>1.29</v>
      </c>
      <c r="O638" s="33">
        <v>247.6</v>
      </c>
      <c r="P638" s="33">
        <v>659</v>
      </c>
      <c r="Q638" s="33">
        <v>2.9</v>
      </c>
      <c r="R638" s="33" t="s">
        <v>937</v>
      </c>
      <c r="S638" s="32"/>
      <c r="T638" s="33">
        <v>25</v>
      </c>
      <c r="U638" s="35">
        <v>71</v>
      </c>
    </row>
    <row r="639" spans="1:21">
      <c r="A639" s="50" t="s">
        <v>962</v>
      </c>
      <c r="B639" s="33" t="s">
        <v>1640</v>
      </c>
      <c r="C639" s="33">
        <v>100</v>
      </c>
      <c r="D639" s="33">
        <v>443</v>
      </c>
      <c r="E639" s="33">
        <v>3.7</v>
      </c>
      <c r="F639" s="48">
        <v>19.8</v>
      </c>
      <c r="G639" s="48">
        <v>15.1</v>
      </c>
      <c r="H639" s="32"/>
      <c r="I639" s="48">
        <v>57</v>
      </c>
      <c r="J639" s="33">
        <v>28</v>
      </c>
      <c r="K639" s="33">
        <v>0.12</v>
      </c>
      <c r="L639" s="33">
        <v>1.25</v>
      </c>
      <c r="M639" s="33">
        <v>0.4</v>
      </c>
      <c r="N639" s="33">
        <v>3.29</v>
      </c>
      <c r="O639" s="33">
        <v>9.4</v>
      </c>
      <c r="P639" s="33">
        <v>998</v>
      </c>
      <c r="Q639" s="33">
        <v>5.2</v>
      </c>
      <c r="R639" s="33" t="s">
        <v>937</v>
      </c>
      <c r="S639" s="32"/>
      <c r="T639" s="33">
        <v>25</v>
      </c>
      <c r="U639" s="35">
        <v>91</v>
      </c>
    </row>
    <row r="640" spans="1:21">
      <c r="A640" s="50" t="s">
        <v>963</v>
      </c>
      <c r="B640" s="33" t="s">
        <v>1631</v>
      </c>
      <c r="C640" s="33">
        <v>100</v>
      </c>
      <c r="D640" s="33">
        <v>443</v>
      </c>
      <c r="E640" s="33">
        <v>11.2</v>
      </c>
      <c r="F640" s="48">
        <v>40.4</v>
      </c>
      <c r="G640" s="48">
        <v>20.399999999999999</v>
      </c>
      <c r="H640" s="32"/>
      <c r="I640" s="48">
        <v>24.4</v>
      </c>
      <c r="J640" s="32"/>
      <c r="K640" s="33">
        <v>0.05</v>
      </c>
      <c r="L640" s="33">
        <v>0.44</v>
      </c>
      <c r="M640" s="33">
        <v>1</v>
      </c>
      <c r="N640" s="32"/>
      <c r="O640" s="33">
        <v>130.80000000000001</v>
      </c>
      <c r="P640" s="33">
        <v>756</v>
      </c>
      <c r="Q640" s="33">
        <v>20.6</v>
      </c>
      <c r="R640" s="33" t="s">
        <v>937</v>
      </c>
      <c r="S640" s="32"/>
      <c r="T640" s="33">
        <v>25</v>
      </c>
      <c r="U640" s="35">
        <v>120</v>
      </c>
    </row>
    <row r="641" spans="1:21">
      <c r="A641" s="50" t="s">
        <v>964</v>
      </c>
      <c r="B641" s="32"/>
      <c r="C641" s="33">
        <v>100</v>
      </c>
      <c r="D641" s="33">
        <v>72</v>
      </c>
      <c r="E641" s="33">
        <v>84.7</v>
      </c>
      <c r="F641" s="48">
        <v>2.5</v>
      </c>
      <c r="G641" s="48">
        <v>2.7</v>
      </c>
      <c r="H641" s="32"/>
      <c r="I641" s="48">
        <v>9.3000000000000007</v>
      </c>
      <c r="J641" s="33">
        <v>26</v>
      </c>
      <c r="K641" s="33">
        <v>0.03</v>
      </c>
      <c r="L641" s="33">
        <v>0.15</v>
      </c>
      <c r="M641" s="33">
        <v>0.2</v>
      </c>
      <c r="N641" s="33">
        <v>0.12</v>
      </c>
      <c r="O641" s="33">
        <v>39.799999999999997</v>
      </c>
      <c r="P641" s="33">
        <v>118</v>
      </c>
      <c r="Q641" s="33">
        <v>0.4</v>
      </c>
      <c r="R641" s="33" t="s">
        <v>937</v>
      </c>
      <c r="S641" s="32"/>
      <c r="T641" s="33">
        <v>25</v>
      </c>
      <c r="U641" s="35">
        <v>15</v>
      </c>
    </row>
    <row r="642" spans="1:21">
      <c r="A642" s="50" t="s">
        <v>965</v>
      </c>
      <c r="B642" s="33" t="s">
        <v>1618</v>
      </c>
      <c r="C642" s="33">
        <v>100</v>
      </c>
      <c r="D642" s="33">
        <v>62</v>
      </c>
      <c r="E642" s="33">
        <v>86.6</v>
      </c>
      <c r="F642" s="48">
        <v>3.2</v>
      </c>
      <c r="G642" s="48">
        <v>2.2000000000000002</v>
      </c>
      <c r="H642" s="32"/>
      <c r="I642" s="48">
        <v>7.3</v>
      </c>
      <c r="J642" s="32"/>
      <c r="K642" s="33">
        <v>7.0000000000000007E-2</v>
      </c>
      <c r="L642" s="33">
        <v>0.08</v>
      </c>
      <c r="M642" s="33">
        <v>0.1</v>
      </c>
      <c r="N642" s="32"/>
      <c r="O642" s="33">
        <v>43</v>
      </c>
      <c r="P642" s="33">
        <v>161</v>
      </c>
      <c r="Q642" s="32"/>
      <c r="R642" s="33" t="s">
        <v>937</v>
      </c>
      <c r="S642" s="32"/>
      <c r="T642" s="33">
        <v>25</v>
      </c>
      <c r="U642" s="35">
        <v>15</v>
      </c>
    </row>
    <row r="643" spans="1:21">
      <c r="A643" s="50" t="s">
        <v>966</v>
      </c>
      <c r="B643" s="32"/>
      <c r="C643" s="33">
        <v>100</v>
      </c>
      <c r="D643" s="33">
        <v>67</v>
      </c>
      <c r="E643" s="33">
        <v>84.4</v>
      </c>
      <c r="F643" s="48">
        <v>3.1</v>
      </c>
      <c r="G643" s="48">
        <v>1.4</v>
      </c>
      <c r="H643" s="32"/>
      <c r="I643" s="48">
        <v>10.4</v>
      </c>
      <c r="J643" s="33">
        <v>19</v>
      </c>
      <c r="K643" s="33">
        <v>0.03</v>
      </c>
      <c r="L643" s="33">
        <v>0.19</v>
      </c>
      <c r="M643" s="33">
        <v>0.1</v>
      </c>
      <c r="N643" s="33">
        <v>0.68</v>
      </c>
      <c r="O643" s="33">
        <v>32.5</v>
      </c>
      <c r="P643" s="33">
        <v>140</v>
      </c>
      <c r="Q643" s="33">
        <v>0.4</v>
      </c>
      <c r="R643" s="33" t="s">
        <v>937</v>
      </c>
      <c r="S643" s="32"/>
      <c r="T643" s="33">
        <v>25</v>
      </c>
      <c r="U643" s="35">
        <v>15</v>
      </c>
    </row>
    <row r="644" spans="1:21">
      <c r="A644" s="50" t="s">
        <v>967</v>
      </c>
      <c r="B644" s="33" t="s">
        <v>1627</v>
      </c>
      <c r="C644" s="33">
        <v>100</v>
      </c>
      <c r="D644" s="33">
        <v>48</v>
      </c>
      <c r="E644" s="33">
        <v>87.6</v>
      </c>
      <c r="F644" s="48">
        <v>3.2</v>
      </c>
      <c r="G644" s="48">
        <v>0.3</v>
      </c>
      <c r="H644" s="32"/>
      <c r="I644" s="48">
        <v>8.1999999999999993</v>
      </c>
      <c r="J644" s="33">
        <v>1</v>
      </c>
      <c r="K644" s="33">
        <v>0.02</v>
      </c>
      <c r="L644" s="33">
        <v>0.21</v>
      </c>
      <c r="M644" s="33">
        <v>0.1</v>
      </c>
      <c r="N644" s="33">
        <v>0.03</v>
      </c>
      <c r="O644" s="33">
        <v>2.6</v>
      </c>
      <c r="P644" s="33">
        <v>89</v>
      </c>
      <c r="Q644" s="33">
        <v>0.2</v>
      </c>
      <c r="R644" s="33" t="s">
        <v>937</v>
      </c>
      <c r="S644" s="32"/>
      <c r="T644" s="33">
        <v>25</v>
      </c>
      <c r="U644" s="35">
        <v>15</v>
      </c>
    </row>
    <row r="645" spans="1:21">
      <c r="A645" s="50" t="s">
        <v>968</v>
      </c>
      <c r="B645" s="32"/>
      <c r="C645" s="33">
        <v>100</v>
      </c>
      <c r="D645" s="33">
        <v>57</v>
      </c>
      <c r="E645" s="33">
        <v>85.5</v>
      </c>
      <c r="F645" s="48">
        <v>3.3</v>
      </c>
      <c r="G645" s="48">
        <v>0.4</v>
      </c>
      <c r="H645" s="32"/>
      <c r="I645" s="48">
        <v>10</v>
      </c>
      <c r="J645" s="32"/>
      <c r="K645" s="33">
        <v>0.02</v>
      </c>
      <c r="L645" s="33">
        <v>0.1</v>
      </c>
      <c r="M645" s="33">
        <v>0.1</v>
      </c>
      <c r="N645" s="32"/>
      <c r="O645" s="33">
        <v>27.7</v>
      </c>
      <c r="P645" s="33">
        <v>146</v>
      </c>
      <c r="Q645" s="33">
        <v>0.1</v>
      </c>
      <c r="R645" s="33" t="s">
        <v>937</v>
      </c>
      <c r="S645" s="32"/>
      <c r="T645" s="33">
        <v>25</v>
      </c>
      <c r="U645" s="35">
        <v>15</v>
      </c>
    </row>
    <row r="646" spans="1:21">
      <c r="A646" s="50" t="s">
        <v>969</v>
      </c>
      <c r="B646" s="33" t="s">
        <v>1627</v>
      </c>
      <c r="C646" s="33">
        <v>100</v>
      </c>
      <c r="D646" s="33">
        <v>64</v>
      </c>
      <c r="E646" s="33">
        <v>85.8</v>
      </c>
      <c r="F646" s="48">
        <v>2.7</v>
      </c>
      <c r="G646" s="48">
        <v>1.9</v>
      </c>
      <c r="H646" s="32"/>
      <c r="I646" s="48">
        <v>9</v>
      </c>
      <c r="J646" s="33">
        <v>32</v>
      </c>
      <c r="K646" s="33">
        <v>0.02</v>
      </c>
      <c r="L646" s="33">
        <v>0.13</v>
      </c>
      <c r="M646" s="33">
        <v>0.1</v>
      </c>
      <c r="N646" s="33">
        <v>0.13</v>
      </c>
      <c r="O646" s="33">
        <v>13</v>
      </c>
      <c r="P646" s="33">
        <v>81</v>
      </c>
      <c r="Q646" s="32"/>
      <c r="R646" s="33" t="s">
        <v>937</v>
      </c>
      <c r="S646" s="32"/>
      <c r="T646" s="33">
        <v>25</v>
      </c>
      <c r="U646" s="35">
        <v>15</v>
      </c>
    </row>
    <row r="647" spans="1:21">
      <c r="A647" s="50" t="s">
        <v>970</v>
      </c>
      <c r="B647" s="33" t="s">
        <v>1649</v>
      </c>
      <c r="C647" s="33">
        <v>100</v>
      </c>
      <c r="D647" s="33">
        <v>59</v>
      </c>
      <c r="E647" s="33">
        <v>88.9</v>
      </c>
      <c r="F647" s="48">
        <v>1.5</v>
      </c>
      <c r="G647" s="48">
        <v>3.5</v>
      </c>
      <c r="H647" s="32"/>
      <c r="I647" s="48">
        <v>5.4</v>
      </c>
      <c r="J647" s="33">
        <v>84</v>
      </c>
      <c r="K647" s="33">
        <v>0.04</v>
      </c>
      <c r="L647" s="33">
        <v>0.12</v>
      </c>
      <c r="M647" s="33">
        <v>2.1</v>
      </c>
      <c r="N647" s="33">
        <v>0.19</v>
      </c>
      <c r="O647" s="33">
        <v>20.6</v>
      </c>
      <c r="P647" s="33">
        <v>82</v>
      </c>
      <c r="Q647" s="33">
        <v>0.5</v>
      </c>
      <c r="R647" s="33" t="s">
        <v>937</v>
      </c>
      <c r="S647" s="32"/>
      <c r="T647" s="33">
        <v>25</v>
      </c>
      <c r="U647" s="35">
        <v>31</v>
      </c>
    </row>
    <row r="648" spans="1:21">
      <c r="A648" s="50" t="s">
        <v>971</v>
      </c>
      <c r="B648" s="33" t="s">
        <v>1710</v>
      </c>
      <c r="C648" s="33">
        <v>100</v>
      </c>
      <c r="D648" s="33">
        <v>498</v>
      </c>
      <c r="E648" s="33">
        <v>1.4</v>
      </c>
      <c r="F648" s="48">
        <v>18.8</v>
      </c>
      <c r="G648" s="48">
        <v>25.2</v>
      </c>
      <c r="H648" s="32"/>
      <c r="I648" s="48">
        <v>49</v>
      </c>
      <c r="J648" s="32"/>
      <c r="K648" s="33">
        <v>0.06</v>
      </c>
      <c r="L648" s="33">
        <v>1.6</v>
      </c>
      <c r="M648" s="33">
        <v>0.9</v>
      </c>
      <c r="N648" s="33">
        <v>0.2</v>
      </c>
      <c r="O648" s="32"/>
      <c r="P648" s="32"/>
      <c r="Q648" s="32"/>
      <c r="R648" s="33" t="s">
        <v>937</v>
      </c>
      <c r="S648" s="32"/>
      <c r="T648" s="33">
        <v>25</v>
      </c>
      <c r="U648" s="35">
        <v>75</v>
      </c>
    </row>
    <row r="649" spans="1:21">
      <c r="A649" s="50" t="s">
        <v>972</v>
      </c>
      <c r="B649" s="32"/>
      <c r="C649" s="33">
        <v>86</v>
      </c>
      <c r="D649" s="33">
        <v>160</v>
      </c>
      <c r="E649" s="33">
        <v>73</v>
      </c>
      <c r="F649" s="48">
        <v>12.8</v>
      </c>
      <c r="G649" s="48">
        <v>11.1</v>
      </c>
      <c r="H649" s="32"/>
      <c r="I649" s="48">
        <v>2.1</v>
      </c>
      <c r="J649" s="33">
        <v>337</v>
      </c>
      <c r="K649" s="33">
        <v>0.11</v>
      </c>
      <c r="L649" s="33">
        <v>0.49</v>
      </c>
      <c r="M649" s="33">
        <v>0.1</v>
      </c>
      <c r="N649" s="33">
        <v>3.08</v>
      </c>
      <c r="O649" s="33">
        <v>106.6</v>
      </c>
      <c r="P649" s="33">
        <v>47</v>
      </c>
      <c r="Q649" s="33">
        <v>3.2</v>
      </c>
      <c r="R649" s="33" t="s">
        <v>973</v>
      </c>
      <c r="S649" s="32"/>
      <c r="T649" s="33">
        <v>25</v>
      </c>
      <c r="U649" s="35">
        <v>515</v>
      </c>
    </row>
    <row r="650" spans="1:21">
      <c r="A650" s="50" t="s">
        <v>974</v>
      </c>
      <c r="B650" s="33" t="s">
        <v>1618</v>
      </c>
      <c r="C650" s="33">
        <v>89</v>
      </c>
      <c r="D650" s="33">
        <v>152</v>
      </c>
      <c r="E650" s="33">
        <v>74.400000000000006</v>
      </c>
      <c r="F650" s="48">
        <v>11.6</v>
      </c>
      <c r="G650" s="48">
        <v>11.7</v>
      </c>
      <c r="H650" s="32"/>
      <c r="I650" s="48">
        <v>0</v>
      </c>
      <c r="J650" s="33">
        <v>98</v>
      </c>
      <c r="K650" s="33">
        <v>0.01</v>
      </c>
      <c r="L650" s="33">
        <v>0.06</v>
      </c>
      <c r="M650" s="33">
        <v>0.3</v>
      </c>
      <c r="N650" s="33">
        <v>5.34</v>
      </c>
      <c r="O650" s="33">
        <v>711.5</v>
      </c>
      <c r="P650" s="33">
        <v>157</v>
      </c>
      <c r="Q650" s="33">
        <v>2.6</v>
      </c>
      <c r="R650" s="33" t="s">
        <v>973</v>
      </c>
      <c r="S650" s="32"/>
      <c r="T650" s="33">
        <v>25</v>
      </c>
      <c r="U650" s="35">
        <v>480</v>
      </c>
    </row>
    <row r="651" spans="1:21">
      <c r="A651" s="50" t="s">
        <v>975</v>
      </c>
      <c r="B651" s="32"/>
      <c r="C651" s="33">
        <v>87</v>
      </c>
      <c r="D651" s="33">
        <v>196</v>
      </c>
      <c r="E651" s="33">
        <v>69.3</v>
      </c>
      <c r="F651" s="48">
        <v>11.1</v>
      </c>
      <c r="G651" s="48">
        <v>15.6</v>
      </c>
      <c r="H651" s="32"/>
      <c r="I651" s="48">
        <v>2.8</v>
      </c>
      <c r="J651" s="33">
        <v>192</v>
      </c>
      <c r="K651" s="33">
        <v>0.08</v>
      </c>
      <c r="L651" s="33">
        <v>0.3</v>
      </c>
      <c r="M651" s="33">
        <v>0.4</v>
      </c>
      <c r="N651" s="33">
        <v>4.5</v>
      </c>
      <c r="O651" s="33">
        <v>90.6</v>
      </c>
      <c r="P651" s="33">
        <v>34</v>
      </c>
      <c r="Q651" s="33">
        <v>4.0999999999999996</v>
      </c>
      <c r="R651" s="33" t="s">
        <v>973</v>
      </c>
      <c r="S651" s="32"/>
      <c r="T651" s="33">
        <v>25</v>
      </c>
      <c r="U651" s="35">
        <v>704</v>
      </c>
    </row>
    <row r="652" spans="1:21">
      <c r="A652" s="50" t="s">
        <v>976</v>
      </c>
      <c r="B652" s="33" t="s">
        <v>1711</v>
      </c>
      <c r="C652" s="33">
        <v>100</v>
      </c>
      <c r="D652" s="33">
        <v>48</v>
      </c>
      <c r="E652" s="33">
        <v>87.2</v>
      </c>
      <c r="F652" s="48">
        <v>8.9</v>
      </c>
      <c r="G652" s="51"/>
      <c r="H652" s="32"/>
      <c r="I652" s="48">
        <v>3.2</v>
      </c>
      <c r="J652" s="33">
        <v>7</v>
      </c>
      <c r="K652" s="33">
        <v>0.03</v>
      </c>
      <c r="L652" s="33">
        <v>0.04</v>
      </c>
      <c r="M652" s="33">
        <v>0.3</v>
      </c>
      <c r="N652" s="33">
        <v>0.34</v>
      </c>
      <c r="O652" s="33">
        <v>77.3</v>
      </c>
      <c r="P652" s="33">
        <v>4</v>
      </c>
      <c r="Q652" s="33">
        <v>2.8</v>
      </c>
      <c r="R652" s="33" t="s">
        <v>973</v>
      </c>
      <c r="S652" s="32"/>
      <c r="T652" s="33">
        <v>25</v>
      </c>
      <c r="U652" s="49"/>
    </row>
    <row r="653" spans="1:21">
      <c r="A653" s="50" t="s">
        <v>977</v>
      </c>
      <c r="B653" s="33" t="s">
        <v>1711</v>
      </c>
      <c r="C653" s="33">
        <v>100</v>
      </c>
      <c r="D653" s="33">
        <v>324</v>
      </c>
      <c r="E653" s="33">
        <v>50.1</v>
      </c>
      <c r="F653" s="48">
        <v>15.5</v>
      </c>
      <c r="G653" s="48">
        <v>26.4</v>
      </c>
      <c r="H653" s="32"/>
      <c r="I653" s="48">
        <v>6.2</v>
      </c>
      <c r="J653" s="33">
        <v>1977</v>
      </c>
      <c r="K653" s="33">
        <v>0.06</v>
      </c>
      <c r="L653" s="33">
        <v>0.59</v>
      </c>
      <c r="M653" s="33">
        <v>0.6</v>
      </c>
      <c r="N653" s="33">
        <v>95.7</v>
      </c>
      <c r="O653" s="33">
        <v>24.4</v>
      </c>
      <c r="P653" s="33">
        <v>13</v>
      </c>
      <c r="Q653" s="33">
        <v>2.8</v>
      </c>
      <c r="R653" s="33" t="s">
        <v>973</v>
      </c>
      <c r="S653" s="32"/>
      <c r="T653" s="33">
        <v>25</v>
      </c>
      <c r="U653" s="35">
        <v>1696</v>
      </c>
    </row>
    <row r="654" spans="1:21">
      <c r="A654" s="50" t="s">
        <v>978</v>
      </c>
      <c r="B654" s="32"/>
      <c r="C654" s="33">
        <v>87</v>
      </c>
      <c r="D654" s="33">
        <v>138</v>
      </c>
      <c r="E654" s="33">
        <v>75.8</v>
      </c>
      <c r="F654" s="48">
        <v>12.7</v>
      </c>
      <c r="G654" s="48">
        <v>9</v>
      </c>
      <c r="H654" s="32"/>
      <c r="I654" s="48">
        <v>1.5</v>
      </c>
      <c r="J654" s="33">
        <v>310</v>
      </c>
      <c r="K654" s="33">
        <v>0.09</v>
      </c>
      <c r="L654" s="33">
        <v>0.31</v>
      </c>
      <c r="M654" s="33">
        <v>0.2</v>
      </c>
      <c r="N654" s="33">
        <v>1.23</v>
      </c>
      <c r="O654" s="33">
        <v>94.7</v>
      </c>
      <c r="P654" s="33">
        <v>48</v>
      </c>
      <c r="Q654" s="33">
        <v>2</v>
      </c>
      <c r="R654" s="33" t="s">
        <v>973</v>
      </c>
      <c r="S654" s="32"/>
      <c r="T654" s="33">
        <v>25</v>
      </c>
      <c r="U654" s="35">
        <v>585</v>
      </c>
    </row>
    <row r="655" spans="1:21">
      <c r="A655" s="50" t="s">
        <v>979</v>
      </c>
      <c r="B655" s="32"/>
      <c r="C655" s="33">
        <v>88</v>
      </c>
      <c r="D655" s="33">
        <v>156</v>
      </c>
      <c r="E655" s="33">
        <v>73.8</v>
      </c>
      <c r="F655" s="48">
        <v>12.8</v>
      </c>
      <c r="G655" s="48">
        <v>11.1</v>
      </c>
      <c r="H655" s="32"/>
      <c r="I655" s="48">
        <v>1.3</v>
      </c>
      <c r="J655" s="33">
        <v>194</v>
      </c>
      <c r="K655" s="33">
        <v>0.13</v>
      </c>
      <c r="L655" s="33">
        <v>0.32</v>
      </c>
      <c r="M655" s="33">
        <v>0.2</v>
      </c>
      <c r="N655" s="33">
        <v>2.29</v>
      </c>
      <c r="O655" s="33">
        <v>125.7</v>
      </c>
      <c r="P655" s="33">
        <v>44</v>
      </c>
      <c r="Q655" s="33">
        <v>2.2999999999999998</v>
      </c>
      <c r="R655" s="33" t="s">
        <v>973</v>
      </c>
      <c r="S655" s="32"/>
      <c r="T655" s="33">
        <v>25</v>
      </c>
      <c r="U655" s="35">
        <v>585</v>
      </c>
    </row>
    <row r="656" spans="1:21">
      <c r="A656" s="50" t="s">
        <v>980</v>
      </c>
      <c r="B656" s="32"/>
      <c r="C656" s="33">
        <v>100</v>
      </c>
      <c r="D656" s="33">
        <v>60</v>
      </c>
      <c r="E656" s="33">
        <v>84.4</v>
      </c>
      <c r="F656" s="48">
        <v>11.6</v>
      </c>
      <c r="G656" s="48">
        <v>0.1</v>
      </c>
      <c r="H656" s="32"/>
      <c r="I656" s="48">
        <v>3.1</v>
      </c>
      <c r="J656" s="32"/>
      <c r="K656" s="33">
        <v>0.04</v>
      </c>
      <c r="L656" s="33">
        <v>0.31</v>
      </c>
      <c r="M656" s="33">
        <v>0.2</v>
      </c>
      <c r="N656" s="33">
        <v>0.01</v>
      </c>
      <c r="O656" s="33">
        <v>79.400000000000006</v>
      </c>
      <c r="P656" s="33">
        <v>9</v>
      </c>
      <c r="Q656" s="33">
        <v>1.6</v>
      </c>
      <c r="R656" s="33" t="s">
        <v>973</v>
      </c>
      <c r="S656" s="32"/>
      <c r="T656" s="33">
        <v>25</v>
      </c>
      <c r="U656" s="49"/>
    </row>
    <row r="657" spans="1:21">
      <c r="A657" s="50" t="s">
        <v>981</v>
      </c>
      <c r="B657" s="33" t="s">
        <v>1707</v>
      </c>
      <c r="C657" s="33">
        <v>87</v>
      </c>
      <c r="D657" s="33">
        <v>44</v>
      </c>
      <c r="E657" s="33">
        <v>88.4</v>
      </c>
      <c r="F657" s="48">
        <v>9.8000000000000007</v>
      </c>
      <c r="G657" s="48">
        <v>0.1</v>
      </c>
      <c r="H657" s="32"/>
      <c r="I657" s="48">
        <v>1</v>
      </c>
      <c r="J657" s="32"/>
      <c r="K657" s="32"/>
      <c r="L657" s="33">
        <v>0.31</v>
      </c>
      <c r="M657" s="33">
        <v>0.1</v>
      </c>
      <c r="N657" s="32"/>
      <c r="O657" s="33">
        <v>165.1</v>
      </c>
      <c r="P657" s="33">
        <v>9</v>
      </c>
      <c r="Q657" s="32"/>
      <c r="R657" s="33" t="s">
        <v>973</v>
      </c>
      <c r="S657" s="32"/>
      <c r="T657" s="33">
        <v>25</v>
      </c>
      <c r="U657" s="49"/>
    </row>
    <row r="658" spans="1:21">
      <c r="A658" s="50" t="s">
        <v>982</v>
      </c>
      <c r="B658" s="33" t="s">
        <v>1712</v>
      </c>
      <c r="C658" s="33">
        <v>100</v>
      </c>
      <c r="D658" s="33">
        <v>367</v>
      </c>
      <c r="E658" s="33">
        <v>7.2</v>
      </c>
      <c r="F658" s="48">
        <v>47.5</v>
      </c>
      <c r="G658" s="48">
        <v>4.8</v>
      </c>
      <c r="H658" s="32"/>
      <c r="I658" s="48">
        <v>33.5</v>
      </c>
      <c r="J658" s="32"/>
      <c r="K658" s="32"/>
      <c r="L658" s="32"/>
      <c r="M658" s="32"/>
      <c r="N658" s="32"/>
      <c r="O658" s="32"/>
      <c r="P658" s="32"/>
      <c r="Q658" s="32"/>
      <c r="R658" s="33" t="s">
        <v>973</v>
      </c>
      <c r="S658" s="32"/>
      <c r="T658" s="33">
        <v>25</v>
      </c>
      <c r="U658" s="49"/>
    </row>
    <row r="659" spans="1:21">
      <c r="A659" s="50" t="s">
        <v>983</v>
      </c>
      <c r="B659" s="33" t="s">
        <v>1618</v>
      </c>
      <c r="C659" s="33">
        <v>100</v>
      </c>
      <c r="D659" s="33">
        <v>545</v>
      </c>
      <c r="E659" s="33">
        <v>2.5</v>
      </c>
      <c r="F659" s="48">
        <v>43.4</v>
      </c>
      <c r="G659" s="48">
        <v>36.200000000000003</v>
      </c>
      <c r="H659" s="32"/>
      <c r="I659" s="48">
        <v>11.3</v>
      </c>
      <c r="J659" s="33">
        <v>525</v>
      </c>
      <c r="K659" s="33">
        <v>0.05</v>
      </c>
      <c r="L659" s="33">
        <v>0.4</v>
      </c>
      <c r="M659" s="32"/>
      <c r="N659" s="33">
        <v>11.56</v>
      </c>
      <c r="O659" s="33">
        <v>393.2</v>
      </c>
      <c r="P659" s="33">
        <v>954</v>
      </c>
      <c r="Q659" s="33">
        <v>10.5</v>
      </c>
      <c r="R659" s="33" t="s">
        <v>973</v>
      </c>
      <c r="S659" s="32"/>
      <c r="T659" s="33">
        <v>25</v>
      </c>
      <c r="U659" s="35">
        <v>2251</v>
      </c>
    </row>
    <row r="660" spans="1:21">
      <c r="A660" s="50" t="s">
        <v>984</v>
      </c>
      <c r="B660" s="32"/>
      <c r="C660" s="33">
        <v>100</v>
      </c>
      <c r="D660" s="33">
        <v>328</v>
      </c>
      <c r="E660" s="33">
        <v>51.5</v>
      </c>
      <c r="F660" s="48">
        <v>15.2</v>
      </c>
      <c r="G660" s="48">
        <v>28.2</v>
      </c>
      <c r="H660" s="32"/>
      <c r="I660" s="48">
        <v>3.4</v>
      </c>
      <c r="J660" s="33">
        <v>438</v>
      </c>
      <c r="K660" s="33">
        <v>0.33</v>
      </c>
      <c r="L660" s="33">
        <v>0.28999999999999998</v>
      </c>
      <c r="M660" s="33">
        <v>0.1</v>
      </c>
      <c r="N660" s="33">
        <v>5.0599999999999996</v>
      </c>
      <c r="O660" s="33">
        <v>54.9</v>
      </c>
      <c r="P660" s="33">
        <v>112</v>
      </c>
      <c r="Q660" s="33">
        <v>6.5</v>
      </c>
      <c r="R660" s="33" t="s">
        <v>973</v>
      </c>
      <c r="S660" s="32"/>
      <c r="T660" s="33">
        <v>25</v>
      </c>
      <c r="U660" s="35">
        <v>1510</v>
      </c>
    </row>
    <row r="661" spans="1:21">
      <c r="A661" s="50" t="s">
        <v>985</v>
      </c>
      <c r="B661" s="33" t="s">
        <v>1707</v>
      </c>
      <c r="C661" s="33">
        <v>100</v>
      </c>
      <c r="D661" s="33">
        <v>263</v>
      </c>
      <c r="E661" s="33">
        <v>57.8</v>
      </c>
      <c r="F661" s="48">
        <v>15.2</v>
      </c>
      <c r="G661" s="48">
        <v>19.899999999999999</v>
      </c>
      <c r="H661" s="32"/>
      <c r="I661" s="48">
        <v>5.7</v>
      </c>
      <c r="J661" s="33">
        <v>179</v>
      </c>
      <c r="K661" s="33">
        <v>7.0000000000000007E-2</v>
      </c>
      <c r="L661" s="33">
        <v>0.36</v>
      </c>
      <c r="M661" s="33">
        <v>0.1</v>
      </c>
      <c r="N661" s="33">
        <v>7.64</v>
      </c>
      <c r="O661" s="33">
        <v>57.2</v>
      </c>
      <c r="P661" s="33">
        <v>107</v>
      </c>
      <c r="Q661" s="33">
        <v>0.5</v>
      </c>
      <c r="R661" s="33" t="s">
        <v>973</v>
      </c>
      <c r="S661" s="32"/>
      <c r="T661" s="33">
        <v>25</v>
      </c>
      <c r="U661" s="35">
        <v>2057</v>
      </c>
    </row>
    <row r="662" spans="1:21">
      <c r="A662" s="50" t="s">
        <v>986</v>
      </c>
      <c r="B662" s="33" t="s">
        <v>1618</v>
      </c>
      <c r="C662" s="33">
        <v>100</v>
      </c>
      <c r="D662" s="33">
        <v>644</v>
      </c>
      <c r="E662" s="33">
        <v>4.5999999999999996</v>
      </c>
      <c r="F662" s="48">
        <v>31.6</v>
      </c>
      <c r="G662" s="48">
        <v>55.1</v>
      </c>
      <c r="H662" s="32"/>
      <c r="I662" s="48">
        <v>5.3</v>
      </c>
      <c r="J662" s="33">
        <v>776</v>
      </c>
      <c r="K662" s="32"/>
      <c r="L662" s="33">
        <v>0.25</v>
      </c>
      <c r="M662" s="32"/>
      <c r="N662" s="33">
        <v>14.43</v>
      </c>
      <c r="O662" s="33">
        <v>89.8</v>
      </c>
      <c r="P662" s="33">
        <v>266</v>
      </c>
      <c r="Q662" s="33">
        <v>10.6</v>
      </c>
      <c r="R662" s="33" t="s">
        <v>973</v>
      </c>
      <c r="S662" s="32"/>
      <c r="T662" s="33">
        <v>25</v>
      </c>
      <c r="U662" s="35">
        <v>2850</v>
      </c>
    </row>
    <row r="663" spans="1:21">
      <c r="A663" s="50" t="s">
        <v>987</v>
      </c>
      <c r="B663" s="32"/>
      <c r="C663" s="33">
        <v>83</v>
      </c>
      <c r="D663" s="33">
        <v>178</v>
      </c>
      <c r="E663" s="33">
        <v>66.400000000000006</v>
      </c>
      <c r="F663" s="48">
        <v>14.8</v>
      </c>
      <c r="G663" s="48">
        <v>10.6</v>
      </c>
      <c r="H663" s="32"/>
      <c r="I663" s="48">
        <v>5.8</v>
      </c>
      <c r="J663" s="33">
        <v>310</v>
      </c>
      <c r="K663" s="33">
        <v>0.02</v>
      </c>
      <c r="L663" s="33">
        <v>0.13</v>
      </c>
      <c r="M663" s="33">
        <v>0.2</v>
      </c>
      <c r="N663" s="33">
        <v>1.06</v>
      </c>
      <c r="O663" s="32"/>
      <c r="P663" s="33">
        <v>26</v>
      </c>
      <c r="Q663" s="33">
        <v>3.9</v>
      </c>
      <c r="R663" s="33" t="s">
        <v>973</v>
      </c>
      <c r="S663" s="32"/>
      <c r="T663" s="33">
        <v>25</v>
      </c>
      <c r="U663" s="35">
        <v>595</v>
      </c>
    </row>
    <row r="664" spans="1:21">
      <c r="A664" s="50" t="s">
        <v>988</v>
      </c>
      <c r="B664" s="32"/>
      <c r="C664" s="33">
        <v>90</v>
      </c>
      <c r="D664" s="33">
        <v>171</v>
      </c>
      <c r="E664" s="33">
        <v>68.400000000000006</v>
      </c>
      <c r="F664" s="48">
        <v>14.2</v>
      </c>
      <c r="G664" s="48">
        <v>10.7</v>
      </c>
      <c r="H664" s="32"/>
      <c r="I664" s="48">
        <v>4.5</v>
      </c>
      <c r="J664" s="33">
        <v>215</v>
      </c>
      <c r="K664" s="33">
        <v>0.06</v>
      </c>
      <c r="L664" s="33">
        <v>0.18</v>
      </c>
      <c r="M664" s="33">
        <v>0.1</v>
      </c>
      <c r="N664" s="33">
        <v>3.05</v>
      </c>
      <c r="O664" s="33">
        <v>542.70000000000005</v>
      </c>
      <c r="P664" s="33">
        <v>63</v>
      </c>
      <c r="Q664" s="33">
        <v>3.3</v>
      </c>
      <c r="R664" s="33" t="s">
        <v>973</v>
      </c>
      <c r="S664" s="32"/>
      <c r="T664" s="33">
        <v>25</v>
      </c>
      <c r="U664" s="35">
        <v>608</v>
      </c>
    </row>
    <row r="665" spans="1:21">
      <c r="A665" s="50" t="s">
        <v>989</v>
      </c>
      <c r="B665" s="32"/>
      <c r="C665" s="33">
        <v>87</v>
      </c>
      <c r="D665" s="33">
        <v>180</v>
      </c>
      <c r="E665" s="33">
        <v>70.3</v>
      </c>
      <c r="F665" s="48">
        <v>12.6</v>
      </c>
      <c r="G665" s="48">
        <v>13</v>
      </c>
      <c r="H665" s="32"/>
      <c r="I665" s="48">
        <v>3.1</v>
      </c>
      <c r="J665" s="33">
        <v>261</v>
      </c>
      <c r="K665" s="33">
        <v>0.17</v>
      </c>
      <c r="L665" s="33">
        <v>0.35</v>
      </c>
      <c r="M665" s="33">
        <v>0.2</v>
      </c>
      <c r="N665" s="33">
        <v>4.9800000000000004</v>
      </c>
      <c r="O665" s="33">
        <v>106</v>
      </c>
      <c r="P665" s="33">
        <v>62</v>
      </c>
      <c r="Q665" s="33">
        <v>2.9</v>
      </c>
      <c r="R665" s="33" t="s">
        <v>973</v>
      </c>
      <c r="S665" s="32"/>
      <c r="T665" s="33">
        <v>25</v>
      </c>
      <c r="U665" s="35">
        <v>565</v>
      </c>
    </row>
    <row r="666" spans="1:21">
      <c r="A666" s="50" t="s">
        <v>990</v>
      </c>
      <c r="B666" s="33" t="s">
        <v>1713</v>
      </c>
      <c r="C666" s="33">
        <v>65</v>
      </c>
      <c r="D666" s="33">
        <v>84</v>
      </c>
      <c r="E666" s="33">
        <v>77.5</v>
      </c>
      <c r="F666" s="48">
        <v>12.6</v>
      </c>
      <c r="G666" s="48">
        <v>0.8</v>
      </c>
      <c r="H666" s="32"/>
      <c r="I666" s="48">
        <v>6.6</v>
      </c>
      <c r="J666" s="33">
        <v>24</v>
      </c>
      <c r="K666" s="33">
        <v>0.01</v>
      </c>
      <c r="L666" s="33">
        <v>0.16</v>
      </c>
      <c r="M666" s="33">
        <v>0.2</v>
      </c>
      <c r="N666" s="33">
        <v>2.2000000000000002</v>
      </c>
      <c r="O666" s="33">
        <v>2011.7</v>
      </c>
      <c r="P666" s="33">
        <v>266</v>
      </c>
      <c r="Q666" s="33">
        <v>22.6</v>
      </c>
      <c r="R666" s="33" t="s">
        <v>991</v>
      </c>
      <c r="S666" s="32"/>
      <c r="T666" s="33">
        <v>25</v>
      </c>
      <c r="U666" s="35">
        <v>242</v>
      </c>
    </row>
    <row r="667" spans="1:21">
      <c r="A667" s="50" t="s">
        <v>992</v>
      </c>
      <c r="B667" s="33" t="s">
        <v>1618</v>
      </c>
      <c r="C667" s="33">
        <v>100</v>
      </c>
      <c r="D667" s="33">
        <v>322</v>
      </c>
      <c r="E667" s="33">
        <v>18.3</v>
      </c>
      <c r="F667" s="48">
        <v>54.1</v>
      </c>
      <c r="G667" s="48">
        <v>5.6</v>
      </c>
      <c r="H667" s="32"/>
      <c r="I667" s="48">
        <v>13.7</v>
      </c>
      <c r="J667" s="33">
        <v>28</v>
      </c>
      <c r="K667" s="33">
        <v>0.02</v>
      </c>
      <c r="L667" s="33">
        <v>0.13</v>
      </c>
      <c r="M667" s="33">
        <v>7.2</v>
      </c>
      <c r="N667" s="33">
        <v>0.85</v>
      </c>
      <c r="O667" s="33">
        <v>2316.1999999999998</v>
      </c>
      <c r="P667" s="33">
        <v>143</v>
      </c>
      <c r="Q667" s="33">
        <v>6.8</v>
      </c>
      <c r="R667" s="33" t="s">
        <v>991</v>
      </c>
      <c r="S667" s="32"/>
      <c r="T667" s="33">
        <v>25</v>
      </c>
      <c r="U667" s="49"/>
    </row>
    <row r="668" spans="1:21">
      <c r="A668" s="50" t="s">
        <v>993</v>
      </c>
      <c r="B668" s="33" t="s">
        <v>1714</v>
      </c>
      <c r="C668" s="33">
        <v>100</v>
      </c>
      <c r="D668" s="33">
        <v>340</v>
      </c>
      <c r="E668" s="33">
        <v>12.2</v>
      </c>
      <c r="F668" s="48">
        <v>46.5</v>
      </c>
      <c r="G668" s="48">
        <v>4.9000000000000004</v>
      </c>
      <c r="H668" s="32"/>
      <c r="I668" s="48">
        <v>27.4</v>
      </c>
      <c r="J668" s="33">
        <v>20</v>
      </c>
      <c r="K668" s="33">
        <v>7.0000000000000007E-2</v>
      </c>
      <c r="L668" s="33">
        <v>0.31</v>
      </c>
      <c r="M668" s="33">
        <v>5.0999999999999996</v>
      </c>
      <c r="N668" s="33">
        <v>0.41</v>
      </c>
      <c r="O668" s="33">
        <v>1175</v>
      </c>
      <c r="P668" s="33">
        <v>107</v>
      </c>
      <c r="Q668" s="33">
        <v>88.8</v>
      </c>
      <c r="R668" s="33" t="s">
        <v>991</v>
      </c>
      <c r="S668" s="32"/>
      <c r="T668" s="33">
        <v>25</v>
      </c>
      <c r="U668" s="35">
        <v>469</v>
      </c>
    </row>
    <row r="669" spans="1:21">
      <c r="A669" s="50" t="s">
        <v>994</v>
      </c>
      <c r="B669" s="32"/>
      <c r="C669" s="33">
        <v>57</v>
      </c>
      <c r="D669" s="33">
        <v>40</v>
      </c>
      <c r="E669" s="33">
        <v>88.4</v>
      </c>
      <c r="F669" s="48">
        <v>7.3</v>
      </c>
      <c r="G669" s="48">
        <v>0.3</v>
      </c>
      <c r="H669" s="32"/>
      <c r="I669" s="48">
        <v>2.1</v>
      </c>
      <c r="J669" s="33">
        <v>59</v>
      </c>
      <c r="K669" s="33">
        <v>0.02</v>
      </c>
      <c r="L669" s="33">
        <v>0.12</v>
      </c>
      <c r="M669" s="33">
        <v>1.2</v>
      </c>
      <c r="N669" s="33">
        <v>0.59</v>
      </c>
      <c r="O669" s="33">
        <v>175.9</v>
      </c>
      <c r="P669" s="33">
        <v>134</v>
      </c>
      <c r="Q669" s="33">
        <v>33.6</v>
      </c>
      <c r="R669" s="33" t="s">
        <v>991</v>
      </c>
      <c r="S669" s="32"/>
      <c r="T669" s="33">
        <v>25</v>
      </c>
      <c r="U669" s="35">
        <v>131</v>
      </c>
    </row>
    <row r="670" spans="1:21">
      <c r="A670" s="50" t="s">
        <v>995</v>
      </c>
      <c r="B670" s="32"/>
      <c r="C670" s="33">
        <v>100</v>
      </c>
      <c r="D670" s="33">
        <v>355</v>
      </c>
      <c r="E670" s="33">
        <v>15.6</v>
      </c>
      <c r="F670" s="48">
        <v>47.8</v>
      </c>
      <c r="G670" s="48">
        <v>9.3000000000000007</v>
      </c>
      <c r="H670" s="32"/>
      <c r="I670" s="48">
        <v>20.100000000000001</v>
      </c>
      <c r="J670" s="33">
        <v>36</v>
      </c>
      <c r="K670" s="33">
        <v>0.04</v>
      </c>
      <c r="L670" s="33">
        <v>0.32</v>
      </c>
      <c r="M670" s="33">
        <v>4.3</v>
      </c>
      <c r="N670" s="33">
        <v>7.35</v>
      </c>
      <c r="O670" s="33">
        <v>779</v>
      </c>
      <c r="P670" s="33">
        <v>157</v>
      </c>
      <c r="Q670" s="33">
        <v>12.5</v>
      </c>
      <c r="R670" s="33" t="s">
        <v>991</v>
      </c>
      <c r="S670" s="32"/>
      <c r="T670" s="33">
        <v>25</v>
      </c>
      <c r="U670" s="35">
        <v>493</v>
      </c>
    </row>
    <row r="671" spans="1:21">
      <c r="A671" s="50" t="s">
        <v>996</v>
      </c>
      <c r="B671" s="32"/>
      <c r="C671" s="33">
        <v>49</v>
      </c>
      <c r="D671" s="33">
        <v>80</v>
      </c>
      <c r="E671" s="33">
        <v>79.900000000000006</v>
      </c>
      <c r="F671" s="48">
        <v>11.4</v>
      </c>
      <c r="G671" s="48">
        <v>1.7</v>
      </c>
      <c r="H671" s="32"/>
      <c r="I671" s="48">
        <v>4.7</v>
      </c>
      <c r="J671" s="33">
        <v>73</v>
      </c>
      <c r="K671" s="33">
        <v>0.12</v>
      </c>
      <c r="L671" s="33">
        <v>0.22</v>
      </c>
      <c r="M671" s="33">
        <v>1.8</v>
      </c>
      <c r="N671" s="33">
        <v>14.02</v>
      </c>
      <c r="O671" s="33">
        <v>451.4</v>
      </c>
      <c r="P671" s="33">
        <v>63</v>
      </c>
      <c r="Q671" s="33">
        <v>6.7</v>
      </c>
      <c r="R671" s="33" t="s">
        <v>991</v>
      </c>
      <c r="S671" s="32"/>
      <c r="T671" s="33">
        <v>25</v>
      </c>
      <c r="U671" s="35">
        <v>123</v>
      </c>
    </row>
    <row r="672" spans="1:21">
      <c r="A672" s="50" t="s">
        <v>997</v>
      </c>
      <c r="B672" s="32"/>
      <c r="C672" s="33">
        <v>100</v>
      </c>
      <c r="D672" s="33">
        <v>264</v>
      </c>
      <c r="E672" s="33">
        <v>27.4</v>
      </c>
      <c r="F672" s="48">
        <v>55.6</v>
      </c>
      <c r="G672" s="48">
        <v>2.4</v>
      </c>
      <c r="H672" s="32"/>
      <c r="I672" s="48">
        <v>5.0999999999999996</v>
      </c>
      <c r="J672" s="33">
        <v>11</v>
      </c>
      <c r="K672" s="32"/>
      <c r="L672" s="33">
        <v>0.21</v>
      </c>
      <c r="M672" s="33">
        <v>2.5</v>
      </c>
      <c r="N672" s="33">
        <v>1.53</v>
      </c>
      <c r="O672" s="33">
        <v>306.39999999999998</v>
      </c>
      <c r="P672" s="33">
        <v>77</v>
      </c>
      <c r="Q672" s="33">
        <v>5.6</v>
      </c>
      <c r="R672" s="33" t="s">
        <v>991</v>
      </c>
      <c r="S672" s="32"/>
      <c r="T672" s="33">
        <v>25</v>
      </c>
      <c r="U672" s="35">
        <v>348</v>
      </c>
    </row>
    <row r="673" spans="1:21">
      <c r="A673" s="50" t="s">
        <v>998</v>
      </c>
      <c r="B673" s="33" t="s">
        <v>1713</v>
      </c>
      <c r="C673" s="33">
        <v>100</v>
      </c>
      <c r="D673" s="33">
        <v>66</v>
      </c>
      <c r="E673" s="33">
        <v>85.6</v>
      </c>
      <c r="F673" s="48">
        <v>8.4</v>
      </c>
      <c r="G673" s="48">
        <v>2.2999999999999998</v>
      </c>
      <c r="H673" s="32"/>
      <c r="I673" s="48">
        <v>2.9</v>
      </c>
      <c r="J673" s="32"/>
      <c r="K673" s="33">
        <v>0.03</v>
      </c>
      <c r="L673" s="33">
        <v>7.0000000000000007E-2</v>
      </c>
      <c r="M673" s="33">
        <v>1.7</v>
      </c>
      <c r="N673" s="33">
        <v>7.66</v>
      </c>
      <c r="O673" s="33">
        <v>194</v>
      </c>
      <c r="P673" s="33">
        <v>167</v>
      </c>
      <c r="Q673" s="33">
        <v>5.4</v>
      </c>
      <c r="R673" s="33" t="s">
        <v>991</v>
      </c>
      <c r="S673" s="32"/>
      <c r="T673" s="33">
        <v>25</v>
      </c>
      <c r="U673" s="49"/>
    </row>
    <row r="674" spans="1:21">
      <c r="A674" s="50" t="s">
        <v>999</v>
      </c>
      <c r="B674" s="32"/>
      <c r="C674" s="33">
        <v>93</v>
      </c>
      <c r="D674" s="33">
        <v>262</v>
      </c>
      <c r="E674" s="33">
        <v>18.899999999999999</v>
      </c>
      <c r="F674" s="48">
        <v>50.2</v>
      </c>
      <c r="G674" s="48">
        <v>4.8</v>
      </c>
      <c r="H674" s="32"/>
      <c r="I674" s="48">
        <v>4.5</v>
      </c>
      <c r="J674" s="33">
        <v>39</v>
      </c>
      <c r="K674" s="33">
        <v>0.04</v>
      </c>
      <c r="L674" s="33">
        <v>0.13</v>
      </c>
      <c r="M674" s="33">
        <v>1.3</v>
      </c>
      <c r="N674" s="32"/>
      <c r="O674" s="33">
        <v>4967.8</v>
      </c>
      <c r="P674" s="32"/>
      <c r="Q674" s="33">
        <v>9</v>
      </c>
      <c r="R674" s="33" t="s">
        <v>991</v>
      </c>
      <c r="S674" s="32"/>
      <c r="T674" s="33">
        <v>25</v>
      </c>
      <c r="U674" s="35">
        <v>62</v>
      </c>
    </row>
    <row r="675" spans="1:21">
      <c r="A675" s="50" t="s">
        <v>1000</v>
      </c>
      <c r="B675" s="32"/>
      <c r="C675" s="33">
        <v>100</v>
      </c>
      <c r="D675" s="33">
        <v>24</v>
      </c>
      <c r="E675" s="33">
        <v>93.5</v>
      </c>
      <c r="F675" s="48">
        <v>6</v>
      </c>
      <c r="G675" s="48">
        <v>0.1</v>
      </c>
      <c r="H675" s="32"/>
      <c r="I675" s="48">
        <v>0</v>
      </c>
      <c r="J675" s="33">
        <v>11</v>
      </c>
      <c r="K675" s="32"/>
      <c r="L675" s="33">
        <v>0.03</v>
      </c>
      <c r="M675" s="33">
        <v>0.3</v>
      </c>
      <c r="N675" s="32"/>
      <c r="O675" s="33">
        <v>80.900000000000006</v>
      </c>
      <c r="P675" s="33">
        <v>240</v>
      </c>
      <c r="Q675" s="33">
        <v>0.6</v>
      </c>
      <c r="R675" s="33" t="s">
        <v>991</v>
      </c>
      <c r="S675" s="32"/>
      <c r="T675" s="33">
        <v>25</v>
      </c>
      <c r="U675" s="35">
        <v>51</v>
      </c>
    </row>
    <row r="676" spans="1:21">
      <c r="A676" s="50" t="s">
        <v>1001</v>
      </c>
      <c r="B676" s="33" t="s">
        <v>1713</v>
      </c>
      <c r="C676" s="33">
        <v>100</v>
      </c>
      <c r="D676" s="33">
        <v>71</v>
      </c>
      <c r="E676" s="33">
        <v>77.099999999999994</v>
      </c>
      <c r="F676" s="48">
        <v>16.5</v>
      </c>
      <c r="G676" s="48">
        <v>0.2</v>
      </c>
      <c r="H676" s="32"/>
      <c r="I676" s="48">
        <v>0.9</v>
      </c>
      <c r="J676" s="32"/>
      <c r="K676" s="33">
        <v>0.03</v>
      </c>
      <c r="L676" s="33">
        <v>0.04</v>
      </c>
      <c r="M676" s="33">
        <v>0.1</v>
      </c>
      <c r="N676" s="33">
        <v>3.14</v>
      </c>
      <c r="O676" s="33">
        <v>502.9</v>
      </c>
      <c r="P676" s="33">
        <v>285</v>
      </c>
      <c r="Q676" s="33">
        <v>13.2</v>
      </c>
      <c r="R676" s="33" t="s">
        <v>991</v>
      </c>
      <c r="S676" s="32"/>
      <c r="T676" s="33">
        <v>25</v>
      </c>
      <c r="U676" s="35">
        <v>51</v>
      </c>
    </row>
    <row r="677" spans="1:21">
      <c r="A677" s="50" t="s">
        <v>1002</v>
      </c>
      <c r="B677" s="32"/>
      <c r="C677" s="33">
        <v>100</v>
      </c>
      <c r="D677" s="33">
        <v>33</v>
      </c>
      <c r="E677" s="33">
        <v>76.5</v>
      </c>
      <c r="F677" s="48">
        <v>3.7</v>
      </c>
      <c r="G677" s="48">
        <v>0.3</v>
      </c>
      <c r="H677" s="32"/>
      <c r="I677" s="48">
        <v>3.8</v>
      </c>
      <c r="J677" s="32"/>
      <c r="K677" s="33">
        <v>0.03</v>
      </c>
      <c r="L677" s="33">
        <v>0.05</v>
      </c>
      <c r="M677" s="33">
        <v>0.2</v>
      </c>
      <c r="N677" s="33">
        <v>2.13</v>
      </c>
      <c r="O677" s="33">
        <v>325</v>
      </c>
      <c r="P677" s="33">
        <v>150</v>
      </c>
      <c r="Q677" s="33">
        <v>4.8</v>
      </c>
      <c r="R677" s="33" t="s">
        <v>991</v>
      </c>
      <c r="S677" s="32"/>
      <c r="T677" s="33">
        <v>25</v>
      </c>
      <c r="U677" s="35">
        <v>8</v>
      </c>
    </row>
    <row r="678" spans="1:21">
      <c r="A678" s="50" t="s">
        <v>1003</v>
      </c>
      <c r="B678" s="32"/>
      <c r="C678" s="33">
        <v>100</v>
      </c>
      <c r="D678" s="33">
        <v>74</v>
      </c>
      <c r="E678" s="33">
        <v>69</v>
      </c>
      <c r="F678" s="48">
        <v>6</v>
      </c>
      <c r="G678" s="48">
        <v>0.3</v>
      </c>
      <c r="H678" s="32"/>
      <c r="I678" s="48">
        <v>11.8</v>
      </c>
      <c r="J678" s="33">
        <v>14</v>
      </c>
      <c r="K678" s="33">
        <v>7.0000000000000007E-2</v>
      </c>
      <c r="L678" s="33">
        <v>0.04</v>
      </c>
      <c r="M678" s="33">
        <v>0.3</v>
      </c>
      <c r="N678" s="33">
        <v>2.82</v>
      </c>
      <c r="O678" s="33">
        <v>467.7</v>
      </c>
      <c r="P678" s="33">
        <v>120</v>
      </c>
      <c r="Q678" s="33">
        <v>5.0999999999999996</v>
      </c>
      <c r="R678" s="33" t="s">
        <v>991</v>
      </c>
      <c r="S678" s="32"/>
      <c r="T678" s="33">
        <v>25</v>
      </c>
      <c r="U678" s="35">
        <v>10</v>
      </c>
    </row>
    <row r="679" spans="1:21">
      <c r="A679" s="50" t="s">
        <v>1004</v>
      </c>
      <c r="B679" s="33" t="s">
        <v>1666</v>
      </c>
      <c r="C679" s="33">
        <v>45</v>
      </c>
      <c r="D679" s="33">
        <v>31</v>
      </c>
      <c r="E679" s="33">
        <v>91</v>
      </c>
      <c r="F679" s="48">
        <v>5.8</v>
      </c>
      <c r="G679" s="48">
        <v>0.4</v>
      </c>
      <c r="H679" s="32"/>
      <c r="I679" s="48">
        <v>1.1000000000000001</v>
      </c>
      <c r="J679" s="33">
        <v>19</v>
      </c>
      <c r="K679" s="33">
        <v>0.01</v>
      </c>
      <c r="L679" s="33">
        <v>0.1</v>
      </c>
      <c r="M679" s="33">
        <v>0.5</v>
      </c>
      <c r="N679" s="33">
        <v>0.86</v>
      </c>
      <c r="O679" s="33">
        <v>317.3</v>
      </c>
      <c r="P679" s="33">
        <v>138</v>
      </c>
      <c r="Q679" s="33">
        <v>2.9</v>
      </c>
      <c r="R679" s="33" t="s">
        <v>991</v>
      </c>
      <c r="S679" s="32"/>
      <c r="T679" s="33">
        <v>25</v>
      </c>
      <c r="U679" s="35">
        <v>156</v>
      </c>
    </row>
    <row r="680" spans="1:21">
      <c r="A680" s="50" t="s">
        <v>1005</v>
      </c>
      <c r="B680" s="33" t="s">
        <v>1666</v>
      </c>
      <c r="C680" s="33">
        <v>46</v>
      </c>
      <c r="D680" s="33">
        <v>45</v>
      </c>
      <c r="E680" s="33">
        <v>87.2</v>
      </c>
      <c r="F680" s="48">
        <v>7.7</v>
      </c>
      <c r="G680" s="48">
        <v>0.6</v>
      </c>
      <c r="H680" s="32"/>
      <c r="I680" s="48">
        <v>2.2000000000000002</v>
      </c>
      <c r="J680" s="33">
        <v>23</v>
      </c>
      <c r="K680" s="32"/>
      <c r="L680" s="33">
        <v>0.13</v>
      </c>
      <c r="M680" s="33">
        <v>1.9</v>
      </c>
      <c r="N680" s="33">
        <v>0.51</v>
      </c>
      <c r="O680" s="33">
        <v>309</v>
      </c>
      <c r="P680" s="33">
        <v>59</v>
      </c>
      <c r="Q680" s="33">
        <v>6.1</v>
      </c>
      <c r="R680" s="33" t="s">
        <v>991</v>
      </c>
      <c r="S680" s="32"/>
      <c r="T680" s="33">
        <v>25</v>
      </c>
      <c r="U680" s="35">
        <v>63</v>
      </c>
    </row>
    <row r="681" spans="1:21">
      <c r="A681" s="50" t="s">
        <v>1006</v>
      </c>
      <c r="B681" s="33" t="s">
        <v>1637</v>
      </c>
      <c r="C681" s="33">
        <v>25</v>
      </c>
      <c r="D681" s="33">
        <v>97</v>
      </c>
      <c r="E681" s="33">
        <v>75.599999999999994</v>
      </c>
      <c r="F681" s="48">
        <v>15</v>
      </c>
      <c r="G681" s="48">
        <v>1</v>
      </c>
      <c r="H681" s="32"/>
      <c r="I681" s="48">
        <v>7.1</v>
      </c>
      <c r="J681" s="32"/>
      <c r="K681" s="33">
        <v>0.01</v>
      </c>
      <c r="L681" s="33">
        <v>0.14000000000000001</v>
      </c>
      <c r="M681" s="33">
        <v>1.4</v>
      </c>
      <c r="N681" s="33">
        <v>3.54</v>
      </c>
      <c r="O681" s="33">
        <v>363</v>
      </c>
      <c r="P681" s="33">
        <v>137</v>
      </c>
      <c r="Q681" s="33">
        <v>15.3</v>
      </c>
      <c r="R681" s="33" t="s">
        <v>991</v>
      </c>
      <c r="S681" s="32"/>
      <c r="T681" s="33">
        <v>25</v>
      </c>
      <c r="U681" s="35">
        <v>113</v>
      </c>
    </row>
    <row r="682" spans="1:21">
      <c r="A682" s="50" t="s">
        <v>1007</v>
      </c>
      <c r="B682" s="33" t="s">
        <v>1637</v>
      </c>
      <c r="C682" s="33">
        <v>26</v>
      </c>
      <c r="D682" s="33">
        <v>89</v>
      </c>
      <c r="E682" s="33">
        <v>76.400000000000006</v>
      </c>
      <c r="F682" s="48">
        <v>15.6</v>
      </c>
      <c r="G682" s="48">
        <v>0.7</v>
      </c>
      <c r="H682" s="32"/>
      <c r="I682" s="48">
        <v>5</v>
      </c>
      <c r="J682" s="32"/>
      <c r="K682" s="33">
        <v>0.03</v>
      </c>
      <c r="L682" s="33">
        <v>0.2</v>
      </c>
      <c r="M682" s="33">
        <v>1.8</v>
      </c>
      <c r="N682" s="33">
        <v>17.899999999999999</v>
      </c>
      <c r="O682" s="33">
        <v>492.3</v>
      </c>
      <c r="P682" s="33">
        <v>177</v>
      </c>
      <c r="Q682" s="33">
        <v>22</v>
      </c>
      <c r="R682" s="33" t="s">
        <v>991</v>
      </c>
      <c r="S682" s="32"/>
      <c r="T682" s="33">
        <v>25</v>
      </c>
      <c r="U682" s="35">
        <v>180</v>
      </c>
    </row>
    <row r="683" spans="1:21">
      <c r="A683" s="50" t="s">
        <v>1008</v>
      </c>
      <c r="B683" s="33" t="s">
        <v>1713</v>
      </c>
      <c r="C683" s="33">
        <v>50</v>
      </c>
      <c r="D683" s="33">
        <v>56</v>
      </c>
      <c r="E683" s="33">
        <v>86.6</v>
      </c>
      <c r="F683" s="48">
        <v>8.9</v>
      </c>
      <c r="G683" s="48">
        <v>1.9</v>
      </c>
      <c r="H683" s="32"/>
      <c r="I683" s="48">
        <v>0.8</v>
      </c>
      <c r="J683" s="32"/>
      <c r="K683" s="33">
        <v>0.01</v>
      </c>
      <c r="L683" s="33">
        <v>0.01</v>
      </c>
      <c r="M683" s="33">
        <v>1.7</v>
      </c>
      <c r="N683" s="33">
        <v>2.2599999999999998</v>
      </c>
      <c r="O683" s="33">
        <v>577.70000000000005</v>
      </c>
      <c r="P683" s="33">
        <v>111</v>
      </c>
      <c r="Q683" s="33">
        <v>6.5</v>
      </c>
      <c r="R683" s="33" t="s">
        <v>991</v>
      </c>
      <c r="S683" s="32"/>
      <c r="T683" s="33">
        <v>25</v>
      </c>
      <c r="U683" s="35">
        <v>74</v>
      </c>
    </row>
    <row r="684" spans="1:21">
      <c r="A684" s="50" t="s">
        <v>1009</v>
      </c>
      <c r="B684" s="33" t="s">
        <v>1713</v>
      </c>
      <c r="C684" s="33">
        <v>40</v>
      </c>
      <c r="D684" s="33">
        <v>53</v>
      </c>
      <c r="E684" s="33">
        <v>87.7</v>
      </c>
      <c r="F684" s="48">
        <v>7.5</v>
      </c>
      <c r="G684" s="48">
        <v>2.2000000000000002</v>
      </c>
      <c r="H684" s="32"/>
      <c r="I684" s="48">
        <v>0.8</v>
      </c>
      <c r="J684" s="32"/>
      <c r="K684" s="33">
        <v>0.01</v>
      </c>
      <c r="L684" s="33">
        <v>0.21</v>
      </c>
      <c r="M684" s="33">
        <v>1.5</v>
      </c>
      <c r="N684" s="33">
        <v>3.86</v>
      </c>
      <c r="O684" s="33">
        <v>494.6</v>
      </c>
      <c r="P684" s="33">
        <v>177</v>
      </c>
      <c r="Q684" s="33">
        <v>12.7</v>
      </c>
      <c r="R684" s="33" t="s">
        <v>991</v>
      </c>
      <c r="S684" s="32"/>
      <c r="T684" s="33">
        <v>25</v>
      </c>
      <c r="U684" s="35">
        <v>106</v>
      </c>
    </row>
    <row r="685" spans="1:21">
      <c r="A685" s="50" t="s">
        <v>1010</v>
      </c>
      <c r="B685" s="33" t="s">
        <v>1669</v>
      </c>
      <c r="C685" s="33">
        <v>27</v>
      </c>
      <c r="D685" s="33">
        <v>71</v>
      </c>
      <c r="E685" s="33">
        <v>82.7</v>
      </c>
      <c r="F685" s="48">
        <v>12.2</v>
      </c>
      <c r="G685" s="48">
        <v>1.4</v>
      </c>
      <c r="H685" s="32"/>
      <c r="I685" s="48">
        <v>2.2999999999999998</v>
      </c>
      <c r="J685" s="32"/>
      <c r="K685" s="32"/>
      <c r="L685" s="33">
        <v>0.06</v>
      </c>
      <c r="M685" s="33">
        <v>0.9</v>
      </c>
      <c r="N685" s="33">
        <v>0.55000000000000004</v>
      </c>
      <c r="O685" s="33">
        <v>280.10000000000002</v>
      </c>
      <c r="P685" s="33">
        <v>49</v>
      </c>
      <c r="Q685" s="33">
        <v>7.3</v>
      </c>
      <c r="R685" s="33" t="s">
        <v>991</v>
      </c>
      <c r="S685" s="32"/>
      <c r="T685" s="33">
        <v>25</v>
      </c>
      <c r="U685" s="35">
        <v>89</v>
      </c>
    </row>
    <row r="686" spans="1:21">
      <c r="A686" s="50" t="s">
        <v>1011</v>
      </c>
      <c r="B686" s="33" t="s">
        <v>1627</v>
      </c>
      <c r="C686" s="33">
        <v>23</v>
      </c>
      <c r="D686" s="33">
        <v>36</v>
      </c>
      <c r="E686" s="33">
        <v>89.8</v>
      </c>
      <c r="F686" s="48">
        <v>6.8</v>
      </c>
      <c r="G686" s="48">
        <v>0.6</v>
      </c>
      <c r="H686" s="32"/>
      <c r="I686" s="48">
        <v>0.8</v>
      </c>
      <c r="J686" s="33">
        <v>202</v>
      </c>
      <c r="K686" s="33">
        <v>0.01</v>
      </c>
      <c r="L686" s="33">
        <v>0.13</v>
      </c>
      <c r="M686" s="33">
        <v>1</v>
      </c>
      <c r="N686" s="33">
        <v>1.36</v>
      </c>
      <c r="O686" s="33">
        <v>28.7</v>
      </c>
      <c r="P686" s="33">
        <v>306</v>
      </c>
      <c r="Q686" s="33">
        <v>3.1</v>
      </c>
      <c r="R686" s="33" t="s">
        <v>991</v>
      </c>
      <c r="S686" s="32"/>
      <c r="T686" s="33">
        <v>25</v>
      </c>
      <c r="U686" s="35">
        <v>57</v>
      </c>
    </row>
    <row r="687" spans="1:21">
      <c r="A687" s="50" t="s">
        <v>1012</v>
      </c>
      <c r="B687" s="33" t="s">
        <v>1635</v>
      </c>
      <c r="C687" s="33">
        <v>35</v>
      </c>
      <c r="D687" s="33">
        <v>47</v>
      </c>
      <c r="E687" s="33">
        <v>88.5</v>
      </c>
      <c r="F687" s="48">
        <v>7</v>
      </c>
      <c r="G687" s="48">
        <v>1.4</v>
      </c>
      <c r="H687" s="32"/>
      <c r="I687" s="48">
        <v>1.7</v>
      </c>
      <c r="J687" s="33">
        <v>37</v>
      </c>
      <c r="K687" s="33">
        <v>0.08</v>
      </c>
      <c r="L687" s="33">
        <v>0.13</v>
      </c>
      <c r="M687" s="33">
        <v>1.4</v>
      </c>
      <c r="N687" s="33">
        <v>0.38</v>
      </c>
      <c r="O687" s="33">
        <v>18.399999999999999</v>
      </c>
      <c r="P687" s="33">
        <v>39</v>
      </c>
      <c r="Q687" s="33">
        <v>11.4</v>
      </c>
      <c r="R687" s="33" t="s">
        <v>991</v>
      </c>
      <c r="S687" s="32"/>
      <c r="T687" s="33">
        <v>25</v>
      </c>
      <c r="U687" s="35">
        <v>257</v>
      </c>
    </row>
    <row r="688" spans="1:21">
      <c r="A688" s="50" t="s">
        <v>1013</v>
      </c>
      <c r="B688" s="33" t="s">
        <v>1635</v>
      </c>
      <c r="C688" s="33">
        <v>43</v>
      </c>
      <c r="D688" s="33">
        <v>106</v>
      </c>
      <c r="E688" s="33">
        <v>70.7</v>
      </c>
      <c r="F688" s="48">
        <v>19.8</v>
      </c>
      <c r="G688" s="48">
        <v>1</v>
      </c>
      <c r="H688" s="32"/>
      <c r="I688" s="48">
        <v>4.5</v>
      </c>
      <c r="J688" s="33">
        <v>2</v>
      </c>
      <c r="K688" s="33">
        <v>0.06</v>
      </c>
      <c r="L688" s="33">
        <v>1.02</v>
      </c>
      <c r="M688" s="33">
        <v>2.1</v>
      </c>
      <c r="N688" s="33">
        <v>0.33</v>
      </c>
      <c r="O688" s="33">
        <v>129.4</v>
      </c>
      <c r="P688" s="33">
        <v>55</v>
      </c>
      <c r="Q688" s="33">
        <v>3.3</v>
      </c>
      <c r="R688" s="33" t="s">
        <v>991</v>
      </c>
      <c r="S688" s="32"/>
      <c r="T688" s="33">
        <v>25</v>
      </c>
      <c r="U688" s="49"/>
    </row>
    <row r="689" spans="1:21">
      <c r="A689" s="50" t="s">
        <v>1014</v>
      </c>
      <c r="B689" s="33" t="s">
        <v>1713</v>
      </c>
      <c r="C689" s="33">
        <v>55</v>
      </c>
      <c r="D689" s="33">
        <v>119</v>
      </c>
      <c r="E689" s="33">
        <v>68.7</v>
      </c>
      <c r="F689" s="48">
        <v>20.2</v>
      </c>
      <c r="G689" s="48">
        <v>0.9</v>
      </c>
      <c r="H689" s="32"/>
      <c r="I689" s="48">
        <v>7.6</v>
      </c>
      <c r="J689" s="33">
        <v>50</v>
      </c>
      <c r="K689" s="32"/>
      <c r="L689" s="33">
        <v>0.46</v>
      </c>
      <c r="M689" s="33">
        <v>0.2</v>
      </c>
      <c r="N689" s="33">
        <v>20.7</v>
      </c>
      <c r="O689" s="33">
        <v>219.6</v>
      </c>
      <c r="P689" s="33">
        <v>539</v>
      </c>
      <c r="Q689" s="33">
        <v>5.3</v>
      </c>
      <c r="R689" s="33" t="s">
        <v>991</v>
      </c>
      <c r="S689" s="32"/>
      <c r="T689" s="33">
        <v>25</v>
      </c>
      <c r="U689" s="49"/>
    </row>
    <row r="690" spans="1:21">
      <c r="A690" s="50" t="s">
        <v>1015</v>
      </c>
      <c r="B690" s="33" t="s">
        <v>1689</v>
      </c>
      <c r="C690" s="33">
        <v>37</v>
      </c>
      <c r="D690" s="33">
        <v>59</v>
      </c>
      <c r="E690" s="33">
        <v>83.3</v>
      </c>
      <c r="F690" s="48">
        <v>7.5</v>
      </c>
      <c r="G690" s="48">
        <v>0.6</v>
      </c>
      <c r="H690" s="32"/>
      <c r="I690" s="48">
        <v>6</v>
      </c>
      <c r="J690" s="32"/>
      <c r="K690" s="32"/>
      <c r="L690" s="33">
        <v>0.28000000000000003</v>
      </c>
      <c r="M690" s="33">
        <v>2</v>
      </c>
      <c r="N690" s="33">
        <v>0.43</v>
      </c>
      <c r="O690" s="33">
        <v>252.6</v>
      </c>
      <c r="P690" s="33">
        <v>156</v>
      </c>
      <c r="Q690" s="33">
        <v>1.4</v>
      </c>
      <c r="R690" s="33" t="s">
        <v>991</v>
      </c>
      <c r="S690" s="32"/>
      <c r="T690" s="33">
        <v>25</v>
      </c>
      <c r="U690" s="35">
        <v>86</v>
      </c>
    </row>
    <row r="691" spans="1:21">
      <c r="A691" s="50" t="s">
        <v>1016</v>
      </c>
      <c r="B691" s="33" t="s">
        <v>1628</v>
      </c>
      <c r="C691" s="33">
        <v>27</v>
      </c>
      <c r="D691" s="33">
        <v>91</v>
      </c>
      <c r="E691" s="33">
        <v>75.2</v>
      </c>
      <c r="F691" s="48">
        <v>12.8</v>
      </c>
      <c r="G691" s="48">
        <v>0.7</v>
      </c>
      <c r="H691" s="32"/>
      <c r="I691" s="48">
        <v>8.1999999999999993</v>
      </c>
      <c r="J691" s="32"/>
      <c r="K691" s="33">
        <v>0.02</v>
      </c>
      <c r="L691" s="33">
        <v>0.2</v>
      </c>
      <c r="M691" s="33">
        <v>0.7</v>
      </c>
      <c r="N691" s="33">
        <v>1.57</v>
      </c>
      <c r="O691" s="33">
        <v>13</v>
      </c>
      <c r="P691" s="33">
        <v>2458</v>
      </c>
      <c r="Q691" s="33">
        <v>9</v>
      </c>
      <c r="R691" s="33" t="s">
        <v>991</v>
      </c>
      <c r="S691" s="32"/>
      <c r="T691" s="33">
        <v>25</v>
      </c>
      <c r="U691" s="35">
        <v>198</v>
      </c>
    </row>
    <row r="692" spans="1:21">
      <c r="A692" s="50" t="s">
        <v>1017</v>
      </c>
      <c r="B692" s="33" t="s">
        <v>1627</v>
      </c>
      <c r="C692" s="33">
        <v>26</v>
      </c>
      <c r="D692" s="33">
        <v>60</v>
      </c>
      <c r="E692" s="33">
        <v>82</v>
      </c>
      <c r="F692" s="48">
        <v>11</v>
      </c>
      <c r="G692" s="48">
        <v>0.2</v>
      </c>
      <c r="H692" s="32"/>
      <c r="I692" s="48">
        <v>3.6</v>
      </c>
      <c r="J692" s="32"/>
      <c r="K692" s="33">
        <v>0.02</v>
      </c>
      <c r="L692" s="33">
        <v>0.19</v>
      </c>
      <c r="M692" s="33">
        <v>2.2000000000000002</v>
      </c>
      <c r="N692" s="33">
        <v>0.75</v>
      </c>
      <c r="O692" s="33">
        <v>26</v>
      </c>
      <c r="P692" s="32"/>
      <c r="Q692" s="33">
        <v>19.7</v>
      </c>
      <c r="R692" s="33" t="s">
        <v>991</v>
      </c>
      <c r="S692" s="32"/>
      <c r="T692" s="33">
        <v>25</v>
      </c>
      <c r="U692" s="35">
        <v>154</v>
      </c>
    </row>
    <row r="693" spans="1:21">
      <c r="A693" s="50" t="s">
        <v>1018</v>
      </c>
      <c r="B693" s="33" t="s">
        <v>1637</v>
      </c>
      <c r="C693" s="33">
        <v>59</v>
      </c>
      <c r="D693" s="33">
        <v>163</v>
      </c>
      <c r="E693" s="33">
        <v>61.6</v>
      </c>
      <c r="F693" s="48">
        <v>22.7</v>
      </c>
      <c r="G693" s="48">
        <v>3.5</v>
      </c>
      <c r="H693" s="32"/>
      <c r="I693" s="48">
        <v>10.1</v>
      </c>
      <c r="J693" s="32"/>
      <c r="K693" s="32"/>
      <c r="L693" s="33">
        <v>0.24</v>
      </c>
      <c r="M693" s="33">
        <v>3.3</v>
      </c>
      <c r="N693" s="33">
        <v>7.17</v>
      </c>
      <c r="O693" s="33">
        <v>278.89999999999998</v>
      </c>
      <c r="P693" s="33">
        <v>91</v>
      </c>
      <c r="Q693" s="33">
        <v>3.2</v>
      </c>
      <c r="R693" s="33" t="s">
        <v>991</v>
      </c>
      <c r="S693" s="32"/>
      <c r="T693" s="33">
        <v>25</v>
      </c>
      <c r="U693" s="35">
        <v>195</v>
      </c>
    </row>
    <row r="694" spans="1:21">
      <c r="A694" s="50" t="s">
        <v>1019</v>
      </c>
      <c r="B694" s="32"/>
      <c r="C694" s="33">
        <v>69</v>
      </c>
      <c r="D694" s="33">
        <v>82</v>
      </c>
      <c r="E694" s="33">
        <v>79.2</v>
      </c>
      <c r="F694" s="48">
        <v>15.2</v>
      </c>
      <c r="G694" s="48">
        <v>0.9</v>
      </c>
      <c r="H694" s="32"/>
      <c r="I694" s="48">
        <v>3.4</v>
      </c>
      <c r="J694" s="32"/>
      <c r="K694" s="33">
        <v>0.02</v>
      </c>
      <c r="L694" s="33">
        <v>0.04</v>
      </c>
      <c r="M694" s="33">
        <v>1.8</v>
      </c>
      <c r="N694" s="33">
        <v>1.49</v>
      </c>
      <c r="O694" s="33">
        <v>165.5</v>
      </c>
      <c r="P694" s="33">
        <v>15</v>
      </c>
      <c r="Q694" s="33">
        <v>1</v>
      </c>
      <c r="R694" s="33" t="s">
        <v>991</v>
      </c>
      <c r="S694" s="32"/>
      <c r="T694" s="33">
        <v>25</v>
      </c>
      <c r="U694" s="35">
        <v>226</v>
      </c>
    </row>
    <row r="695" spans="1:21">
      <c r="A695" s="50" t="s">
        <v>1020</v>
      </c>
      <c r="B695" s="33" t="s">
        <v>1667</v>
      </c>
      <c r="C695" s="33">
        <v>82</v>
      </c>
      <c r="D695" s="33">
        <v>287</v>
      </c>
      <c r="E695" s="33">
        <v>24.8</v>
      </c>
      <c r="F695" s="48">
        <v>65.3</v>
      </c>
      <c r="G695" s="48">
        <v>1.9</v>
      </c>
      <c r="H695" s="32"/>
      <c r="I695" s="48">
        <v>2.1</v>
      </c>
      <c r="J695" s="32"/>
      <c r="K695" s="33">
        <v>0.02</v>
      </c>
      <c r="L695" s="33">
        <v>0.05</v>
      </c>
      <c r="M695" s="33">
        <v>3.6</v>
      </c>
      <c r="N695" s="33">
        <v>6.73</v>
      </c>
      <c r="O695" s="33">
        <v>1744</v>
      </c>
      <c r="P695" s="33">
        <v>82</v>
      </c>
      <c r="Q695" s="33">
        <v>23.9</v>
      </c>
      <c r="R695" s="33" t="s">
        <v>991</v>
      </c>
      <c r="S695" s="32"/>
      <c r="T695" s="33">
        <v>25</v>
      </c>
      <c r="U695" s="35">
        <v>316</v>
      </c>
    </row>
    <row r="696" spans="1:21">
      <c r="A696" s="50" t="s">
        <v>1021</v>
      </c>
      <c r="B696" s="32"/>
      <c r="C696" s="33">
        <v>100</v>
      </c>
      <c r="D696" s="33">
        <v>73</v>
      </c>
      <c r="E696" s="33">
        <v>82</v>
      </c>
      <c r="F696" s="48">
        <v>5.3</v>
      </c>
      <c r="G696" s="48">
        <v>2.1</v>
      </c>
      <c r="H696" s="32"/>
      <c r="I696" s="48">
        <v>8.1999999999999993</v>
      </c>
      <c r="J696" s="33">
        <v>27</v>
      </c>
      <c r="K696" s="33">
        <v>0.01</v>
      </c>
      <c r="L696" s="33">
        <v>0.13</v>
      </c>
      <c r="M696" s="33">
        <v>1.4</v>
      </c>
      <c r="N696" s="33">
        <v>0.81</v>
      </c>
      <c r="O696" s="33">
        <v>462.1</v>
      </c>
      <c r="P696" s="33">
        <v>131</v>
      </c>
      <c r="Q696" s="33">
        <v>7.1</v>
      </c>
      <c r="R696" s="33" t="s">
        <v>991</v>
      </c>
      <c r="S696" s="32"/>
      <c r="T696" s="33">
        <v>25</v>
      </c>
      <c r="U696" s="35">
        <v>100</v>
      </c>
    </row>
    <row r="697" spans="1:21">
      <c r="A697" s="50" t="s">
        <v>1022</v>
      </c>
      <c r="B697" s="33" t="s">
        <v>1715</v>
      </c>
      <c r="C697" s="33">
        <v>30</v>
      </c>
      <c r="D697" s="33">
        <v>71</v>
      </c>
      <c r="E697" s="33">
        <v>81.8</v>
      </c>
      <c r="F697" s="48">
        <v>10</v>
      </c>
      <c r="G697" s="48">
        <v>0.8</v>
      </c>
      <c r="H697" s="32"/>
      <c r="I697" s="48">
        <v>6</v>
      </c>
      <c r="J697" s="33">
        <v>6</v>
      </c>
      <c r="K697" s="33">
        <v>0.01</v>
      </c>
      <c r="L697" s="33">
        <v>7.0000000000000007E-2</v>
      </c>
      <c r="M697" s="33">
        <v>1.1000000000000001</v>
      </c>
      <c r="N697" s="33">
        <v>0.28000000000000003</v>
      </c>
      <c r="O697" s="33">
        <v>354.9</v>
      </c>
      <c r="P697" s="33">
        <v>59</v>
      </c>
      <c r="Q697" s="33">
        <v>11.4</v>
      </c>
      <c r="R697" s="33" t="s">
        <v>991</v>
      </c>
      <c r="S697" s="32"/>
      <c r="T697" s="33">
        <v>25</v>
      </c>
      <c r="U697" s="35">
        <v>124</v>
      </c>
    </row>
    <row r="698" spans="1:21">
      <c r="A698" s="50" t="s">
        <v>1023</v>
      </c>
      <c r="B698" s="33" t="s">
        <v>1628</v>
      </c>
      <c r="C698" s="33">
        <v>100</v>
      </c>
      <c r="D698" s="33">
        <v>57</v>
      </c>
      <c r="E698" s="33">
        <v>87.1</v>
      </c>
      <c r="F698" s="48">
        <v>10.9</v>
      </c>
      <c r="G698" s="48">
        <v>1.5</v>
      </c>
      <c r="H698" s="32"/>
      <c r="I698" s="48">
        <v>0</v>
      </c>
      <c r="J698" s="32"/>
      <c r="K698" s="33">
        <v>0.04</v>
      </c>
      <c r="L698" s="33">
        <v>0.13</v>
      </c>
      <c r="M698" s="33">
        <v>1.5</v>
      </c>
      <c r="N698" s="33">
        <v>0.13</v>
      </c>
      <c r="O698" s="33">
        <v>270</v>
      </c>
      <c r="P698" s="33">
        <v>35</v>
      </c>
      <c r="Q698" s="33">
        <v>5.5</v>
      </c>
      <c r="R698" s="33" t="s">
        <v>991</v>
      </c>
      <c r="S698" s="32"/>
      <c r="T698" s="33">
        <v>25</v>
      </c>
      <c r="U698" s="35">
        <v>94</v>
      </c>
    </row>
    <row r="699" spans="1:21">
      <c r="A699" s="50" t="s">
        <v>1024</v>
      </c>
      <c r="B699" s="33" t="s">
        <v>1713</v>
      </c>
      <c r="C699" s="33">
        <v>73</v>
      </c>
      <c r="D699" s="33">
        <v>66</v>
      </c>
      <c r="E699" s="33">
        <v>85.3</v>
      </c>
      <c r="F699" s="48">
        <v>14.1</v>
      </c>
      <c r="G699" s="48">
        <v>1.1000000000000001</v>
      </c>
      <c r="H699" s="32"/>
      <c r="I699" s="48">
        <v>0</v>
      </c>
      <c r="J699" s="32"/>
      <c r="K699" s="33">
        <v>0.01</v>
      </c>
      <c r="L699" s="33">
        <v>0.04</v>
      </c>
      <c r="M699" s="33">
        <v>2</v>
      </c>
      <c r="N699" s="33">
        <v>10.54</v>
      </c>
      <c r="O699" s="33">
        <v>126.8</v>
      </c>
      <c r="P699" s="33">
        <v>11</v>
      </c>
      <c r="Q699" s="33">
        <v>0.3</v>
      </c>
      <c r="R699" s="33" t="s">
        <v>991</v>
      </c>
      <c r="S699" s="32"/>
      <c r="T699" s="33">
        <v>25</v>
      </c>
      <c r="U699" s="35">
        <v>243</v>
      </c>
    </row>
    <row r="700" spans="1:21">
      <c r="A700" s="50" t="s">
        <v>1025</v>
      </c>
      <c r="B700" s="32"/>
      <c r="C700" s="33">
        <v>97</v>
      </c>
      <c r="D700" s="33">
        <v>84</v>
      </c>
      <c r="E700" s="33">
        <v>80.400000000000006</v>
      </c>
      <c r="F700" s="48">
        <v>17.399999999999999</v>
      </c>
      <c r="G700" s="48">
        <v>1.6</v>
      </c>
      <c r="H700" s="32"/>
      <c r="I700" s="48">
        <v>0</v>
      </c>
      <c r="J700" s="33">
        <v>35</v>
      </c>
      <c r="K700" s="33">
        <v>0.02</v>
      </c>
      <c r="L700" s="33">
        <v>0.06</v>
      </c>
      <c r="M700" s="33">
        <v>1.6</v>
      </c>
      <c r="N700" s="33">
        <v>1.68</v>
      </c>
      <c r="O700" s="33">
        <v>110</v>
      </c>
      <c r="P700" s="33">
        <v>44</v>
      </c>
      <c r="Q700" s="33">
        <v>0.9</v>
      </c>
      <c r="R700" s="33" t="s">
        <v>991</v>
      </c>
      <c r="S700" s="32"/>
      <c r="T700" s="33">
        <v>25</v>
      </c>
      <c r="U700" s="35">
        <v>268</v>
      </c>
    </row>
    <row r="701" spans="1:21">
      <c r="A701" s="50" t="s">
        <v>1026</v>
      </c>
      <c r="B701" s="32"/>
      <c r="C701" s="33">
        <v>100</v>
      </c>
      <c r="D701" s="33">
        <v>77</v>
      </c>
      <c r="E701" s="33">
        <v>80.3</v>
      </c>
      <c r="F701" s="48">
        <v>15.7</v>
      </c>
      <c r="G701" s="48">
        <v>0.5</v>
      </c>
      <c r="H701" s="32"/>
      <c r="I701" s="48">
        <v>2.5</v>
      </c>
      <c r="J701" s="32"/>
      <c r="K701" s="32"/>
      <c r="L701" s="33">
        <v>0.21</v>
      </c>
      <c r="M701" s="33">
        <v>2.5</v>
      </c>
      <c r="N701" s="33">
        <v>1.46</v>
      </c>
      <c r="O701" s="33">
        <v>120</v>
      </c>
      <c r="P701" s="33">
        <v>28</v>
      </c>
      <c r="Q701" s="33">
        <v>0.7</v>
      </c>
      <c r="R701" s="33" t="s">
        <v>991</v>
      </c>
      <c r="S701" s="32"/>
      <c r="T701" s="33">
        <v>25</v>
      </c>
      <c r="U701" s="35">
        <v>116</v>
      </c>
    </row>
    <row r="702" spans="1:21">
      <c r="A702" s="50" t="s">
        <v>1027</v>
      </c>
      <c r="B702" s="33" t="s">
        <v>1713</v>
      </c>
      <c r="C702" s="33">
        <v>34</v>
      </c>
      <c r="D702" s="33">
        <v>61</v>
      </c>
      <c r="E702" s="33">
        <v>84.9</v>
      </c>
      <c r="F702" s="48">
        <v>13.9</v>
      </c>
      <c r="G702" s="48">
        <v>0.6</v>
      </c>
      <c r="H702" s="32"/>
      <c r="I702" s="48">
        <v>0</v>
      </c>
      <c r="J702" s="32"/>
      <c r="K702" s="32"/>
      <c r="L702" s="33">
        <v>0.1</v>
      </c>
      <c r="M702" s="33">
        <v>0.2</v>
      </c>
      <c r="N702" s="33">
        <v>13.22</v>
      </c>
      <c r="O702" s="33">
        <v>266.10000000000002</v>
      </c>
      <c r="P702" s="33">
        <v>35</v>
      </c>
      <c r="Q702" s="33">
        <v>4.8</v>
      </c>
      <c r="R702" s="33" t="s">
        <v>991</v>
      </c>
      <c r="S702" s="32"/>
      <c r="T702" s="33">
        <v>25</v>
      </c>
      <c r="U702" s="49"/>
    </row>
    <row r="703" spans="1:21">
      <c r="A703" s="50" t="s">
        <v>1028</v>
      </c>
      <c r="B703" s="33" t="s">
        <v>1713</v>
      </c>
      <c r="C703" s="33">
        <v>35</v>
      </c>
      <c r="D703" s="33">
        <v>60</v>
      </c>
      <c r="E703" s="33">
        <v>84.2</v>
      </c>
      <c r="F703" s="48">
        <v>11.1</v>
      </c>
      <c r="G703" s="48">
        <v>0.6</v>
      </c>
      <c r="H703" s="32"/>
      <c r="I703" s="48">
        <v>2.6</v>
      </c>
      <c r="J703" s="32"/>
      <c r="K703" s="32"/>
      <c r="L703" s="33">
        <v>0.1</v>
      </c>
      <c r="M703" s="33">
        <v>0.2</v>
      </c>
      <c r="N703" s="33">
        <v>11.85</v>
      </c>
      <c r="O703" s="33">
        <v>339</v>
      </c>
      <c r="P703" s="33">
        <v>142</v>
      </c>
      <c r="Q703" s="33">
        <v>7.2</v>
      </c>
      <c r="R703" s="33" t="s">
        <v>991</v>
      </c>
      <c r="S703" s="32"/>
      <c r="T703" s="33">
        <v>25</v>
      </c>
      <c r="U703" s="49"/>
    </row>
    <row r="704" spans="1:21">
      <c r="A704" s="50" t="s">
        <v>1029</v>
      </c>
      <c r="B704" s="32"/>
      <c r="C704" s="33">
        <v>98</v>
      </c>
      <c r="D704" s="33">
        <v>313</v>
      </c>
      <c r="E704" s="33">
        <v>21.8</v>
      </c>
      <c r="F704" s="48">
        <v>60</v>
      </c>
      <c r="G704" s="48">
        <v>4.5999999999999996</v>
      </c>
      <c r="H704" s="32"/>
      <c r="I704" s="48">
        <v>7.8</v>
      </c>
      <c r="J704" s="32"/>
      <c r="K704" s="33">
        <v>0.02</v>
      </c>
      <c r="L704" s="33">
        <v>0.13</v>
      </c>
      <c r="M704" s="33">
        <v>4.9000000000000004</v>
      </c>
      <c r="N704" s="33">
        <v>9.7200000000000006</v>
      </c>
      <c r="O704" s="33">
        <v>965.3</v>
      </c>
      <c r="P704" s="33">
        <v>87</v>
      </c>
      <c r="Q704" s="33">
        <v>4.0999999999999996</v>
      </c>
      <c r="R704" s="33" t="s">
        <v>991</v>
      </c>
      <c r="S704" s="32"/>
      <c r="T704" s="33">
        <v>25</v>
      </c>
      <c r="U704" s="35">
        <v>871</v>
      </c>
    </row>
    <row r="705" spans="1:21">
      <c r="A705" s="50" t="s">
        <v>1030</v>
      </c>
      <c r="B705" s="32"/>
      <c r="C705" s="33">
        <v>98</v>
      </c>
      <c r="D705" s="33">
        <v>75</v>
      </c>
      <c r="E705" s="33">
        <v>81.400000000000006</v>
      </c>
      <c r="F705" s="48">
        <v>18.3</v>
      </c>
      <c r="G705" s="48">
        <v>0.8</v>
      </c>
      <c r="H705" s="32"/>
      <c r="I705" s="48">
        <v>0</v>
      </c>
      <c r="J705" s="33">
        <v>16</v>
      </c>
      <c r="K705" s="32"/>
      <c r="L705" s="33">
        <v>0.03</v>
      </c>
      <c r="M705" s="32"/>
      <c r="N705" s="33">
        <v>0.94</v>
      </c>
      <c r="O705" s="33">
        <v>134.69999999999999</v>
      </c>
      <c r="P705" s="33">
        <v>43</v>
      </c>
      <c r="Q705" s="33">
        <v>0.5</v>
      </c>
      <c r="R705" s="33" t="s">
        <v>991</v>
      </c>
      <c r="S705" s="32"/>
      <c r="T705" s="33">
        <v>25</v>
      </c>
      <c r="U705" s="49"/>
    </row>
    <row r="706" spans="1:21">
      <c r="A706" s="50" t="s">
        <v>1031</v>
      </c>
      <c r="B706" s="33" t="s">
        <v>1715</v>
      </c>
      <c r="C706" s="33">
        <v>100</v>
      </c>
      <c r="D706" s="33">
        <v>52</v>
      </c>
      <c r="E706" s="33">
        <v>86.4</v>
      </c>
      <c r="F706" s="48">
        <v>10.6</v>
      </c>
      <c r="G706" s="48">
        <v>0.4</v>
      </c>
      <c r="H706" s="32"/>
      <c r="I706" s="48">
        <v>1.4</v>
      </c>
      <c r="J706" s="33">
        <v>7</v>
      </c>
      <c r="K706" s="33">
        <v>7.0000000000000007E-2</v>
      </c>
      <c r="L706" s="33">
        <v>0.13</v>
      </c>
      <c r="M706" s="33">
        <v>1.4</v>
      </c>
      <c r="N706" s="33">
        <v>0.16</v>
      </c>
      <c r="O706" s="33">
        <v>288.10000000000002</v>
      </c>
      <c r="P706" s="33">
        <v>22</v>
      </c>
      <c r="Q706" s="33">
        <v>1.4</v>
      </c>
      <c r="R706" s="33" t="s">
        <v>991</v>
      </c>
      <c r="S706" s="32"/>
      <c r="T706" s="33">
        <v>25</v>
      </c>
      <c r="U706" s="35">
        <v>114</v>
      </c>
    </row>
    <row r="707" spans="1:21">
      <c r="A707" s="50" t="s">
        <v>1032</v>
      </c>
      <c r="B707" s="33" t="s">
        <v>1627</v>
      </c>
      <c r="C707" s="33">
        <v>31</v>
      </c>
      <c r="D707" s="33">
        <v>93</v>
      </c>
      <c r="E707" s="33">
        <v>80.099999999999994</v>
      </c>
      <c r="F707" s="48">
        <v>14.8</v>
      </c>
      <c r="G707" s="48">
        <v>3.8</v>
      </c>
      <c r="H707" s="32"/>
      <c r="I707" s="48">
        <v>0</v>
      </c>
      <c r="J707" s="33">
        <v>1</v>
      </c>
      <c r="K707" s="33">
        <v>0.02</v>
      </c>
      <c r="L707" s="33">
        <v>0.18</v>
      </c>
      <c r="M707" s="33">
        <v>2.7</v>
      </c>
      <c r="N707" s="33">
        <v>4.3099999999999996</v>
      </c>
      <c r="O707" s="33">
        <v>225.2</v>
      </c>
      <c r="P707" s="33">
        <v>85</v>
      </c>
      <c r="Q707" s="33">
        <v>6.4</v>
      </c>
      <c r="R707" s="33" t="s">
        <v>1033</v>
      </c>
      <c r="S707" s="32"/>
      <c r="T707" s="33">
        <v>10</v>
      </c>
      <c r="U707" s="49"/>
    </row>
    <row r="708" spans="1:21">
      <c r="A708" s="50" t="s">
        <v>1034</v>
      </c>
      <c r="B708" s="33" t="s">
        <v>1643</v>
      </c>
      <c r="C708" s="33">
        <v>57</v>
      </c>
      <c r="D708" s="33">
        <v>81</v>
      </c>
      <c r="E708" s="33">
        <v>77.3</v>
      </c>
      <c r="F708" s="48">
        <v>17.3</v>
      </c>
      <c r="G708" s="48">
        <v>0.4</v>
      </c>
      <c r="H708" s="32"/>
      <c r="I708" s="48">
        <v>2</v>
      </c>
      <c r="J708" s="33">
        <v>54</v>
      </c>
      <c r="K708" s="33">
        <v>0.05</v>
      </c>
      <c r="L708" s="33">
        <v>0.03</v>
      </c>
      <c r="M708" s="32"/>
      <c r="N708" s="33">
        <v>3.34</v>
      </c>
      <c r="O708" s="33">
        <v>90.7</v>
      </c>
      <c r="P708" s="33">
        <v>403</v>
      </c>
      <c r="Q708" s="33">
        <v>2.1</v>
      </c>
      <c r="R708" s="33" t="s">
        <v>1033</v>
      </c>
      <c r="S708" s="32"/>
      <c r="T708" s="33">
        <v>10</v>
      </c>
      <c r="U708" s="35">
        <v>103</v>
      </c>
    </row>
    <row r="709" spans="1:21">
      <c r="A709" s="50" t="s">
        <v>1035</v>
      </c>
      <c r="B709" s="33" t="s">
        <v>1716</v>
      </c>
      <c r="C709" s="33">
        <v>59</v>
      </c>
      <c r="D709" s="33">
        <v>103</v>
      </c>
      <c r="E709" s="33">
        <v>73.599999999999994</v>
      </c>
      <c r="F709" s="48">
        <v>17.600000000000001</v>
      </c>
      <c r="G709" s="48">
        <v>0.8</v>
      </c>
      <c r="H709" s="32"/>
      <c r="I709" s="48">
        <v>5.4</v>
      </c>
      <c r="J709" s="33">
        <v>81</v>
      </c>
      <c r="K709" s="32"/>
      <c r="L709" s="32"/>
      <c r="M709" s="33">
        <v>2.4</v>
      </c>
      <c r="N709" s="33">
        <v>1.64</v>
      </c>
      <c r="O709" s="33">
        <v>168.8</v>
      </c>
      <c r="P709" s="33">
        <v>59</v>
      </c>
      <c r="Q709" s="33">
        <v>2</v>
      </c>
      <c r="R709" s="33" t="s">
        <v>1033</v>
      </c>
      <c r="S709" s="32"/>
      <c r="T709" s="33">
        <v>10</v>
      </c>
      <c r="U709" s="35">
        <v>148</v>
      </c>
    </row>
    <row r="710" spans="1:21">
      <c r="A710" s="50" t="s">
        <v>1036</v>
      </c>
      <c r="B710" s="33" t="s">
        <v>1672</v>
      </c>
      <c r="C710" s="33">
        <v>65</v>
      </c>
      <c r="D710" s="33">
        <v>90</v>
      </c>
      <c r="E710" s="33">
        <v>76.400000000000006</v>
      </c>
      <c r="F710" s="48">
        <v>18.5</v>
      </c>
      <c r="G710" s="48">
        <v>0.4</v>
      </c>
      <c r="H710" s="32"/>
      <c r="I710" s="48">
        <v>3</v>
      </c>
      <c r="J710" s="33">
        <v>79</v>
      </c>
      <c r="K710" s="33">
        <v>0.03</v>
      </c>
      <c r="L710" s="33">
        <v>0.06</v>
      </c>
      <c r="M710" s="33">
        <v>3.1</v>
      </c>
      <c r="N710" s="33">
        <v>3.52</v>
      </c>
      <c r="O710" s="33">
        <v>208.8</v>
      </c>
      <c r="P710" s="33">
        <v>36</v>
      </c>
      <c r="Q710" s="33">
        <v>2.9</v>
      </c>
      <c r="R710" s="33" t="s">
        <v>1033</v>
      </c>
      <c r="S710" s="32"/>
      <c r="T710" s="33">
        <v>10</v>
      </c>
      <c r="U710" s="35">
        <v>136</v>
      </c>
    </row>
    <row r="711" spans="1:21">
      <c r="A711" s="50" t="s">
        <v>1037</v>
      </c>
      <c r="B711" s="33" t="s">
        <v>1655</v>
      </c>
      <c r="C711" s="33">
        <v>14</v>
      </c>
      <c r="D711" s="33">
        <v>77</v>
      </c>
      <c r="E711" s="33">
        <v>83.3</v>
      </c>
      <c r="F711" s="48">
        <v>16</v>
      </c>
      <c r="G711" s="48">
        <v>1.4</v>
      </c>
      <c r="H711" s="32"/>
      <c r="I711" s="48">
        <v>0</v>
      </c>
      <c r="J711" s="32"/>
      <c r="K711" s="33">
        <v>0.03</v>
      </c>
      <c r="L711" s="33">
        <v>0.18</v>
      </c>
      <c r="M711" s="33">
        <v>3</v>
      </c>
      <c r="N711" s="32"/>
      <c r="O711" s="33">
        <v>86.8</v>
      </c>
      <c r="P711" s="32"/>
      <c r="Q711" s="33">
        <v>14.5</v>
      </c>
      <c r="R711" s="33" t="s">
        <v>1033</v>
      </c>
      <c r="S711" s="32"/>
      <c r="T711" s="33">
        <v>10</v>
      </c>
      <c r="U711" s="35">
        <v>98</v>
      </c>
    </row>
    <row r="712" spans="1:21">
      <c r="A712" s="50" t="s">
        <v>1038</v>
      </c>
      <c r="B712" s="33" t="s">
        <v>1672</v>
      </c>
      <c r="C712" s="33">
        <v>67</v>
      </c>
      <c r="D712" s="33">
        <v>84</v>
      </c>
      <c r="E712" s="33">
        <v>78</v>
      </c>
      <c r="F712" s="48">
        <v>18.3</v>
      </c>
      <c r="G712" s="48">
        <v>0.5</v>
      </c>
      <c r="H712" s="32"/>
      <c r="I712" s="48">
        <v>1.6</v>
      </c>
      <c r="J712" s="33">
        <v>87</v>
      </c>
      <c r="K712" s="33">
        <v>0.02</v>
      </c>
      <c r="L712" s="33">
        <v>0.11</v>
      </c>
      <c r="M712" s="33">
        <v>0.9</v>
      </c>
      <c r="N712" s="33">
        <v>3.92</v>
      </c>
      <c r="O712" s="33">
        <v>133.6</v>
      </c>
      <c r="P712" s="33">
        <v>35</v>
      </c>
      <c r="Q712" s="33">
        <v>1</v>
      </c>
      <c r="R712" s="33" t="s">
        <v>1033</v>
      </c>
      <c r="S712" s="32"/>
      <c r="T712" s="33">
        <v>10</v>
      </c>
      <c r="U712" s="35">
        <v>183</v>
      </c>
    </row>
    <row r="713" spans="1:21">
      <c r="A713" s="50" t="s">
        <v>1039</v>
      </c>
      <c r="B713" s="32"/>
      <c r="C713" s="33">
        <v>61</v>
      </c>
      <c r="D713" s="33">
        <v>93</v>
      </c>
      <c r="E713" s="33">
        <v>76.5</v>
      </c>
      <c r="F713" s="48">
        <v>18.600000000000001</v>
      </c>
      <c r="G713" s="48">
        <v>0.8</v>
      </c>
      <c r="H713" s="32"/>
      <c r="I713" s="48">
        <v>2.8</v>
      </c>
      <c r="J713" s="33">
        <v>15</v>
      </c>
      <c r="K713" s="33">
        <v>0.01</v>
      </c>
      <c r="L713" s="33">
        <v>7.0000000000000007E-2</v>
      </c>
      <c r="M713" s="33">
        <v>1.7</v>
      </c>
      <c r="N713" s="33">
        <v>0.62</v>
      </c>
      <c r="O713" s="33">
        <v>165.2</v>
      </c>
      <c r="P713" s="33">
        <v>62</v>
      </c>
      <c r="Q713" s="33">
        <v>1.5</v>
      </c>
      <c r="R713" s="33" t="s">
        <v>1033</v>
      </c>
      <c r="S713" s="32"/>
      <c r="T713" s="33">
        <v>10</v>
      </c>
      <c r="U713" s="35">
        <v>193</v>
      </c>
    </row>
    <row r="714" spans="1:21">
      <c r="A714" s="50" t="s">
        <v>1040</v>
      </c>
      <c r="B714" s="32"/>
      <c r="C714" s="33">
        <v>51</v>
      </c>
      <c r="D714" s="33">
        <v>79</v>
      </c>
      <c r="E714" s="33">
        <v>79.3</v>
      </c>
      <c r="F714" s="48">
        <v>16.8</v>
      </c>
      <c r="G714" s="48">
        <v>0.6</v>
      </c>
      <c r="H714" s="32"/>
      <c r="I714" s="48">
        <v>1.5</v>
      </c>
      <c r="J714" s="32"/>
      <c r="K714" s="33">
        <v>0.01</v>
      </c>
      <c r="L714" s="33">
        <v>0.05</v>
      </c>
      <c r="M714" s="33">
        <v>1.9</v>
      </c>
      <c r="N714" s="33">
        <v>2.79</v>
      </c>
      <c r="O714" s="33">
        <v>302.2</v>
      </c>
      <c r="P714" s="33">
        <v>146</v>
      </c>
      <c r="Q714" s="33">
        <v>3</v>
      </c>
      <c r="R714" s="33" t="s">
        <v>1033</v>
      </c>
      <c r="S714" s="32"/>
      <c r="T714" s="33">
        <v>10</v>
      </c>
      <c r="U714" s="35">
        <v>117</v>
      </c>
    </row>
    <row r="715" spans="1:21">
      <c r="A715" s="50" t="s">
        <v>1041</v>
      </c>
      <c r="B715" s="33" t="s">
        <v>1618</v>
      </c>
      <c r="C715" s="33">
        <v>100</v>
      </c>
      <c r="D715" s="33">
        <v>392</v>
      </c>
      <c r="E715" s="33">
        <v>4.0999999999999996</v>
      </c>
      <c r="F715" s="48">
        <v>10.4</v>
      </c>
      <c r="G715" s="48">
        <v>2.1</v>
      </c>
      <c r="H715" s="33">
        <v>0.1</v>
      </c>
      <c r="I715" s="48">
        <v>82.8</v>
      </c>
      <c r="J715" s="32"/>
      <c r="K715" s="32"/>
      <c r="L715" s="33">
        <v>0.04</v>
      </c>
      <c r="M715" s="33">
        <v>0.1</v>
      </c>
      <c r="N715" s="33">
        <v>0.41</v>
      </c>
      <c r="O715" s="33">
        <v>30</v>
      </c>
      <c r="P715" s="33">
        <v>19</v>
      </c>
      <c r="Q715" s="33">
        <v>9</v>
      </c>
      <c r="R715" s="33" t="s">
        <v>1042</v>
      </c>
      <c r="S715" s="32"/>
      <c r="T715" s="33">
        <v>25</v>
      </c>
      <c r="U715" s="49"/>
    </row>
    <row r="716" spans="1:21">
      <c r="A716" s="50" t="s">
        <v>1043</v>
      </c>
      <c r="B716" s="33" t="s">
        <v>1618</v>
      </c>
      <c r="C716" s="33">
        <v>100</v>
      </c>
      <c r="D716" s="33">
        <v>372</v>
      </c>
      <c r="E716" s="33">
        <v>4.3</v>
      </c>
      <c r="F716" s="48">
        <v>27</v>
      </c>
      <c r="G716" s="48">
        <v>2</v>
      </c>
      <c r="H716" s="33">
        <v>2.2000000000000002</v>
      </c>
      <c r="I716" s="48">
        <v>61.6</v>
      </c>
      <c r="J716" s="33">
        <v>18</v>
      </c>
      <c r="K716" s="33">
        <v>0.22</v>
      </c>
      <c r="L716" s="33">
        <v>0.12</v>
      </c>
      <c r="M716" s="33">
        <v>4.8</v>
      </c>
      <c r="N716" s="33">
        <v>5.16</v>
      </c>
      <c r="O716" s="33">
        <v>10.9</v>
      </c>
      <c r="P716" s="33">
        <v>229</v>
      </c>
      <c r="Q716" s="33">
        <v>5.3</v>
      </c>
      <c r="R716" s="33" t="s">
        <v>1042</v>
      </c>
      <c r="S716" s="32"/>
      <c r="T716" s="33">
        <v>25</v>
      </c>
      <c r="U716" s="49"/>
    </row>
    <row r="717" spans="1:21">
      <c r="A717" s="50" t="s">
        <v>1044</v>
      </c>
      <c r="B717" s="33" t="s">
        <v>1618</v>
      </c>
      <c r="C717" s="33">
        <v>100</v>
      </c>
      <c r="D717" s="33">
        <v>446</v>
      </c>
      <c r="E717" s="33">
        <v>10.5</v>
      </c>
      <c r="F717" s="48">
        <v>26.7</v>
      </c>
      <c r="G717" s="48">
        <v>20</v>
      </c>
      <c r="H717" s="33">
        <v>0.5</v>
      </c>
      <c r="I717" s="48">
        <v>39.9</v>
      </c>
      <c r="J717" s="33">
        <v>5</v>
      </c>
      <c r="K717" s="33">
        <v>0.16</v>
      </c>
      <c r="L717" s="33">
        <v>0.12</v>
      </c>
      <c r="M717" s="33">
        <v>7.7</v>
      </c>
      <c r="N717" s="33">
        <v>5.15</v>
      </c>
      <c r="O717" s="33">
        <v>547.9</v>
      </c>
      <c r="P717" s="33">
        <v>207</v>
      </c>
      <c r="Q717" s="33">
        <v>3.6</v>
      </c>
      <c r="R717" s="33" t="s">
        <v>1042</v>
      </c>
      <c r="S717" s="32"/>
      <c r="T717" s="33">
        <v>25</v>
      </c>
      <c r="U717" s="49"/>
    </row>
    <row r="718" spans="1:21">
      <c r="A718" s="50" t="s">
        <v>1045</v>
      </c>
      <c r="B718" s="33" t="s">
        <v>1618</v>
      </c>
      <c r="C718" s="33">
        <v>100</v>
      </c>
      <c r="D718" s="33">
        <v>96</v>
      </c>
      <c r="E718" s="33">
        <v>84.8</v>
      </c>
      <c r="F718" s="48">
        <v>2.8</v>
      </c>
      <c r="G718" s="48">
        <v>8</v>
      </c>
      <c r="H718" s="32"/>
      <c r="I718" s="48">
        <v>3.3</v>
      </c>
      <c r="J718" s="33">
        <v>150</v>
      </c>
      <c r="K718" s="33">
        <v>0.01</v>
      </c>
      <c r="L718" s="33">
        <v>0.02</v>
      </c>
      <c r="M718" s="33">
        <v>2.1</v>
      </c>
      <c r="N718" s="32"/>
      <c r="O718" s="33">
        <v>259.60000000000002</v>
      </c>
      <c r="P718" s="33">
        <v>22</v>
      </c>
      <c r="Q718" s="33">
        <v>2.9</v>
      </c>
      <c r="R718" s="33" t="s">
        <v>1042</v>
      </c>
      <c r="S718" s="32"/>
      <c r="T718" s="33">
        <v>25</v>
      </c>
      <c r="U718" s="35">
        <v>91</v>
      </c>
    </row>
    <row r="719" spans="1:21">
      <c r="A719" s="50" t="s">
        <v>1046</v>
      </c>
      <c r="B719" s="33" t="s">
        <v>1618</v>
      </c>
      <c r="C719" s="33">
        <v>100</v>
      </c>
      <c r="D719" s="33">
        <v>92</v>
      </c>
      <c r="E719" s="33">
        <v>75.2</v>
      </c>
      <c r="F719" s="48">
        <v>1.5</v>
      </c>
      <c r="G719" s="48">
        <v>0.1</v>
      </c>
      <c r="H719" s="33">
        <v>0.1</v>
      </c>
      <c r="I719" s="48">
        <v>21.4</v>
      </c>
      <c r="J719" s="32"/>
      <c r="K719" s="33">
        <v>0.05</v>
      </c>
      <c r="L719" s="33">
        <v>0.04</v>
      </c>
      <c r="M719" s="33">
        <v>0.4</v>
      </c>
      <c r="N719" s="33">
        <v>0.25</v>
      </c>
      <c r="O719" s="33">
        <v>23.6</v>
      </c>
      <c r="P719" s="33">
        <v>17</v>
      </c>
      <c r="Q719" s="33">
        <v>1.1000000000000001</v>
      </c>
      <c r="R719" s="33" t="s">
        <v>1042</v>
      </c>
      <c r="S719" s="32"/>
      <c r="T719" s="33">
        <v>25</v>
      </c>
      <c r="U719" s="49"/>
    </row>
    <row r="720" spans="1:21">
      <c r="A720" s="50" t="s">
        <v>1047</v>
      </c>
      <c r="B720" s="33" t="s">
        <v>1618</v>
      </c>
      <c r="C720" s="33">
        <v>100</v>
      </c>
      <c r="D720" s="33">
        <v>463</v>
      </c>
      <c r="E720" s="33">
        <v>23.5</v>
      </c>
      <c r="F720" s="48">
        <v>6.1</v>
      </c>
      <c r="G720" s="48">
        <v>33.700000000000003</v>
      </c>
      <c r="H720" s="33">
        <v>1</v>
      </c>
      <c r="I720" s="48">
        <v>33.799999999999997</v>
      </c>
      <c r="J720" s="32"/>
      <c r="K720" s="33">
        <v>0.01</v>
      </c>
      <c r="L720" s="33">
        <v>0.01</v>
      </c>
      <c r="M720" s="33">
        <v>3</v>
      </c>
      <c r="N720" s="33">
        <v>3.89</v>
      </c>
      <c r="O720" s="33">
        <v>485.8</v>
      </c>
      <c r="P720" s="33">
        <v>10</v>
      </c>
      <c r="Q720" s="33">
        <v>1.9</v>
      </c>
      <c r="R720" s="33" t="s">
        <v>1042</v>
      </c>
      <c r="S720" s="32"/>
      <c r="T720" s="33">
        <v>25</v>
      </c>
      <c r="U720" s="49"/>
    </row>
    <row r="721" spans="1:21">
      <c r="A721" s="50" t="s">
        <v>1048</v>
      </c>
      <c r="B721" s="33" t="s">
        <v>1618</v>
      </c>
      <c r="C721" s="33">
        <v>100</v>
      </c>
      <c r="D721" s="33">
        <v>339</v>
      </c>
      <c r="E721" s="33">
        <v>17.8</v>
      </c>
      <c r="F721" s="48">
        <v>6.5</v>
      </c>
      <c r="G721" s="48">
        <v>2.4</v>
      </c>
      <c r="H721" s="32"/>
      <c r="I721" s="48">
        <v>72.900000000000006</v>
      </c>
      <c r="J721" s="33">
        <v>55</v>
      </c>
      <c r="K721" s="33">
        <v>0.18</v>
      </c>
      <c r="L721" s="33">
        <v>0.31</v>
      </c>
      <c r="M721" s="32"/>
      <c r="N721" s="33">
        <v>1.6</v>
      </c>
      <c r="O721" s="33">
        <v>49</v>
      </c>
      <c r="P721" s="33">
        <v>30</v>
      </c>
      <c r="Q721" s="33">
        <v>1.6</v>
      </c>
      <c r="R721" s="33" t="s">
        <v>1042</v>
      </c>
      <c r="S721" s="32"/>
      <c r="T721" s="33">
        <v>25</v>
      </c>
      <c r="U721" s="49"/>
    </row>
    <row r="722" spans="1:21">
      <c r="A722" s="50" t="s">
        <v>1049</v>
      </c>
      <c r="B722" s="33" t="s">
        <v>1618</v>
      </c>
      <c r="C722" s="33">
        <v>100</v>
      </c>
      <c r="D722" s="33">
        <v>383</v>
      </c>
      <c r="E722" s="33">
        <v>14.6</v>
      </c>
      <c r="F722" s="48">
        <v>13</v>
      </c>
      <c r="G722" s="48">
        <v>9.6</v>
      </c>
      <c r="H722" s="33">
        <v>0.6</v>
      </c>
      <c r="I722" s="48">
        <v>61.2</v>
      </c>
      <c r="J722" s="33">
        <v>75</v>
      </c>
      <c r="K722" s="33">
        <v>0.17</v>
      </c>
      <c r="L722" s="33">
        <v>0.31</v>
      </c>
      <c r="M722" s="33">
        <v>2</v>
      </c>
      <c r="N722" s="33">
        <v>3.72</v>
      </c>
      <c r="O722" s="33">
        <v>118.5</v>
      </c>
      <c r="P722" s="33">
        <v>96</v>
      </c>
      <c r="Q722" s="33">
        <v>4.4000000000000004</v>
      </c>
      <c r="R722" s="33" t="s">
        <v>1042</v>
      </c>
      <c r="S722" s="32"/>
      <c r="T722" s="33">
        <v>25</v>
      </c>
      <c r="U722" s="49"/>
    </row>
    <row r="723" spans="1:21">
      <c r="A723" s="50" t="s">
        <v>1050</v>
      </c>
      <c r="B723" s="32"/>
      <c r="C723" s="33">
        <v>100</v>
      </c>
      <c r="D723" s="33">
        <v>378</v>
      </c>
      <c r="E723" s="33">
        <v>21.9</v>
      </c>
      <c r="F723" s="48">
        <v>7.2</v>
      </c>
      <c r="G723" s="48">
        <v>13.9</v>
      </c>
      <c r="H723" s="33">
        <v>0.6</v>
      </c>
      <c r="I723" s="48">
        <v>55.9</v>
      </c>
      <c r="J723" s="33">
        <v>175</v>
      </c>
      <c r="K723" s="33">
        <v>0.13</v>
      </c>
      <c r="L723" s="33">
        <v>0.11</v>
      </c>
      <c r="M723" s="33">
        <v>1.4</v>
      </c>
      <c r="N723" s="33">
        <v>3.31</v>
      </c>
      <c r="O723" s="33">
        <v>80.7</v>
      </c>
      <c r="P723" s="33">
        <v>38</v>
      </c>
      <c r="Q723" s="33">
        <v>2.2999999999999998</v>
      </c>
      <c r="R723" s="33" t="s">
        <v>1042</v>
      </c>
      <c r="S723" s="32"/>
      <c r="T723" s="33">
        <v>25</v>
      </c>
      <c r="U723" s="35">
        <v>161</v>
      </c>
    </row>
    <row r="724" spans="1:21">
      <c r="A724" s="50" t="s">
        <v>1051</v>
      </c>
      <c r="B724" s="32"/>
      <c r="C724" s="33">
        <v>100</v>
      </c>
      <c r="D724" s="33">
        <v>347</v>
      </c>
      <c r="E724" s="33">
        <v>18.600000000000001</v>
      </c>
      <c r="F724" s="48">
        <v>8.6</v>
      </c>
      <c r="G724" s="48">
        <v>5.0999999999999996</v>
      </c>
      <c r="H724" s="33">
        <v>0.4</v>
      </c>
      <c r="I724" s="48">
        <v>66.7</v>
      </c>
      <c r="J724" s="33">
        <v>86</v>
      </c>
      <c r="K724" s="33">
        <v>0.09</v>
      </c>
      <c r="L724" s="33">
        <v>0.09</v>
      </c>
      <c r="M724" s="33">
        <v>0.8</v>
      </c>
      <c r="N724" s="33">
        <v>2.8</v>
      </c>
      <c r="O724" s="33">
        <v>67.8</v>
      </c>
      <c r="P724" s="33">
        <v>39</v>
      </c>
      <c r="Q724" s="33">
        <v>2.5</v>
      </c>
      <c r="R724" s="33" t="s">
        <v>1042</v>
      </c>
      <c r="S724" s="32"/>
      <c r="T724" s="33">
        <v>25</v>
      </c>
      <c r="U724" s="49"/>
    </row>
    <row r="725" spans="1:21">
      <c r="A725" s="50" t="s">
        <v>1052</v>
      </c>
      <c r="B725" s="33" t="s">
        <v>1618</v>
      </c>
      <c r="C725" s="33">
        <v>100</v>
      </c>
      <c r="D725" s="33">
        <v>320</v>
      </c>
      <c r="E725" s="33">
        <v>27</v>
      </c>
      <c r="F725" s="48">
        <v>9.5</v>
      </c>
      <c r="G725" s="48">
        <v>6</v>
      </c>
      <c r="H725" s="33">
        <v>0.2</v>
      </c>
      <c r="I725" s="48">
        <v>56.9</v>
      </c>
      <c r="J725" s="33">
        <v>48</v>
      </c>
      <c r="K725" s="33">
        <v>0.13</v>
      </c>
      <c r="L725" s="33">
        <v>0.03</v>
      </c>
      <c r="M725" s="33">
        <v>0.8</v>
      </c>
      <c r="N725" s="33">
        <v>3.05</v>
      </c>
      <c r="O725" s="33">
        <v>32</v>
      </c>
      <c r="P725" s="33">
        <v>27</v>
      </c>
      <c r="Q725" s="33">
        <v>2.2000000000000002</v>
      </c>
      <c r="R725" s="33" t="s">
        <v>1042</v>
      </c>
      <c r="S725" s="32"/>
      <c r="T725" s="33">
        <v>25</v>
      </c>
      <c r="U725" s="49"/>
    </row>
    <row r="726" spans="1:21">
      <c r="A726" s="50" t="s">
        <v>1053</v>
      </c>
      <c r="B726" s="32"/>
      <c r="C726" s="33">
        <v>100</v>
      </c>
      <c r="D726" s="33">
        <v>386</v>
      </c>
      <c r="E726" s="33">
        <v>6.3</v>
      </c>
      <c r="F726" s="48">
        <v>11.7</v>
      </c>
      <c r="G726" s="48">
        <v>3.9</v>
      </c>
      <c r="H726" s="33">
        <v>0.8</v>
      </c>
      <c r="I726" s="48">
        <v>76.099999999999994</v>
      </c>
      <c r="J726" s="33">
        <v>33</v>
      </c>
      <c r="K726" s="33">
        <v>0.15</v>
      </c>
      <c r="L726" s="33">
        <v>0.04</v>
      </c>
      <c r="M726" s="33">
        <v>4.2</v>
      </c>
      <c r="N726" s="33">
        <v>1.08</v>
      </c>
      <c r="O726" s="33">
        <v>100</v>
      </c>
      <c r="P726" s="33">
        <v>47</v>
      </c>
      <c r="Q726" s="33">
        <v>3</v>
      </c>
      <c r="R726" s="33" t="s">
        <v>1042</v>
      </c>
      <c r="S726" s="32"/>
      <c r="T726" s="33">
        <v>25</v>
      </c>
      <c r="U726" s="49"/>
    </row>
    <row r="727" spans="1:21">
      <c r="A727" s="50" t="s">
        <v>1054</v>
      </c>
      <c r="B727" s="33" t="s">
        <v>1655</v>
      </c>
      <c r="C727" s="33">
        <v>100</v>
      </c>
      <c r="D727" s="33">
        <v>452</v>
      </c>
      <c r="E727" s="33">
        <v>5.2</v>
      </c>
      <c r="F727" s="48">
        <v>9</v>
      </c>
      <c r="G727" s="48">
        <v>17.399999999999999</v>
      </c>
      <c r="H727" s="33">
        <v>1.8</v>
      </c>
      <c r="I727" s="48">
        <v>64.900000000000006</v>
      </c>
      <c r="J727" s="33">
        <v>174</v>
      </c>
      <c r="K727" s="33">
        <v>0.01</v>
      </c>
      <c r="L727" s="32"/>
      <c r="M727" s="33">
        <v>4.4000000000000004</v>
      </c>
      <c r="N727" s="33">
        <v>3.11</v>
      </c>
      <c r="O727" s="33">
        <v>67.900000000000006</v>
      </c>
      <c r="P727" s="33">
        <v>59</v>
      </c>
      <c r="Q727" s="33">
        <v>2.4</v>
      </c>
      <c r="R727" s="33" t="s">
        <v>1042</v>
      </c>
      <c r="S727" s="32"/>
      <c r="T727" s="33">
        <v>25</v>
      </c>
      <c r="U727" s="49"/>
    </row>
    <row r="728" spans="1:21">
      <c r="A728" s="50" t="s">
        <v>1055</v>
      </c>
      <c r="B728" s="33" t="s">
        <v>1655</v>
      </c>
      <c r="C728" s="33">
        <v>100</v>
      </c>
      <c r="D728" s="33">
        <v>456</v>
      </c>
      <c r="E728" s="33">
        <v>4.4000000000000004</v>
      </c>
      <c r="F728" s="48">
        <v>5.9</v>
      </c>
      <c r="G728" s="48">
        <v>18.7</v>
      </c>
      <c r="H728" s="33">
        <v>3.9</v>
      </c>
      <c r="I728" s="48">
        <v>66.099999999999994</v>
      </c>
      <c r="J728" s="32"/>
      <c r="K728" s="32"/>
      <c r="L728" s="32"/>
      <c r="M728" s="33">
        <v>5</v>
      </c>
      <c r="N728" s="32"/>
      <c r="O728" s="33">
        <v>599</v>
      </c>
      <c r="P728" s="33">
        <v>38</v>
      </c>
      <c r="Q728" s="33">
        <v>1</v>
      </c>
      <c r="R728" s="33" t="s">
        <v>1042</v>
      </c>
      <c r="S728" s="32"/>
      <c r="T728" s="33">
        <v>25</v>
      </c>
      <c r="U728" s="35">
        <v>50</v>
      </c>
    </row>
    <row r="729" spans="1:21">
      <c r="A729" s="50" t="s">
        <v>1056</v>
      </c>
      <c r="B729" s="33" t="s">
        <v>1618</v>
      </c>
      <c r="C729" s="33">
        <v>100</v>
      </c>
      <c r="D729" s="33">
        <v>47</v>
      </c>
      <c r="E729" s="33">
        <v>88.1</v>
      </c>
      <c r="F729" s="48">
        <v>2.6</v>
      </c>
      <c r="G729" s="48">
        <v>1.8</v>
      </c>
      <c r="H729" s="33">
        <v>0.2</v>
      </c>
      <c r="I729" s="48">
        <v>5.2</v>
      </c>
      <c r="J729" s="32"/>
      <c r="K729" s="33">
        <v>0.01</v>
      </c>
      <c r="L729" s="33">
        <v>0.01</v>
      </c>
      <c r="M729" s="33">
        <v>0.4</v>
      </c>
      <c r="N729" s="33">
        <v>0.87</v>
      </c>
      <c r="O729" s="33">
        <v>235.6</v>
      </c>
      <c r="P729" s="33">
        <v>301</v>
      </c>
      <c r="Q729" s="33">
        <v>1.7</v>
      </c>
      <c r="R729" s="33" t="s">
        <v>1042</v>
      </c>
      <c r="S729" s="32"/>
      <c r="T729" s="33">
        <v>25</v>
      </c>
      <c r="U729" s="49"/>
    </row>
    <row r="730" spans="1:21">
      <c r="A730" s="50" t="s">
        <v>1057</v>
      </c>
      <c r="B730" s="33" t="s">
        <v>1618</v>
      </c>
      <c r="C730" s="33">
        <v>100</v>
      </c>
      <c r="D730" s="33">
        <v>10</v>
      </c>
      <c r="E730" s="33">
        <v>97.4</v>
      </c>
      <c r="F730" s="48">
        <v>0.9</v>
      </c>
      <c r="G730" s="48">
        <v>0.1</v>
      </c>
      <c r="H730" s="33">
        <v>0.1</v>
      </c>
      <c r="I730" s="48">
        <v>1.3</v>
      </c>
      <c r="J730" s="32"/>
      <c r="K730" s="33">
        <v>0.02</v>
      </c>
      <c r="L730" s="33">
        <v>0.02</v>
      </c>
      <c r="M730" s="33">
        <v>0.1</v>
      </c>
      <c r="N730" s="33">
        <v>0.34</v>
      </c>
      <c r="O730" s="33">
        <v>6.5</v>
      </c>
      <c r="P730" s="33">
        <v>8</v>
      </c>
      <c r="Q730" s="33">
        <v>0.4</v>
      </c>
      <c r="R730" s="33" t="s">
        <v>1042</v>
      </c>
      <c r="S730" s="32"/>
      <c r="T730" s="33">
        <v>25</v>
      </c>
      <c r="U730" s="49"/>
    </row>
    <row r="731" spans="1:21">
      <c r="A731" s="50" t="s">
        <v>1058</v>
      </c>
      <c r="B731" s="33" t="s">
        <v>1618</v>
      </c>
      <c r="C731" s="33">
        <v>100</v>
      </c>
      <c r="D731" s="33">
        <v>461</v>
      </c>
      <c r="E731" s="33">
        <v>10</v>
      </c>
      <c r="F731" s="48">
        <v>8.4</v>
      </c>
      <c r="G731" s="48">
        <v>22.7</v>
      </c>
      <c r="H731" s="33">
        <v>1.7</v>
      </c>
      <c r="I731" s="48">
        <v>55.7</v>
      </c>
      <c r="J731" s="33">
        <v>17</v>
      </c>
      <c r="K731" s="33">
        <v>0.08</v>
      </c>
      <c r="L731" s="33">
        <v>0.35</v>
      </c>
      <c r="M731" s="33">
        <v>10.3</v>
      </c>
      <c r="N731" s="33">
        <v>2.25</v>
      </c>
      <c r="O731" s="33">
        <v>23.8</v>
      </c>
      <c r="P731" s="33">
        <v>53</v>
      </c>
      <c r="Q731" s="33">
        <v>3.2</v>
      </c>
      <c r="R731" s="33" t="s">
        <v>1042</v>
      </c>
      <c r="S731" s="32"/>
      <c r="T731" s="33">
        <v>25</v>
      </c>
      <c r="U731" s="49"/>
    </row>
    <row r="732" spans="1:21">
      <c r="A732" s="50" t="s">
        <v>1059</v>
      </c>
      <c r="B732" s="33" t="s">
        <v>1655</v>
      </c>
      <c r="C732" s="33">
        <v>100</v>
      </c>
      <c r="D732" s="33">
        <v>511</v>
      </c>
      <c r="E732" s="33">
        <v>3.3</v>
      </c>
      <c r="F732" s="48">
        <v>6.6</v>
      </c>
      <c r="G732" s="48">
        <v>25.3</v>
      </c>
      <c r="H732" s="32"/>
      <c r="I732" s="48">
        <v>64.2</v>
      </c>
      <c r="J732" s="33">
        <v>57</v>
      </c>
      <c r="K732" s="32"/>
      <c r="L732" s="33">
        <v>0.02</v>
      </c>
      <c r="M732" s="33">
        <v>0.6</v>
      </c>
      <c r="N732" s="33">
        <v>1.54</v>
      </c>
      <c r="O732" s="32"/>
      <c r="P732" s="33">
        <v>40</v>
      </c>
      <c r="Q732" s="32"/>
      <c r="R732" s="33" t="s">
        <v>1042</v>
      </c>
      <c r="S732" s="32"/>
      <c r="T732" s="33">
        <v>25</v>
      </c>
      <c r="U732" s="49"/>
    </row>
    <row r="733" spans="1:21">
      <c r="A733" s="50" t="s">
        <v>1060</v>
      </c>
      <c r="B733" s="33" t="s">
        <v>1655</v>
      </c>
      <c r="C733" s="33">
        <v>100</v>
      </c>
      <c r="D733" s="33">
        <v>465</v>
      </c>
      <c r="E733" s="33">
        <v>7.4</v>
      </c>
      <c r="F733" s="48">
        <v>6.2</v>
      </c>
      <c r="G733" s="48">
        <v>21.4</v>
      </c>
      <c r="H733" s="33">
        <v>2.2000000000000002</v>
      </c>
      <c r="I733" s="48">
        <v>62</v>
      </c>
      <c r="J733" s="33">
        <v>54</v>
      </c>
      <c r="K733" s="32"/>
      <c r="L733" s="32"/>
      <c r="M733" s="33">
        <v>1.9</v>
      </c>
      <c r="N733" s="33">
        <v>0.98</v>
      </c>
      <c r="O733" s="33">
        <v>44.6</v>
      </c>
      <c r="P733" s="33">
        <v>54</v>
      </c>
      <c r="Q733" s="33">
        <v>5</v>
      </c>
      <c r="R733" s="33" t="s">
        <v>1042</v>
      </c>
      <c r="S733" s="32"/>
      <c r="T733" s="33">
        <v>25</v>
      </c>
      <c r="U733" s="49"/>
    </row>
    <row r="734" spans="1:21">
      <c r="A734" s="50" t="s">
        <v>1061</v>
      </c>
      <c r="B734" s="33" t="s">
        <v>1618</v>
      </c>
      <c r="C734" s="33">
        <v>100</v>
      </c>
      <c r="D734" s="33">
        <v>332</v>
      </c>
      <c r="E734" s="33">
        <v>10</v>
      </c>
      <c r="F734" s="48">
        <v>4.4000000000000004</v>
      </c>
      <c r="G734" s="48">
        <v>0.4</v>
      </c>
      <c r="H734" s="33">
        <v>6.5</v>
      </c>
      <c r="I734" s="48">
        <v>77.8</v>
      </c>
      <c r="J734" s="32"/>
      <c r="K734" s="33">
        <v>0.11</v>
      </c>
      <c r="L734" s="33">
        <v>0.14000000000000001</v>
      </c>
      <c r="M734" s="33">
        <v>1.3</v>
      </c>
      <c r="N734" s="33">
        <v>4.7300000000000004</v>
      </c>
      <c r="O734" s="33">
        <v>103.4</v>
      </c>
      <c r="P734" s="33">
        <v>65</v>
      </c>
      <c r="Q734" s="33">
        <v>5.7</v>
      </c>
      <c r="R734" s="33" t="s">
        <v>1042</v>
      </c>
      <c r="S734" s="32"/>
      <c r="T734" s="33">
        <v>25</v>
      </c>
      <c r="U734" s="49"/>
    </row>
    <row r="735" spans="1:21">
      <c r="A735" s="50" t="s">
        <v>1062</v>
      </c>
      <c r="B735" s="33" t="s">
        <v>1618</v>
      </c>
      <c r="C735" s="33">
        <v>100</v>
      </c>
      <c r="D735" s="33">
        <v>134</v>
      </c>
      <c r="E735" s="33">
        <v>66.099999999999994</v>
      </c>
      <c r="F735" s="48">
        <v>0.2</v>
      </c>
      <c r="G735" s="48">
        <v>0.3</v>
      </c>
      <c r="H735" s="33">
        <v>0.3</v>
      </c>
      <c r="I735" s="48">
        <v>32.5</v>
      </c>
      <c r="J735" s="32"/>
      <c r="K735" s="33">
        <v>0.01</v>
      </c>
      <c r="L735" s="33">
        <v>0.13</v>
      </c>
      <c r="M735" s="33">
        <v>0.1</v>
      </c>
      <c r="N735" s="32"/>
      <c r="O735" s="33">
        <v>12.5</v>
      </c>
      <c r="P735" s="33">
        <v>11</v>
      </c>
      <c r="Q735" s="33">
        <v>5.8</v>
      </c>
      <c r="R735" s="33" t="s">
        <v>1042</v>
      </c>
      <c r="S735" s="32"/>
      <c r="T735" s="33">
        <v>25</v>
      </c>
      <c r="U735" s="49"/>
    </row>
    <row r="736" spans="1:21">
      <c r="A736" s="50" t="s">
        <v>1063</v>
      </c>
      <c r="B736" s="33" t="s">
        <v>1655</v>
      </c>
      <c r="C736" s="33">
        <v>100</v>
      </c>
      <c r="D736" s="33">
        <v>436</v>
      </c>
      <c r="E736" s="33">
        <v>6.8</v>
      </c>
      <c r="F736" s="48">
        <v>5.6</v>
      </c>
      <c r="G736" s="48">
        <v>16.100000000000001</v>
      </c>
      <c r="H736" s="33">
        <v>3.3</v>
      </c>
      <c r="I736" s="48">
        <v>67.3</v>
      </c>
      <c r="J736" s="33">
        <v>274</v>
      </c>
      <c r="K736" s="33">
        <v>0.03</v>
      </c>
      <c r="L736" s="33">
        <v>0.01</v>
      </c>
      <c r="M736" s="33">
        <v>0.6</v>
      </c>
      <c r="N736" s="33">
        <v>3.74</v>
      </c>
      <c r="O736" s="33">
        <v>36.5</v>
      </c>
      <c r="P736" s="33">
        <v>89</v>
      </c>
      <c r="Q736" s="33">
        <v>7.1</v>
      </c>
      <c r="R736" s="33" t="s">
        <v>1042</v>
      </c>
      <c r="S736" s="32"/>
      <c r="T736" s="33">
        <v>25</v>
      </c>
      <c r="U736" s="49"/>
    </row>
    <row r="737" spans="1:21">
      <c r="A737" s="50" t="s">
        <v>1064</v>
      </c>
      <c r="B737" s="33" t="s">
        <v>1627</v>
      </c>
      <c r="C737" s="33">
        <v>100</v>
      </c>
      <c r="D737" s="33">
        <v>417</v>
      </c>
      <c r="E737" s="33">
        <v>2.2999999999999998</v>
      </c>
      <c r="F737" s="48">
        <v>4.2</v>
      </c>
      <c r="G737" s="48">
        <v>12.4</v>
      </c>
      <c r="H737" s="33">
        <v>7.5</v>
      </c>
      <c r="I737" s="48">
        <v>72.2</v>
      </c>
      <c r="J737" s="32"/>
      <c r="K737" s="32"/>
      <c r="L737" s="32"/>
      <c r="M737" s="32"/>
      <c r="N737" s="32"/>
      <c r="O737" s="33">
        <v>3.1</v>
      </c>
      <c r="P737" s="33">
        <v>8</v>
      </c>
      <c r="Q737" s="33">
        <v>6.1</v>
      </c>
      <c r="R737" s="33" t="s">
        <v>1042</v>
      </c>
      <c r="S737" s="32"/>
      <c r="T737" s="33">
        <v>25</v>
      </c>
      <c r="U737" s="49"/>
    </row>
    <row r="738" spans="1:21">
      <c r="A738" s="50" t="s">
        <v>1065</v>
      </c>
      <c r="B738" s="33" t="s">
        <v>1618</v>
      </c>
      <c r="C738" s="33">
        <v>100</v>
      </c>
      <c r="D738" s="33">
        <v>480</v>
      </c>
      <c r="E738" s="33">
        <v>3.3</v>
      </c>
      <c r="F738" s="48">
        <v>9.8000000000000007</v>
      </c>
      <c r="G738" s="48">
        <v>24.6</v>
      </c>
      <c r="H738" s="33">
        <v>6.2</v>
      </c>
      <c r="I738" s="48">
        <v>54.9</v>
      </c>
      <c r="J738" s="33">
        <v>10</v>
      </c>
      <c r="K738" s="33">
        <v>0.12</v>
      </c>
      <c r="L738" s="33">
        <v>0.03</v>
      </c>
      <c r="M738" s="33">
        <v>5.8</v>
      </c>
      <c r="N738" s="33">
        <v>4.34</v>
      </c>
      <c r="O738" s="33">
        <v>251.3</v>
      </c>
      <c r="P738" s="33">
        <v>54</v>
      </c>
      <c r="Q738" s="33">
        <v>4.4000000000000004</v>
      </c>
      <c r="R738" s="33" t="s">
        <v>1042</v>
      </c>
      <c r="S738" s="32"/>
      <c r="T738" s="33">
        <v>25</v>
      </c>
      <c r="U738" s="49"/>
    </row>
    <row r="739" spans="1:21">
      <c r="A739" s="50" t="s">
        <v>1066</v>
      </c>
      <c r="B739" s="33" t="s">
        <v>1647</v>
      </c>
      <c r="C739" s="33">
        <v>100</v>
      </c>
      <c r="D739" s="33">
        <v>277</v>
      </c>
      <c r="E739" s="33">
        <v>59.6</v>
      </c>
      <c r="F739" s="48">
        <v>23.8</v>
      </c>
      <c r="G739" s="48">
        <v>20.2</v>
      </c>
      <c r="H739" s="32"/>
      <c r="I739" s="48">
        <v>0</v>
      </c>
      <c r="J739" s="32"/>
      <c r="K739" s="32"/>
      <c r="L739" s="32"/>
      <c r="M739" s="32"/>
      <c r="N739" s="32"/>
      <c r="O739" s="32"/>
      <c r="P739" s="32"/>
      <c r="Q739" s="32"/>
      <c r="R739" s="33" t="s">
        <v>1042</v>
      </c>
      <c r="S739" s="32"/>
      <c r="T739" s="33">
        <v>25</v>
      </c>
      <c r="U739" s="35">
        <v>82</v>
      </c>
    </row>
    <row r="740" spans="1:21">
      <c r="A740" s="50" t="s">
        <v>1067</v>
      </c>
      <c r="B740" s="33" t="s">
        <v>1618</v>
      </c>
      <c r="C740" s="33">
        <v>100</v>
      </c>
      <c r="D740" s="33">
        <v>453</v>
      </c>
      <c r="E740" s="33">
        <v>5.3</v>
      </c>
      <c r="F740" s="48">
        <v>7.9</v>
      </c>
      <c r="G740" s="48">
        <v>16.3</v>
      </c>
      <c r="H740" s="33">
        <v>0.8</v>
      </c>
      <c r="I740" s="48">
        <v>68.7</v>
      </c>
      <c r="J740" s="33">
        <v>7</v>
      </c>
      <c r="K740" s="33">
        <v>0.08</v>
      </c>
      <c r="L740" s="33">
        <v>0.18</v>
      </c>
      <c r="M740" s="33">
        <v>3</v>
      </c>
      <c r="N740" s="33">
        <v>6.33</v>
      </c>
      <c r="O740" s="33">
        <v>135.19999999999999</v>
      </c>
      <c r="P740" s="33">
        <v>77</v>
      </c>
      <c r="Q740" s="33">
        <v>3.9</v>
      </c>
      <c r="R740" s="33" t="s">
        <v>1042</v>
      </c>
      <c r="S740" s="32"/>
      <c r="T740" s="33">
        <v>25</v>
      </c>
      <c r="U740" s="49"/>
    </row>
    <row r="741" spans="1:21">
      <c r="A741" s="50" t="s">
        <v>1068</v>
      </c>
      <c r="B741" s="33" t="s">
        <v>1618</v>
      </c>
      <c r="C741" s="33">
        <v>100</v>
      </c>
      <c r="D741" s="33">
        <v>439</v>
      </c>
      <c r="E741" s="33">
        <v>4</v>
      </c>
      <c r="F741" s="48">
        <v>5.7</v>
      </c>
      <c r="G741" s="48">
        <v>11.7</v>
      </c>
      <c r="H741" s="33">
        <v>0.4</v>
      </c>
      <c r="I741" s="48">
        <v>77.7</v>
      </c>
      <c r="J741" s="32"/>
      <c r="K741" s="33">
        <v>0.18</v>
      </c>
      <c r="L741" s="33">
        <v>0.03</v>
      </c>
      <c r="M741" s="33">
        <v>2.5</v>
      </c>
      <c r="N741" s="33">
        <v>14.32</v>
      </c>
      <c r="O741" s="33">
        <v>46.5</v>
      </c>
      <c r="P741" s="33">
        <v>33</v>
      </c>
      <c r="Q741" s="33">
        <v>2.5</v>
      </c>
      <c r="R741" s="33" t="s">
        <v>1042</v>
      </c>
      <c r="S741" s="32"/>
      <c r="T741" s="33">
        <v>25</v>
      </c>
      <c r="U741" s="49"/>
    </row>
    <row r="742" spans="1:21">
      <c r="A742" s="50" t="s">
        <v>1069</v>
      </c>
      <c r="B742" s="33" t="s">
        <v>1618</v>
      </c>
      <c r="C742" s="33">
        <v>100</v>
      </c>
      <c r="D742" s="33">
        <v>544</v>
      </c>
      <c r="E742" s="33">
        <v>5.7</v>
      </c>
      <c r="F742" s="48">
        <v>6.9</v>
      </c>
      <c r="G742" s="48">
        <v>34.9</v>
      </c>
      <c r="H742" s="33">
        <v>1.8</v>
      </c>
      <c r="I742" s="48">
        <v>50.7</v>
      </c>
      <c r="J742" s="32"/>
      <c r="K742" s="32"/>
      <c r="L742" s="33">
        <v>0.01</v>
      </c>
      <c r="M742" s="33">
        <v>8.4</v>
      </c>
      <c r="N742" s="33">
        <v>1.36</v>
      </c>
      <c r="O742" s="33">
        <v>762.2</v>
      </c>
      <c r="P742" s="33">
        <v>24</v>
      </c>
      <c r="Q742" s="32"/>
      <c r="R742" s="33" t="s">
        <v>1042</v>
      </c>
      <c r="S742" s="32"/>
      <c r="T742" s="33">
        <v>25</v>
      </c>
      <c r="U742" s="49"/>
    </row>
    <row r="743" spans="1:21">
      <c r="A743" s="50" t="s">
        <v>1070</v>
      </c>
      <c r="B743" s="33" t="s">
        <v>1618</v>
      </c>
      <c r="C743" s="33">
        <v>100</v>
      </c>
      <c r="D743" s="33">
        <v>435</v>
      </c>
      <c r="E743" s="33">
        <v>8.3000000000000007</v>
      </c>
      <c r="F743" s="48">
        <v>7.2</v>
      </c>
      <c r="G743" s="48">
        <v>16.399999999999999</v>
      </c>
      <c r="H743" s="33">
        <v>3</v>
      </c>
      <c r="I743" s="48">
        <v>64.599999999999994</v>
      </c>
      <c r="J743" s="33">
        <v>7</v>
      </c>
      <c r="K743" s="33">
        <v>0.08</v>
      </c>
      <c r="L743" s="33">
        <v>0.03</v>
      </c>
      <c r="M743" s="33">
        <v>4.2</v>
      </c>
      <c r="N743" s="33">
        <v>5.5</v>
      </c>
      <c r="O743" s="33">
        <v>16.600000000000001</v>
      </c>
      <c r="P743" s="33">
        <v>15</v>
      </c>
      <c r="Q743" s="33">
        <v>2.6</v>
      </c>
      <c r="R743" s="33" t="s">
        <v>1042</v>
      </c>
      <c r="S743" s="32"/>
      <c r="T743" s="33">
        <v>25</v>
      </c>
      <c r="U743" s="49"/>
    </row>
    <row r="744" spans="1:21">
      <c r="A744" s="50" t="s">
        <v>1071</v>
      </c>
      <c r="B744" s="33" t="s">
        <v>1717</v>
      </c>
      <c r="C744" s="33">
        <v>100</v>
      </c>
      <c r="D744" s="33">
        <v>504</v>
      </c>
      <c r="E744" s="33">
        <v>1.4</v>
      </c>
      <c r="F744" s="48">
        <v>11.4</v>
      </c>
      <c r="G744" s="48">
        <v>23.1</v>
      </c>
      <c r="H744" s="32"/>
      <c r="I744" s="48">
        <v>62.4</v>
      </c>
      <c r="J744" s="32"/>
      <c r="K744" s="33">
        <v>7.0000000000000007E-2</v>
      </c>
      <c r="L744" s="33">
        <v>7.0000000000000007E-2</v>
      </c>
      <c r="M744" s="33">
        <v>2.4</v>
      </c>
      <c r="N744" s="33">
        <v>5.63</v>
      </c>
      <c r="O744" s="33">
        <v>60</v>
      </c>
      <c r="P744" s="33">
        <v>508</v>
      </c>
      <c r="Q744" s="33">
        <v>8.8000000000000007</v>
      </c>
      <c r="R744" s="33" t="s">
        <v>1042</v>
      </c>
      <c r="S744" s="32"/>
      <c r="T744" s="33">
        <v>25</v>
      </c>
      <c r="U744" s="35">
        <v>107</v>
      </c>
    </row>
    <row r="745" spans="1:21">
      <c r="A745" s="50" t="s">
        <v>1072</v>
      </c>
      <c r="B745" s="33" t="s">
        <v>1618</v>
      </c>
      <c r="C745" s="33">
        <v>100</v>
      </c>
      <c r="D745" s="33">
        <v>490</v>
      </c>
      <c r="E745" s="33">
        <v>4.0999999999999996</v>
      </c>
      <c r="F745" s="48">
        <v>6</v>
      </c>
      <c r="G745" s="48">
        <v>21.8</v>
      </c>
      <c r="H745" s="33">
        <v>0.3</v>
      </c>
      <c r="I745" s="48">
        <v>67.400000000000006</v>
      </c>
      <c r="J745" s="33">
        <v>17</v>
      </c>
      <c r="K745" s="33">
        <v>0.13</v>
      </c>
      <c r="L745" s="33">
        <v>0.04</v>
      </c>
      <c r="M745" s="33">
        <v>2.2000000000000002</v>
      </c>
      <c r="N745" s="33">
        <v>3.66</v>
      </c>
      <c r="O745" s="33">
        <v>52.7</v>
      </c>
      <c r="P745" s="33">
        <v>30</v>
      </c>
      <c r="Q745" s="33">
        <v>1.9</v>
      </c>
      <c r="R745" s="33" t="s">
        <v>1042</v>
      </c>
      <c r="S745" s="32"/>
      <c r="T745" s="33">
        <v>25</v>
      </c>
      <c r="U745" s="49"/>
    </row>
    <row r="746" spans="1:21">
      <c r="A746" s="50" t="s">
        <v>1073</v>
      </c>
      <c r="B746" s="33" t="s">
        <v>1655</v>
      </c>
      <c r="C746" s="33">
        <v>100</v>
      </c>
      <c r="D746" s="33">
        <v>436</v>
      </c>
      <c r="E746" s="33">
        <v>7.1</v>
      </c>
      <c r="F746" s="48">
        <v>6.2</v>
      </c>
      <c r="G746" s="48">
        <v>13.4</v>
      </c>
      <c r="H746" s="32"/>
      <c r="I746" s="48">
        <v>72.7</v>
      </c>
      <c r="J746" s="32"/>
      <c r="K746" s="32"/>
      <c r="L746" s="32"/>
      <c r="M746" s="33">
        <v>0.9</v>
      </c>
      <c r="N746" s="33">
        <v>1.53</v>
      </c>
      <c r="O746" s="33">
        <v>406.8</v>
      </c>
      <c r="P746" s="33">
        <v>19</v>
      </c>
      <c r="Q746" s="33">
        <v>1.1000000000000001</v>
      </c>
      <c r="R746" s="33" t="s">
        <v>1042</v>
      </c>
      <c r="S746" s="32"/>
      <c r="T746" s="33">
        <v>25</v>
      </c>
      <c r="U746" s="49"/>
    </row>
    <row r="747" spans="1:21">
      <c r="A747" s="50" t="s">
        <v>1074</v>
      </c>
      <c r="B747" s="32"/>
      <c r="C747" s="33">
        <v>100</v>
      </c>
      <c r="D747" s="33">
        <v>512</v>
      </c>
      <c r="E747" s="33">
        <v>5.3</v>
      </c>
      <c r="F747" s="48">
        <v>8.4</v>
      </c>
      <c r="G747" s="48">
        <v>30</v>
      </c>
      <c r="H747" s="33">
        <v>3.1</v>
      </c>
      <c r="I747" s="48">
        <v>52.2</v>
      </c>
      <c r="J747" s="33">
        <v>12</v>
      </c>
      <c r="K747" s="33">
        <v>0.05</v>
      </c>
      <c r="L747" s="33">
        <v>0.06</v>
      </c>
      <c r="M747" s="33">
        <v>5.9</v>
      </c>
      <c r="N747" s="33">
        <v>27.79</v>
      </c>
      <c r="O747" s="33">
        <v>68.2</v>
      </c>
      <c r="P747" s="33">
        <v>39</v>
      </c>
      <c r="Q747" s="33">
        <v>4.4000000000000004</v>
      </c>
      <c r="R747" s="33" t="s">
        <v>1042</v>
      </c>
      <c r="S747" s="32"/>
      <c r="T747" s="33">
        <v>25</v>
      </c>
      <c r="U747" s="49"/>
    </row>
    <row r="748" spans="1:21">
      <c r="A748" s="50" t="s">
        <v>1075</v>
      </c>
      <c r="B748" s="33" t="s">
        <v>1656</v>
      </c>
      <c r="C748" s="33">
        <v>100</v>
      </c>
      <c r="D748" s="33">
        <v>451</v>
      </c>
      <c r="E748" s="33">
        <v>5.6</v>
      </c>
      <c r="F748" s="48">
        <v>6.8</v>
      </c>
      <c r="G748" s="48">
        <v>15.2</v>
      </c>
      <c r="H748" s="33">
        <v>0.2</v>
      </c>
      <c r="I748" s="48">
        <v>71.8</v>
      </c>
      <c r="J748" s="32"/>
      <c r="K748" s="33">
        <v>0.06</v>
      </c>
      <c r="L748" s="32"/>
      <c r="M748" s="32"/>
      <c r="N748" s="33">
        <v>1.4</v>
      </c>
      <c r="O748" s="33">
        <v>5.8</v>
      </c>
      <c r="P748" s="33">
        <v>114</v>
      </c>
      <c r="Q748" s="33">
        <v>4.9000000000000004</v>
      </c>
      <c r="R748" s="33" t="s">
        <v>1042</v>
      </c>
      <c r="S748" s="32"/>
      <c r="T748" s="33">
        <v>25</v>
      </c>
      <c r="U748" s="35">
        <v>27</v>
      </c>
    </row>
    <row r="749" spans="1:21">
      <c r="A749" s="50" t="s">
        <v>1076</v>
      </c>
      <c r="B749" s="33" t="s">
        <v>1618</v>
      </c>
      <c r="C749" s="33">
        <v>100</v>
      </c>
      <c r="D749" s="33">
        <v>50</v>
      </c>
      <c r="E749" s="33">
        <v>87.8</v>
      </c>
      <c r="F749" s="48">
        <v>0.3</v>
      </c>
      <c r="G749" s="48">
        <v>0.5</v>
      </c>
      <c r="H749" s="33">
        <v>0.1</v>
      </c>
      <c r="I749" s="48">
        <v>11.2</v>
      </c>
      <c r="J749" s="32"/>
      <c r="K749" s="32"/>
      <c r="L749" s="32"/>
      <c r="M749" s="32"/>
      <c r="N749" s="32"/>
      <c r="O749" s="32"/>
      <c r="P749" s="33">
        <v>9</v>
      </c>
      <c r="Q749" s="33">
        <v>0.8</v>
      </c>
      <c r="R749" s="33" t="s">
        <v>1042</v>
      </c>
      <c r="S749" s="32"/>
      <c r="T749" s="33">
        <v>25</v>
      </c>
      <c r="U749" s="49"/>
    </row>
    <row r="750" spans="1:21">
      <c r="A750" s="50" t="s">
        <v>1077</v>
      </c>
      <c r="B750" s="33" t="s">
        <v>1618</v>
      </c>
      <c r="C750" s="33">
        <v>100</v>
      </c>
      <c r="D750" s="33">
        <v>349</v>
      </c>
      <c r="E750" s="33">
        <v>11.5</v>
      </c>
      <c r="F750" s="48">
        <v>12.8</v>
      </c>
      <c r="G750" s="48">
        <v>1</v>
      </c>
      <c r="H750" s="33">
        <v>1.2</v>
      </c>
      <c r="I750" s="48">
        <v>72.2</v>
      </c>
      <c r="J750" s="33">
        <v>47</v>
      </c>
      <c r="K750" s="33">
        <v>0.23</v>
      </c>
      <c r="L750" s="33">
        <v>0.02</v>
      </c>
      <c r="M750" s="33">
        <v>6.1</v>
      </c>
      <c r="N750" s="33">
        <v>3.68</v>
      </c>
      <c r="O750" s="33">
        <v>11.6</v>
      </c>
      <c r="P750" s="33">
        <v>24</v>
      </c>
      <c r="Q750" s="33">
        <v>7.3</v>
      </c>
      <c r="R750" s="33" t="s">
        <v>1042</v>
      </c>
      <c r="S750" s="32"/>
      <c r="T750" s="33">
        <v>25</v>
      </c>
      <c r="U750" s="49"/>
    </row>
    <row r="751" spans="1:21">
      <c r="A751" s="50" t="s">
        <v>1078</v>
      </c>
      <c r="B751" s="32"/>
      <c r="C751" s="33">
        <v>100</v>
      </c>
      <c r="D751" s="33">
        <v>301</v>
      </c>
      <c r="E751" s="33">
        <v>24.1</v>
      </c>
      <c r="F751" s="48">
        <v>3.7</v>
      </c>
      <c r="G751" s="48">
        <v>0.6</v>
      </c>
      <c r="H751" s="33">
        <v>0.8</v>
      </c>
      <c r="I751" s="48">
        <v>70.099999999999994</v>
      </c>
      <c r="J751" s="32"/>
      <c r="K751" s="33">
        <v>0.06</v>
      </c>
      <c r="L751" s="33">
        <v>0.12</v>
      </c>
      <c r="M751" s="33">
        <v>0.4</v>
      </c>
      <c r="N751" s="33">
        <v>0.93</v>
      </c>
      <c r="O751" s="33">
        <v>6.1</v>
      </c>
      <c r="P751" s="33">
        <v>80</v>
      </c>
      <c r="Q751" s="33">
        <v>0.9</v>
      </c>
      <c r="R751" s="33" t="s">
        <v>1042</v>
      </c>
      <c r="S751" s="32"/>
      <c r="T751" s="33">
        <v>25</v>
      </c>
      <c r="U751" s="49"/>
    </row>
    <row r="752" spans="1:21">
      <c r="A752" s="50" t="s">
        <v>1079</v>
      </c>
      <c r="B752" s="33" t="s">
        <v>1618</v>
      </c>
      <c r="C752" s="33">
        <v>100</v>
      </c>
      <c r="D752" s="33">
        <v>194</v>
      </c>
      <c r="E752" s="33">
        <v>48.5</v>
      </c>
      <c r="F752" s="48">
        <v>8.1999999999999993</v>
      </c>
      <c r="G752" s="48">
        <v>0.2</v>
      </c>
      <c r="H752" s="33">
        <v>1.9</v>
      </c>
      <c r="I752" s="48">
        <v>39.9</v>
      </c>
      <c r="J752" s="32"/>
      <c r="K752" s="33">
        <v>0.05</v>
      </c>
      <c r="L752" s="33">
        <v>7.0000000000000007E-2</v>
      </c>
      <c r="M752" s="33">
        <v>0.3</v>
      </c>
      <c r="N752" s="33">
        <v>2.33</v>
      </c>
      <c r="O752" s="33">
        <v>192.4</v>
      </c>
      <c r="P752" s="33">
        <v>34</v>
      </c>
      <c r="Q752" s="33">
        <v>8.6</v>
      </c>
      <c r="R752" s="33" t="s">
        <v>1042</v>
      </c>
      <c r="S752" s="32"/>
      <c r="T752" s="33">
        <v>25</v>
      </c>
      <c r="U752" s="49"/>
    </row>
    <row r="753" spans="1:21">
      <c r="A753" s="50" t="s">
        <v>1080</v>
      </c>
      <c r="B753" s="33" t="s">
        <v>1655</v>
      </c>
      <c r="C753" s="33">
        <v>100</v>
      </c>
      <c r="D753" s="33">
        <v>397</v>
      </c>
      <c r="E753" s="33">
        <v>4.4000000000000004</v>
      </c>
      <c r="F753" s="48">
        <v>3.8</v>
      </c>
      <c r="G753" s="48">
        <v>3.8</v>
      </c>
      <c r="H753" s="33">
        <v>0.3</v>
      </c>
      <c r="I753" s="48">
        <v>86.9</v>
      </c>
      <c r="J753" s="32"/>
      <c r="K753" s="33">
        <v>0.01</v>
      </c>
      <c r="L753" s="32"/>
      <c r="M753" s="33">
        <v>2.5</v>
      </c>
      <c r="N753" s="33">
        <v>0.34</v>
      </c>
      <c r="O753" s="33">
        <v>1.8</v>
      </c>
      <c r="P753" s="33">
        <v>59</v>
      </c>
      <c r="Q753" s="33">
        <v>6</v>
      </c>
      <c r="R753" s="33" t="s">
        <v>1042</v>
      </c>
      <c r="S753" s="32"/>
      <c r="T753" s="33">
        <v>25</v>
      </c>
      <c r="U753" s="49"/>
    </row>
    <row r="754" spans="1:21">
      <c r="A754" s="50" t="s">
        <v>1081</v>
      </c>
      <c r="B754" s="33" t="s">
        <v>1618</v>
      </c>
      <c r="C754" s="33">
        <v>100</v>
      </c>
      <c r="D754" s="33">
        <v>524</v>
      </c>
      <c r="E754" s="33">
        <v>6</v>
      </c>
      <c r="F754" s="48">
        <v>8.3000000000000007</v>
      </c>
      <c r="G754" s="48">
        <v>31.5</v>
      </c>
      <c r="H754" s="33">
        <v>1.5</v>
      </c>
      <c r="I754" s="48">
        <v>51.9</v>
      </c>
      <c r="J754" s="32"/>
      <c r="K754" s="33">
        <v>0.05</v>
      </c>
      <c r="L754" s="33">
        <v>0.01</v>
      </c>
      <c r="M754" s="33">
        <v>3.2</v>
      </c>
      <c r="N754" s="33">
        <v>21.6</v>
      </c>
      <c r="O754" s="33">
        <v>99.2</v>
      </c>
      <c r="P754" s="33">
        <v>26</v>
      </c>
      <c r="Q754" s="32"/>
      <c r="R754" s="33" t="s">
        <v>1042</v>
      </c>
      <c r="S754" s="32"/>
      <c r="T754" s="33">
        <v>25</v>
      </c>
      <c r="U754" s="49"/>
    </row>
    <row r="755" spans="1:21">
      <c r="A755" s="50" t="s">
        <v>1082</v>
      </c>
      <c r="B755" s="33" t="s">
        <v>1655</v>
      </c>
      <c r="C755" s="33">
        <v>100</v>
      </c>
      <c r="D755" s="33">
        <v>401</v>
      </c>
      <c r="E755" s="33">
        <v>3.5</v>
      </c>
      <c r="F755" s="48">
        <v>3.9</v>
      </c>
      <c r="G755" s="48">
        <v>3.6</v>
      </c>
      <c r="H755" s="33">
        <v>0.5</v>
      </c>
      <c r="I755" s="48">
        <v>88.2</v>
      </c>
      <c r="J755" s="32"/>
      <c r="K755" s="33">
        <v>0.01</v>
      </c>
      <c r="L755" s="33">
        <v>0.01</v>
      </c>
      <c r="M755" s="33">
        <v>2.4</v>
      </c>
      <c r="N755" s="33">
        <v>1.08</v>
      </c>
      <c r="O755" s="33">
        <v>2.5</v>
      </c>
      <c r="P755" s="33">
        <v>23</v>
      </c>
      <c r="Q755" s="33">
        <v>1.2</v>
      </c>
      <c r="R755" s="33" t="s">
        <v>1042</v>
      </c>
      <c r="S755" s="32"/>
      <c r="T755" s="33">
        <v>25</v>
      </c>
      <c r="U755" s="49"/>
    </row>
    <row r="756" spans="1:21">
      <c r="A756" s="50" t="s">
        <v>1083</v>
      </c>
      <c r="B756" s="33" t="s">
        <v>1618</v>
      </c>
      <c r="C756" s="33">
        <v>100</v>
      </c>
      <c r="D756" s="33">
        <v>368</v>
      </c>
      <c r="E756" s="33">
        <v>10.7</v>
      </c>
      <c r="F756" s="48">
        <v>7.5</v>
      </c>
      <c r="G756" s="48">
        <v>3.6</v>
      </c>
      <c r="H756" s="33">
        <v>0.4</v>
      </c>
      <c r="I756" s="48">
        <v>76.3</v>
      </c>
      <c r="J756" s="33">
        <v>18</v>
      </c>
      <c r="K756" s="33">
        <v>0.12</v>
      </c>
      <c r="L756" s="33">
        <v>0.52</v>
      </c>
      <c r="M756" s="33">
        <v>1.6</v>
      </c>
      <c r="N756" s="33">
        <v>4.54</v>
      </c>
      <c r="O756" s="33">
        <v>185.8</v>
      </c>
      <c r="P756" s="32"/>
      <c r="Q756" s="33">
        <v>2.4</v>
      </c>
      <c r="R756" s="33" t="s">
        <v>1042</v>
      </c>
      <c r="S756" s="32"/>
      <c r="T756" s="33">
        <v>25</v>
      </c>
      <c r="U756" s="49"/>
    </row>
    <row r="757" spans="1:21">
      <c r="A757" s="50" t="s">
        <v>1084</v>
      </c>
      <c r="B757" s="32"/>
      <c r="C757" s="33">
        <v>100</v>
      </c>
      <c r="D757" s="33">
        <v>312</v>
      </c>
      <c r="E757" s="33">
        <v>27.4</v>
      </c>
      <c r="F757" s="48">
        <v>8.3000000000000007</v>
      </c>
      <c r="G757" s="48">
        <v>5.0999999999999996</v>
      </c>
      <c r="H757" s="33">
        <v>0.5</v>
      </c>
      <c r="I757" s="48">
        <v>58.1</v>
      </c>
      <c r="J757" s="32"/>
      <c r="K757" s="33">
        <v>0.03</v>
      </c>
      <c r="L757" s="33">
        <v>0.06</v>
      </c>
      <c r="M757" s="33">
        <v>1.7</v>
      </c>
      <c r="N757" s="33">
        <v>1.66</v>
      </c>
      <c r="O757" s="33">
        <v>230.4</v>
      </c>
      <c r="P757" s="33">
        <v>49</v>
      </c>
      <c r="Q757" s="33">
        <v>2</v>
      </c>
      <c r="R757" s="33" t="s">
        <v>1042</v>
      </c>
      <c r="S757" s="32"/>
      <c r="T757" s="33">
        <v>25</v>
      </c>
      <c r="U757" s="49"/>
    </row>
    <row r="758" spans="1:21">
      <c r="A758" s="50" t="s">
        <v>1085</v>
      </c>
      <c r="B758" s="33" t="s">
        <v>1618</v>
      </c>
      <c r="C758" s="33">
        <v>100</v>
      </c>
      <c r="D758" s="33">
        <v>318</v>
      </c>
      <c r="E758" s="33">
        <v>30.9</v>
      </c>
      <c r="F758" s="48">
        <v>8.8000000000000007</v>
      </c>
      <c r="G758" s="48">
        <v>8.4</v>
      </c>
      <c r="H758" s="32"/>
      <c r="I758" s="48">
        <v>51.9</v>
      </c>
      <c r="J758" s="32"/>
      <c r="K758" s="33">
        <v>0.01</v>
      </c>
      <c r="L758" s="33">
        <v>0.01</v>
      </c>
      <c r="M758" s="33">
        <v>2.6</v>
      </c>
      <c r="N758" s="33">
        <v>0.65</v>
      </c>
      <c r="O758" s="33">
        <v>652.70000000000005</v>
      </c>
      <c r="P758" s="32"/>
      <c r="Q758" s="33">
        <v>2.9</v>
      </c>
      <c r="R758" s="33" t="s">
        <v>1042</v>
      </c>
      <c r="S758" s="32"/>
      <c r="T758" s="33">
        <v>25</v>
      </c>
      <c r="U758" s="49"/>
    </row>
    <row r="759" spans="1:21">
      <c r="A759" s="50" t="s">
        <v>1086</v>
      </c>
      <c r="B759" s="33" t="s">
        <v>1618</v>
      </c>
      <c r="C759" s="33">
        <v>100</v>
      </c>
      <c r="D759" s="33">
        <v>282</v>
      </c>
      <c r="E759" s="33">
        <v>28.3</v>
      </c>
      <c r="F759" s="48">
        <v>10</v>
      </c>
      <c r="G759" s="48">
        <v>1.2</v>
      </c>
      <c r="H759" s="33">
        <v>1</v>
      </c>
      <c r="I759" s="48">
        <v>57.7</v>
      </c>
      <c r="J759" s="32"/>
      <c r="K759" s="33">
        <v>0.02</v>
      </c>
      <c r="L759" s="32"/>
      <c r="M759" s="33">
        <v>6.1</v>
      </c>
      <c r="N759" s="33">
        <v>1.44</v>
      </c>
      <c r="O759" s="33">
        <v>478.4</v>
      </c>
      <c r="P759" s="33">
        <v>127</v>
      </c>
      <c r="Q759" s="33">
        <v>1.9</v>
      </c>
      <c r="R759" s="33" t="s">
        <v>1042</v>
      </c>
      <c r="S759" s="32"/>
      <c r="T759" s="33">
        <v>25</v>
      </c>
      <c r="U759" s="49"/>
    </row>
    <row r="760" spans="1:21">
      <c r="A760" s="50" t="s">
        <v>1087</v>
      </c>
      <c r="B760" s="33" t="s">
        <v>1618</v>
      </c>
      <c r="C760" s="33">
        <v>100</v>
      </c>
      <c r="D760" s="33">
        <v>375</v>
      </c>
      <c r="E760" s="33">
        <v>21.3</v>
      </c>
      <c r="F760" s="48">
        <v>8.4</v>
      </c>
      <c r="G760" s="48">
        <v>14.3</v>
      </c>
      <c r="H760" s="33">
        <v>1.5</v>
      </c>
      <c r="I760" s="48">
        <v>53.1</v>
      </c>
      <c r="J760" s="32"/>
      <c r="K760" s="33">
        <v>0.05</v>
      </c>
      <c r="L760" s="33">
        <v>0.01</v>
      </c>
      <c r="M760" s="33">
        <v>5</v>
      </c>
      <c r="N760" s="33">
        <v>3.75</v>
      </c>
      <c r="O760" s="33">
        <v>352.3</v>
      </c>
      <c r="P760" s="33">
        <v>83</v>
      </c>
      <c r="Q760" s="33">
        <v>1.7</v>
      </c>
      <c r="R760" s="33" t="s">
        <v>1042</v>
      </c>
      <c r="S760" s="32"/>
      <c r="T760" s="33">
        <v>25</v>
      </c>
      <c r="U760" s="49"/>
    </row>
    <row r="761" spans="1:21">
      <c r="A761" s="50" t="s">
        <v>1088</v>
      </c>
      <c r="B761" s="32"/>
      <c r="C761" s="33">
        <v>100</v>
      </c>
      <c r="D761" s="33">
        <v>278</v>
      </c>
      <c r="E761" s="33">
        <v>31.2</v>
      </c>
      <c r="F761" s="48">
        <v>8.5</v>
      </c>
      <c r="G761" s="48">
        <v>2.1</v>
      </c>
      <c r="H761" s="33">
        <v>0.8</v>
      </c>
      <c r="I761" s="48">
        <v>56.2</v>
      </c>
      <c r="J761" s="32"/>
      <c r="K761" s="33">
        <v>7.0000000000000007E-2</v>
      </c>
      <c r="L761" s="33">
        <v>7.0000000000000007E-2</v>
      </c>
      <c r="M761" s="33">
        <v>4.5999999999999996</v>
      </c>
      <c r="N761" s="33">
        <v>1.31</v>
      </c>
      <c r="O761" s="33">
        <v>210.5</v>
      </c>
      <c r="P761" s="33">
        <v>124</v>
      </c>
      <c r="Q761" s="33">
        <v>2</v>
      </c>
      <c r="R761" s="33" t="s">
        <v>1042</v>
      </c>
      <c r="S761" s="32"/>
      <c r="T761" s="33">
        <v>25</v>
      </c>
      <c r="U761" s="49"/>
    </row>
    <row r="762" spans="1:21">
      <c r="A762" s="50" t="s">
        <v>1089</v>
      </c>
      <c r="B762" s="33" t="s">
        <v>1618</v>
      </c>
      <c r="C762" s="33">
        <v>100</v>
      </c>
      <c r="D762" s="33">
        <v>246</v>
      </c>
      <c r="E762" s="33">
        <v>38</v>
      </c>
      <c r="F762" s="48">
        <v>8.5</v>
      </c>
      <c r="G762" s="48">
        <v>1</v>
      </c>
      <c r="H762" s="33">
        <v>0.1</v>
      </c>
      <c r="I762" s="48">
        <v>50.8</v>
      </c>
      <c r="J762" s="32"/>
      <c r="K762" s="33">
        <v>0.03</v>
      </c>
      <c r="L762" s="33">
        <v>0.01</v>
      </c>
      <c r="M762" s="33">
        <v>6.2</v>
      </c>
      <c r="N762" s="33">
        <v>0.88</v>
      </c>
      <c r="O762" s="33">
        <v>457</v>
      </c>
      <c r="P762" s="33">
        <v>75</v>
      </c>
      <c r="Q762" s="33">
        <v>1.5</v>
      </c>
      <c r="R762" s="33" t="s">
        <v>1042</v>
      </c>
      <c r="S762" s="32"/>
      <c r="T762" s="33">
        <v>25</v>
      </c>
      <c r="U762" s="49"/>
    </row>
    <row r="763" spans="1:21">
      <c r="A763" s="50" t="s">
        <v>1090</v>
      </c>
      <c r="B763" s="33" t="s">
        <v>1618</v>
      </c>
      <c r="C763" s="33">
        <v>100</v>
      </c>
      <c r="D763" s="33">
        <v>270</v>
      </c>
      <c r="E763" s="33">
        <v>37.700000000000003</v>
      </c>
      <c r="F763" s="48">
        <v>8.3000000000000007</v>
      </c>
      <c r="G763" s="48">
        <v>4.7</v>
      </c>
      <c r="H763" s="33">
        <v>0.1</v>
      </c>
      <c r="I763" s="48">
        <v>48.5</v>
      </c>
      <c r="J763" s="32"/>
      <c r="K763" s="33">
        <v>0.25</v>
      </c>
      <c r="L763" s="33">
        <v>0.68</v>
      </c>
      <c r="M763" s="33">
        <v>5.2</v>
      </c>
      <c r="N763" s="32"/>
      <c r="O763" s="33">
        <v>151</v>
      </c>
      <c r="P763" s="33">
        <v>35</v>
      </c>
      <c r="Q763" s="33">
        <v>2</v>
      </c>
      <c r="R763" s="33" t="s">
        <v>1042</v>
      </c>
      <c r="S763" s="32"/>
      <c r="T763" s="33">
        <v>25</v>
      </c>
      <c r="U763" s="49"/>
    </row>
    <row r="764" spans="1:21">
      <c r="A764" s="50" t="s">
        <v>1091</v>
      </c>
      <c r="B764" s="33" t="s">
        <v>1618</v>
      </c>
      <c r="C764" s="33">
        <v>100</v>
      </c>
      <c r="D764" s="33">
        <v>279</v>
      </c>
      <c r="E764" s="33">
        <v>36.1</v>
      </c>
      <c r="F764" s="48">
        <v>8.8000000000000007</v>
      </c>
      <c r="G764" s="48">
        <v>5.6</v>
      </c>
      <c r="H764" s="33">
        <v>0.3</v>
      </c>
      <c r="I764" s="48">
        <v>48.3</v>
      </c>
      <c r="J764" s="32"/>
      <c r="K764" s="33">
        <v>0.02</v>
      </c>
      <c r="L764" s="33">
        <v>0.57999999999999996</v>
      </c>
      <c r="M764" s="33">
        <v>5.9</v>
      </c>
      <c r="N764" s="33">
        <v>0.28000000000000003</v>
      </c>
      <c r="O764" s="33">
        <v>256.39999999999998</v>
      </c>
      <c r="P764" s="32"/>
      <c r="Q764" s="33">
        <v>1.6</v>
      </c>
      <c r="R764" s="33" t="s">
        <v>1042</v>
      </c>
      <c r="S764" s="32"/>
      <c r="T764" s="33">
        <v>25</v>
      </c>
      <c r="U764" s="49"/>
    </row>
    <row r="765" spans="1:21">
      <c r="A765" s="50" t="s">
        <v>1092</v>
      </c>
      <c r="B765" s="33" t="s">
        <v>1644</v>
      </c>
      <c r="C765" s="33">
        <v>100</v>
      </c>
      <c r="D765" s="33">
        <v>273</v>
      </c>
      <c r="E765" s="33">
        <v>34.1</v>
      </c>
      <c r="F765" s="48">
        <v>9.1999999999999993</v>
      </c>
      <c r="G765" s="48">
        <v>2.8</v>
      </c>
      <c r="H765" s="33">
        <v>0.8</v>
      </c>
      <c r="I765" s="48">
        <v>52.8</v>
      </c>
      <c r="J765" s="32"/>
      <c r="K765" s="32"/>
      <c r="L765" s="33">
        <v>0.13</v>
      </c>
      <c r="M765" s="33">
        <v>1.1000000000000001</v>
      </c>
      <c r="N765" s="33">
        <v>0.4</v>
      </c>
      <c r="O765" s="33">
        <v>54.9</v>
      </c>
      <c r="P765" s="33">
        <v>22</v>
      </c>
      <c r="Q765" s="33">
        <v>2.1</v>
      </c>
      <c r="R765" s="33" t="s">
        <v>1042</v>
      </c>
      <c r="S765" s="32"/>
      <c r="T765" s="33">
        <v>25</v>
      </c>
      <c r="U765" s="49"/>
    </row>
    <row r="766" spans="1:21">
      <c r="A766" s="50" t="s">
        <v>1093</v>
      </c>
      <c r="B766" s="33" t="s">
        <v>1618</v>
      </c>
      <c r="C766" s="33">
        <v>100</v>
      </c>
      <c r="D766" s="33">
        <v>274</v>
      </c>
      <c r="E766" s="33">
        <v>34.1</v>
      </c>
      <c r="F766" s="48">
        <v>9.1999999999999993</v>
      </c>
      <c r="G766" s="48">
        <v>3.9</v>
      </c>
      <c r="H766" s="33">
        <v>0.5</v>
      </c>
      <c r="I766" s="48">
        <v>50.5</v>
      </c>
      <c r="J766" s="32"/>
      <c r="K766" s="33">
        <v>0.02</v>
      </c>
      <c r="L766" s="33">
        <v>0.01</v>
      </c>
      <c r="M766" s="33">
        <v>4.3</v>
      </c>
      <c r="N766" s="33">
        <v>1.07</v>
      </c>
      <c r="O766" s="33">
        <v>526</v>
      </c>
      <c r="P766" s="33">
        <v>89</v>
      </c>
      <c r="Q766" s="33">
        <v>2.8</v>
      </c>
      <c r="R766" s="33" t="s">
        <v>1042</v>
      </c>
      <c r="S766" s="32"/>
      <c r="T766" s="33">
        <v>25</v>
      </c>
      <c r="U766" s="49"/>
    </row>
    <row r="767" spans="1:21">
      <c r="A767" s="50" t="s">
        <v>1094</v>
      </c>
      <c r="B767" s="33" t="s">
        <v>1618</v>
      </c>
      <c r="C767" s="33">
        <v>100</v>
      </c>
      <c r="D767" s="33">
        <v>320</v>
      </c>
      <c r="E767" s="33">
        <v>25.1</v>
      </c>
      <c r="F767" s="48">
        <v>9.5</v>
      </c>
      <c r="G767" s="48">
        <v>4.8</v>
      </c>
      <c r="H767" s="33">
        <v>0.3</v>
      </c>
      <c r="I767" s="48">
        <v>59.6</v>
      </c>
      <c r="J767" s="32"/>
      <c r="K767" s="33">
        <v>0.02</v>
      </c>
      <c r="L767" s="33">
        <v>0.02</v>
      </c>
      <c r="M767" s="33">
        <v>0.7</v>
      </c>
      <c r="N767" s="33">
        <v>2.31</v>
      </c>
      <c r="O767" s="33">
        <v>106.2</v>
      </c>
      <c r="P767" s="32"/>
      <c r="Q767" s="33">
        <v>1.7</v>
      </c>
      <c r="R767" s="33" t="s">
        <v>1042</v>
      </c>
      <c r="S767" s="32"/>
      <c r="T767" s="33">
        <v>25</v>
      </c>
      <c r="U767" s="49"/>
    </row>
    <row r="768" spans="1:21">
      <c r="A768" s="50" t="s">
        <v>1095</v>
      </c>
      <c r="B768" s="33" t="s">
        <v>1655</v>
      </c>
      <c r="C768" s="33">
        <v>100</v>
      </c>
      <c r="D768" s="33">
        <v>293</v>
      </c>
      <c r="E768" s="33">
        <v>38.1</v>
      </c>
      <c r="F768" s="48">
        <v>5.2</v>
      </c>
      <c r="G768" s="48">
        <v>10.7</v>
      </c>
      <c r="H768" s="32"/>
      <c r="I768" s="48">
        <v>44</v>
      </c>
      <c r="J768" s="32"/>
      <c r="K768" s="33">
        <v>0.01</v>
      </c>
      <c r="L768" s="33">
        <v>0.01</v>
      </c>
      <c r="M768" s="33">
        <v>0.7</v>
      </c>
      <c r="N768" s="33">
        <v>1.53</v>
      </c>
      <c r="O768" s="33">
        <v>154.80000000000001</v>
      </c>
      <c r="P768" s="33">
        <v>38</v>
      </c>
      <c r="Q768" s="33">
        <v>0.4</v>
      </c>
      <c r="R768" s="33" t="s">
        <v>1042</v>
      </c>
      <c r="S768" s="32"/>
      <c r="T768" s="33">
        <v>25</v>
      </c>
      <c r="U768" s="49"/>
    </row>
    <row r="769" spans="1:21">
      <c r="A769" s="50" t="s">
        <v>1096</v>
      </c>
      <c r="B769" s="33" t="s">
        <v>1618</v>
      </c>
      <c r="C769" s="33">
        <v>100</v>
      </c>
      <c r="D769" s="33">
        <v>367</v>
      </c>
      <c r="E769" s="33">
        <v>19.399999999999999</v>
      </c>
      <c r="F769" s="48">
        <v>4.8</v>
      </c>
      <c r="G769" s="48">
        <v>11</v>
      </c>
      <c r="H769" s="33">
        <v>0.9</v>
      </c>
      <c r="I769" s="48">
        <v>62.3</v>
      </c>
      <c r="J769" s="32"/>
      <c r="K769" s="33">
        <v>0.01</v>
      </c>
      <c r="L769" s="33">
        <v>0.01</v>
      </c>
      <c r="M769" s="33">
        <v>8.6</v>
      </c>
      <c r="N769" s="33">
        <v>7.93</v>
      </c>
      <c r="O769" s="33">
        <v>361.5</v>
      </c>
      <c r="P769" s="33">
        <v>99</v>
      </c>
      <c r="Q769" s="33">
        <v>4.5</v>
      </c>
      <c r="R769" s="33" t="s">
        <v>1042</v>
      </c>
      <c r="S769" s="32"/>
      <c r="T769" s="33">
        <v>25</v>
      </c>
      <c r="U769" s="49"/>
    </row>
    <row r="770" spans="1:21">
      <c r="A770" s="50" t="s">
        <v>1097</v>
      </c>
      <c r="B770" s="33" t="s">
        <v>1618</v>
      </c>
      <c r="C770" s="33">
        <v>100</v>
      </c>
      <c r="D770" s="33">
        <v>154</v>
      </c>
      <c r="E770" s="33">
        <v>60.9</v>
      </c>
      <c r="F770" s="48">
        <v>3.3</v>
      </c>
      <c r="G770" s="48">
        <v>0.6</v>
      </c>
      <c r="H770" s="33">
        <v>0.8</v>
      </c>
      <c r="I770" s="48">
        <v>33.9</v>
      </c>
      <c r="J770" s="32"/>
      <c r="K770" s="33">
        <v>0.03</v>
      </c>
      <c r="L770" s="32"/>
      <c r="M770" s="33">
        <v>1.9</v>
      </c>
      <c r="N770" s="33">
        <v>1.1499999999999999</v>
      </c>
      <c r="O770" s="33">
        <v>56.4</v>
      </c>
      <c r="P770" s="33">
        <v>31</v>
      </c>
      <c r="Q770" s="33">
        <v>1.6</v>
      </c>
      <c r="R770" s="33" t="s">
        <v>1042</v>
      </c>
      <c r="S770" s="32"/>
      <c r="T770" s="33">
        <v>25</v>
      </c>
      <c r="U770" s="49"/>
    </row>
    <row r="771" spans="1:21">
      <c r="A771" s="50" t="s">
        <v>1098</v>
      </c>
      <c r="B771" s="33" t="s">
        <v>1647</v>
      </c>
      <c r="C771" s="33">
        <v>100</v>
      </c>
      <c r="D771" s="33">
        <v>132</v>
      </c>
      <c r="E771" s="33">
        <v>71.599999999999994</v>
      </c>
      <c r="F771" s="48">
        <v>1.6</v>
      </c>
      <c r="G771" s="48">
        <v>5.0999999999999996</v>
      </c>
      <c r="H771" s="33">
        <v>0.4</v>
      </c>
      <c r="I771" s="48">
        <v>19.899999999999999</v>
      </c>
      <c r="J771" s="32"/>
      <c r="K771" s="32"/>
      <c r="L771" s="32"/>
      <c r="M771" s="32"/>
      <c r="N771" s="32"/>
      <c r="O771" s="32"/>
      <c r="P771" s="32"/>
      <c r="Q771" s="32"/>
      <c r="R771" s="33" t="s">
        <v>1042</v>
      </c>
      <c r="S771" s="32"/>
      <c r="T771" s="33">
        <v>25</v>
      </c>
      <c r="U771" s="49"/>
    </row>
    <row r="772" spans="1:21">
      <c r="A772" s="50" t="s">
        <v>1099</v>
      </c>
      <c r="B772" s="33" t="s">
        <v>1647</v>
      </c>
      <c r="C772" s="33">
        <v>100</v>
      </c>
      <c r="D772" s="33">
        <v>156</v>
      </c>
      <c r="E772" s="33">
        <v>69.7</v>
      </c>
      <c r="F772" s="48">
        <v>22</v>
      </c>
      <c r="G772" s="48">
        <v>8</v>
      </c>
      <c r="H772" s="32"/>
      <c r="I772" s="48">
        <v>0</v>
      </c>
      <c r="J772" s="32"/>
      <c r="K772" s="32"/>
      <c r="L772" s="32"/>
      <c r="M772" s="32"/>
      <c r="N772" s="32"/>
      <c r="O772" s="32"/>
      <c r="P772" s="32"/>
      <c r="Q772" s="32"/>
      <c r="R772" s="33" t="s">
        <v>1042</v>
      </c>
      <c r="S772" s="32"/>
      <c r="T772" s="33">
        <v>25</v>
      </c>
      <c r="U772" s="35">
        <v>163</v>
      </c>
    </row>
    <row r="773" spans="1:21">
      <c r="A773" s="50" t="s">
        <v>1100</v>
      </c>
      <c r="B773" s="33" t="s">
        <v>1647</v>
      </c>
      <c r="C773" s="33">
        <v>100</v>
      </c>
      <c r="D773" s="33">
        <v>130</v>
      </c>
      <c r="E773" s="33">
        <v>66.900000000000006</v>
      </c>
      <c r="F773" s="48">
        <v>5.2</v>
      </c>
      <c r="G773" s="48">
        <v>0.2</v>
      </c>
      <c r="H773" s="33">
        <v>0.4</v>
      </c>
      <c r="I773" s="48">
        <v>26.8</v>
      </c>
      <c r="J773" s="32"/>
      <c r="K773" s="32"/>
      <c r="L773" s="32"/>
      <c r="M773" s="32"/>
      <c r="N773" s="32"/>
      <c r="O773" s="32"/>
      <c r="P773" s="32"/>
      <c r="Q773" s="32"/>
      <c r="R773" s="33" t="s">
        <v>1042</v>
      </c>
      <c r="S773" s="32"/>
      <c r="T773" s="33">
        <v>25</v>
      </c>
      <c r="U773" s="49"/>
    </row>
    <row r="774" spans="1:21">
      <c r="A774" s="50" t="s">
        <v>1101</v>
      </c>
      <c r="B774" s="33" t="s">
        <v>1618</v>
      </c>
      <c r="C774" s="33">
        <v>100</v>
      </c>
      <c r="D774" s="33">
        <v>499</v>
      </c>
      <c r="E774" s="33">
        <v>12.9</v>
      </c>
      <c r="F774" s="48">
        <v>8.6999999999999993</v>
      </c>
      <c r="G774" s="48">
        <v>31.7</v>
      </c>
      <c r="H774" s="33">
        <v>0.3</v>
      </c>
      <c r="I774" s="48">
        <v>44.8</v>
      </c>
      <c r="J774" s="33">
        <v>55</v>
      </c>
      <c r="K774" s="33">
        <v>7.0000000000000007E-2</v>
      </c>
      <c r="L774" s="33">
        <v>0.05</v>
      </c>
      <c r="M774" s="33">
        <v>1.8</v>
      </c>
      <c r="N774" s="33">
        <v>5.73</v>
      </c>
      <c r="O774" s="33">
        <v>493.9</v>
      </c>
      <c r="P774" s="32"/>
      <c r="Q774" s="33">
        <v>2.5</v>
      </c>
      <c r="R774" s="33" t="s">
        <v>1042</v>
      </c>
      <c r="S774" s="32"/>
      <c r="T774" s="33">
        <v>25</v>
      </c>
      <c r="U774" s="49"/>
    </row>
    <row r="775" spans="1:21">
      <c r="A775" s="50" t="s">
        <v>1102</v>
      </c>
      <c r="B775" s="33" t="s">
        <v>1655</v>
      </c>
      <c r="C775" s="33">
        <v>100</v>
      </c>
      <c r="D775" s="33">
        <v>152</v>
      </c>
      <c r="E775" s="33">
        <v>63</v>
      </c>
      <c r="F775" s="48">
        <v>4.2</v>
      </c>
      <c r="G775" s="48">
        <v>2.4</v>
      </c>
      <c r="H775" s="33">
        <v>0.2</v>
      </c>
      <c r="I775" s="48">
        <v>28.5</v>
      </c>
      <c r="J775" s="32"/>
      <c r="K775" s="32"/>
      <c r="L775" s="32"/>
      <c r="M775" s="32"/>
      <c r="N775" s="33">
        <v>0.28999999999999998</v>
      </c>
      <c r="O775" s="33">
        <v>165.8</v>
      </c>
      <c r="P775" s="33">
        <v>67</v>
      </c>
      <c r="Q775" s="33">
        <v>2.8</v>
      </c>
      <c r="R775" s="33" t="s">
        <v>1042</v>
      </c>
      <c r="S775" s="32"/>
      <c r="T775" s="33">
        <v>25</v>
      </c>
      <c r="U775" s="49"/>
    </row>
    <row r="776" spans="1:21">
      <c r="A776" s="50" t="s">
        <v>1103</v>
      </c>
      <c r="B776" s="33" t="s">
        <v>1655</v>
      </c>
      <c r="C776" s="33">
        <v>100</v>
      </c>
      <c r="D776" s="33">
        <v>435</v>
      </c>
      <c r="E776" s="33">
        <v>7.8</v>
      </c>
      <c r="F776" s="48">
        <v>6.2</v>
      </c>
      <c r="G776" s="48">
        <v>16</v>
      </c>
      <c r="H776" s="33">
        <v>1.4</v>
      </c>
      <c r="I776" s="48">
        <v>66.5</v>
      </c>
      <c r="J776" s="32"/>
      <c r="K776" s="32"/>
      <c r="L776" s="32"/>
      <c r="M776" s="33">
        <v>3.2</v>
      </c>
      <c r="N776" s="33">
        <v>2.17</v>
      </c>
      <c r="O776" s="33">
        <v>493.1</v>
      </c>
      <c r="P776" s="33">
        <v>29</v>
      </c>
      <c r="Q776" s="33">
        <v>3</v>
      </c>
      <c r="R776" s="33" t="s">
        <v>1042</v>
      </c>
      <c r="S776" s="32"/>
      <c r="T776" s="33">
        <v>25</v>
      </c>
      <c r="U776" s="49"/>
    </row>
    <row r="777" spans="1:21">
      <c r="A777" s="50" t="s">
        <v>1104</v>
      </c>
      <c r="B777" s="33" t="s">
        <v>1656</v>
      </c>
      <c r="C777" s="33">
        <v>100</v>
      </c>
      <c r="D777" s="33">
        <v>383</v>
      </c>
      <c r="E777" s="33">
        <v>15.5</v>
      </c>
      <c r="F777" s="48">
        <v>4.0999999999999996</v>
      </c>
      <c r="G777" s="48">
        <v>10.5</v>
      </c>
      <c r="H777" s="33">
        <v>1.4</v>
      </c>
      <c r="I777" s="48">
        <v>67.900000000000006</v>
      </c>
      <c r="J777" s="32"/>
      <c r="K777" s="33">
        <v>7.0000000000000007E-2</v>
      </c>
      <c r="L777" s="32"/>
      <c r="M777" s="32"/>
      <c r="N777" s="33">
        <v>11.69</v>
      </c>
      <c r="O777" s="33">
        <v>20</v>
      </c>
      <c r="P777" s="33">
        <v>97</v>
      </c>
      <c r="Q777" s="33">
        <v>4.5999999999999996</v>
      </c>
      <c r="R777" s="33" t="s">
        <v>1042</v>
      </c>
      <c r="S777" s="32"/>
      <c r="T777" s="33">
        <v>25</v>
      </c>
      <c r="U777" s="35">
        <v>56</v>
      </c>
    </row>
    <row r="778" spans="1:21">
      <c r="A778" s="50" t="s">
        <v>1105</v>
      </c>
      <c r="B778" s="33" t="s">
        <v>1655</v>
      </c>
      <c r="C778" s="33">
        <v>100</v>
      </c>
      <c r="D778" s="33">
        <v>240</v>
      </c>
      <c r="E778" s="33">
        <v>51.2</v>
      </c>
      <c r="F778" s="48">
        <v>6</v>
      </c>
      <c r="G778" s="48">
        <v>10.199999999999999</v>
      </c>
      <c r="H778" s="32"/>
      <c r="I778" s="48">
        <v>31</v>
      </c>
      <c r="J778" s="33">
        <v>74</v>
      </c>
      <c r="K778" s="33">
        <v>0.05</v>
      </c>
      <c r="L778" s="33">
        <v>0.08</v>
      </c>
      <c r="M778" s="33">
        <v>1.1000000000000001</v>
      </c>
      <c r="N778" s="33">
        <v>2.83</v>
      </c>
      <c r="O778" s="33">
        <v>207</v>
      </c>
      <c r="P778" s="33">
        <v>4</v>
      </c>
      <c r="Q778" s="33">
        <v>1.3</v>
      </c>
      <c r="R778" s="33" t="s">
        <v>1042</v>
      </c>
      <c r="S778" s="32"/>
      <c r="T778" s="33">
        <v>25</v>
      </c>
      <c r="U778" s="35">
        <v>70</v>
      </c>
    </row>
    <row r="779" spans="1:21">
      <c r="A779" s="50" t="s">
        <v>1106</v>
      </c>
      <c r="B779" s="33" t="s">
        <v>1618</v>
      </c>
      <c r="C779" s="33">
        <v>100</v>
      </c>
      <c r="D779" s="33">
        <v>326</v>
      </c>
      <c r="E779" s="33">
        <v>27.3</v>
      </c>
      <c r="F779" s="48">
        <v>11.5</v>
      </c>
      <c r="G779" s="48">
        <v>9.9</v>
      </c>
      <c r="H779" s="33">
        <v>2.5</v>
      </c>
      <c r="I779" s="48">
        <v>47.6</v>
      </c>
      <c r="J779" s="32"/>
      <c r="K779" s="33">
        <v>0.03</v>
      </c>
      <c r="L779" s="33">
        <v>0.01</v>
      </c>
      <c r="M779" s="32"/>
      <c r="N779" s="33">
        <v>5.19</v>
      </c>
      <c r="O779" s="33">
        <v>84.1</v>
      </c>
      <c r="P779" s="33">
        <v>40</v>
      </c>
      <c r="Q779" s="33">
        <v>6.9</v>
      </c>
      <c r="R779" s="33" t="s">
        <v>1042</v>
      </c>
      <c r="S779" s="32"/>
      <c r="T779" s="33">
        <v>25</v>
      </c>
      <c r="U779" s="49"/>
    </row>
    <row r="780" spans="1:21">
      <c r="A780" s="50" t="s">
        <v>1107</v>
      </c>
      <c r="B780" s="33" t="s">
        <v>1618</v>
      </c>
      <c r="C780" s="33">
        <v>100</v>
      </c>
      <c r="D780" s="33">
        <v>238</v>
      </c>
      <c r="E780" s="33">
        <v>51</v>
      </c>
      <c r="F780" s="48">
        <v>9.1999999999999993</v>
      </c>
      <c r="G780" s="48">
        <v>11</v>
      </c>
      <c r="H780" s="33">
        <v>2.2999999999999998</v>
      </c>
      <c r="I780" s="48">
        <v>25.6</v>
      </c>
      <c r="J780" s="32"/>
      <c r="K780" s="33">
        <v>7.0000000000000007E-2</v>
      </c>
      <c r="L780" s="33">
        <v>7.0000000000000007E-2</v>
      </c>
      <c r="M780" s="33">
        <v>14.6</v>
      </c>
      <c r="N780" s="33">
        <v>0.68</v>
      </c>
      <c r="O780" s="32"/>
      <c r="P780" s="33">
        <v>10</v>
      </c>
      <c r="Q780" s="33">
        <v>2.1</v>
      </c>
      <c r="R780" s="33" t="s">
        <v>1042</v>
      </c>
      <c r="S780" s="32"/>
      <c r="T780" s="33">
        <v>25</v>
      </c>
      <c r="U780" s="49"/>
    </row>
    <row r="781" spans="1:21">
      <c r="A781" s="50" t="s">
        <v>1108</v>
      </c>
      <c r="B781" s="33" t="s">
        <v>1656</v>
      </c>
      <c r="C781" s="33">
        <v>100</v>
      </c>
      <c r="D781" s="33">
        <v>436</v>
      </c>
      <c r="E781" s="33">
        <v>10.8</v>
      </c>
      <c r="F781" s="48">
        <v>0.2</v>
      </c>
      <c r="G781" s="48">
        <v>17.399999999999999</v>
      </c>
      <c r="H781" s="33">
        <v>0.8</v>
      </c>
      <c r="I781" s="48">
        <v>68.7</v>
      </c>
      <c r="J781" s="32"/>
      <c r="K781" s="33">
        <v>0.05</v>
      </c>
      <c r="L781" s="32"/>
      <c r="M781" s="32"/>
      <c r="N781" s="33">
        <v>0.81</v>
      </c>
      <c r="O781" s="33">
        <v>31.5</v>
      </c>
      <c r="P781" s="33">
        <v>49</v>
      </c>
      <c r="Q781" s="33">
        <v>3.6</v>
      </c>
      <c r="R781" s="33" t="s">
        <v>1042</v>
      </c>
      <c r="S781" s="32"/>
      <c r="T781" s="33">
        <v>25</v>
      </c>
      <c r="U781" s="35">
        <v>51</v>
      </c>
    </row>
    <row r="782" spans="1:21">
      <c r="A782" s="50" t="s">
        <v>1109</v>
      </c>
      <c r="B782" s="33" t="s">
        <v>1618</v>
      </c>
      <c r="C782" s="33">
        <v>100</v>
      </c>
      <c r="D782" s="33">
        <v>426</v>
      </c>
      <c r="E782" s="33">
        <v>10.7</v>
      </c>
      <c r="F782" s="48">
        <v>8.1</v>
      </c>
      <c r="G782" s="48">
        <v>15.5</v>
      </c>
      <c r="H782" s="33">
        <v>1.4</v>
      </c>
      <c r="I782" s="48">
        <v>63.6</v>
      </c>
      <c r="J782" s="33">
        <v>12</v>
      </c>
      <c r="K782" s="33">
        <v>0.1</v>
      </c>
      <c r="L782" s="33">
        <v>0.1</v>
      </c>
      <c r="M782" s="33">
        <v>3.2</v>
      </c>
      <c r="N782" s="33">
        <v>1.01</v>
      </c>
      <c r="O782" s="33">
        <v>55.7</v>
      </c>
      <c r="P782" s="33">
        <v>24</v>
      </c>
      <c r="Q782" s="33">
        <v>2.7</v>
      </c>
      <c r="R782" s="33" t="s">
        <v>1042</v>
      </c>
      <c r="S782" s="32"/>
      <c r="T782" s="33">
        <v>25</v>
      </c>
      <c r="U782" s="49"/>
    </row>
    <row r="783" spans="1:21">
      <c r="A783" s="50" t="s">
        <v>1110</v>
      </c>
      <c r="B783" s="33" t="s">
        <v>1655</v>
      </c>
      <c r="C783" s="33">
        <v>100</v>
      </c>
      <c r="D783" s="33">
        <v>238</v>
      </c>
      <c r="E783" s="33">
        <v>54.2</v>
      </c>
      <c r="F783" s="48">
        <v>8.1</v>
      </c>
      <c r="G783" s="48">
        <v>11.6</v>
      </c>
      <c r="H783" s="32"/>
      <c r="I783" s="48">
        <v>25.2</v>
      </c>
      <c r="J783" s="32"/>
      <c r="K783" s="33">
        <v>7.0000000000000007E-2</v>
      </c>
      <c r="L783" s="33">
        <v>7.0000000000000007E-2</v>
      </c>
      <c r="M783" s="33">
        <v>1.4</v>
      </c>
      <c r="N783" s="33">
        <v>0.9</v>
      </c>
      <c r="O783" s="33">
        <v>219</v>
      </c>
      <c r="P783" s="33">
        <v>18</v>
      </c>
      <c r="Q783" s="33">
        <v>3.5</v>
      </c>
      <c r="R783" s="33" t="s">
        <v>1042</v>
      </c>
      <c r="S783" s="32"/>
      <c r="T783" s="33">
        <v>25</v>
      </c>
      <c r="U783" s="35">
        <v>21</v>
      </c>
    </row>
    <row r="784" spans="1:21">
      <c r="A784" s="50" t="s">
        <v>1111</v>
      </c>
      <c r="B784" s="32"/>
      <c r="C784" s="33">
        <v>100</v>
      </c>
      <c r="D784" s="33">
        <v>481</v>
      </c>
      <c r="E784" s="33">
        <v>5.4</v>
      </c>
      <c r="F784" s="48">
        <v>7.1</v>
      </c>
      <c r="G784" s="48">
        <v>21.8</v>
      </c>
      <c r="H784" s="33">
        <v>1.1000000000000001</v>
      </c>
      <c r="I784" s="48">
        <v>64</v>
      </c>
      <c r="J784" s="32"/>
      <c r="K784" s="33">
        <v>0.02</v>
      </c>
      <c r="L784" s="33">
        <v>0.05</v>
      </c>
      <c r="M784" s="33">
        <v>2.2999999999999998</v>
      </c>
      <c r="N784" s="33">
        <v>14.14</v>
      </c>
      <c r="O784" s="33">
        <v>7.73</v>
      </c>
      <c r="P784" s="33">
        <v>33.9</v>
      </c>
      <c r="Q784" s="33">
        <v>48</v>
      </c>
      <c r="R784" s="33" t="s">
        <v>1042</v>
      </c>
      <c r="S784" s="32"/>
      <c r="T784" s="33">
        <v>25</v>
      </c>
      <c r="U784" s="49"/>
    </row>
    <row r="785" spans="1:21">
      <c r="A785" s="50" t="s">
        <v>1112</v>
      </c>
      <c r="B785" s="32"/>
      <c r="C785" s="33">
        <v>100</v>
      </c>
      <c r="D785" s="33">
        <v>133</v>
      </c>
      <c r="E785" s="33">
        <v>63.7</v>
      </c>
      <c r="F785" s="48">
        <v>7.5</v>
      </c>
      <c r="G785" s="48">
        <v>0.6</v>
      </c>
      <c r="H785" s="33">
        <v>2.2000000000000002</v>
      </c>
      <c r="I785" s="48">
        <v>24.5</v>
      </c>
      <c r="J785" s="33">
        <v>5</v>
      </c>
      <c r="K785" s="33">
        <v>0.04</v>
      </c>
      <c r="L785" s="33">
        <v>0.04</v>
      </c>
      <c r="M785" s="33">
        <v>1.7</v>
      </c>
      <c r="N785" s="33">
        <v>2.91</v>
      </c>
      <c r="O785" s="33">
        <v>151.69999999999999</v>
      </c>
      <c r="P785" s="33">
        <v>141</v>
      </c>
      <c r="Q785" s="33">
        <v>5.0999999999999996</v>
      </c>
      <c r="R785" s="33" t="s">
        <v>1042</v>
      </c>
      <c r="S785" s="32"/>
      <c r="T785" s="33">
        <v>25</v>
      </c>
      <c r="U785" s="49"/>
    </row>
    <row r="786" spans="1:21">
      <c r="A786" s="50" t="s">
        <v>1113</v>
      </c>
      <c r="B786" s="33" t="s">
        <v>1618</v>
      </c>
      <c r="C786" s="33">
        <v>100</v>
      </c>
      <c r="D786" s="33">
        <v>332</v>
      </c>
      <c r="E786" s="33">
        <v>22</v>
      </c>
      <c r="F786" s="48">
        <v>4.8</v>
      </c>
      <c r="G786" s="48">
        <v>4.8</v>
      </c>
      <c r="H786" s="33">
        <v>0.4</v>
      </c>
      <c r="I786" s="48">
        <v>67.400000000000006</v>
      </c>
      <c r="J786" s="33">
        <v>82</v>
      </c>
      <c r="K786" s="33">
        <v>0.15</v>
      </c>
      <c r="L786" s="33">
        <v>0.04</v>
      </c>
      <c r="M786" s="33">
        <v>4</v>
      </c>
      <c r="N786" s="33">
        <v>1.06</v>
      </c>
      <c r="O786" s="33">
        <v>42.2</v>
      </c>
      <c r="P786" s="33">
        <v>41</v>
      </c>
      <c r="Q786" s="33">
        <v>2.4</v>
      </c>
      <c r="R786" s="33" t="s">
        <v>1042</v>
      </c>
      <c r="S786" s="32"/>
      <c r="T786" s="33">
        <v>25</v>
      </c>
      <c r="U786" s="49"/>
    </row>
    <row r="787" spans="1:21">
      <c r="A787" s="50" t="s">
        <v>1114</v>
      </c>
      <c r="B787" s="33" t="s">
        <v>1618</v>
      </c>
      <c r="C787" s="33">
        <v>100</v>
      </c>
      <c r="D787" s="33">
        <v>407</v>
      </c>
      <c r="E787" s="33">
        <v>1.9</v>
      </c>
      <c r="F787" s="48">
        <v>12.4</v>
      </c>
      <c r="G787" s="48">
        <v>4.8</v>
      </c>
      <c r="H787" s="33">
        <v>1.5</v>
      </c>
      <c r="I787" s="48">
        <v>78.599999999999994</v>
      </c>
      <c r="J787" s="33">
        <v>17</v>
      </c>
      <c r="K787" s="33">
        <v>0.25</v>
      </c>
      <c r="L787" s="33">
        <v>0.09</v>
      </c>
      <c r="M787" s="33">
        <v>2.9</v>
      </c>
      <c r="N787" s="33">
        <v>2.81</v>
      </c>
      <c r="O787" s="33">
        <v>46.4</v>
      </c>
      <c r="P787" s="33">
        <v>16</v>
      </c>
      <c r="Q787" s="33">
        <v>2.9</v>
      </c>
      <c r="R787" s="33" t="s">
        <v>1042</v>
      </c>
      <c r="S787" s="32"/>
      <c r="T787" s="33">
        <v>25</v>
      </c>
      <c r="U787" s="49"/>
    </row>
    <row r="788" spans="1:21">
      <c r="A788" s="50" t="s">
        <v>1115</v>
      </c>
      <c r="B788" s="33" t="s">
        <v>1618</v>
      </c>
      <c r="C788" s="33">
        <v>100</v>
      </c>
      <c r="D788" s="33">
        <v>61</v>
      </c>
      <c r="E788" s="33">
        <v>84.4</v>
      </c>
      <c r="F788" s="48">
        <v>1.2</v>
      </c>
      <c r="G788" s="48">
        <v>0.4</v>
      </c>
      <c r="H788" s="33">
        <v>0.6</v>
      </c>
      <c r="I788" s="48">
        <v>13.1</v>
      </c>
      <c r="J788" s="32"/>
      <c r="K788" s="32"/>
      <c r="L788" s="32"/>
      <c r="M788" s="33">
        <v>0.2</v>
      </c>
      <c r="N788" s="33">
        <v>0.19</v>
      </c>
      <c r="O788" s="33">
        <v>62.3</v>
      </c>
      <c r="P788" s="33">
        <v>13</v>
      </c>
      <c r="Q788" s="33">
        <v>0.6</v>
      </c>
      <c r="R788" s="33" t="s">
        <v>1042</v>
      </c>
      <c r="S788" s="32"/>
      <c r="T788" s="33">
        <v>25</v>
      </c>
      <c r="U788" s="49"/>
    </row>
    <row r="789" spans="1:21">
      <c r="A789" s="50" t="s">
        <v>1116</v>
      </c>
      <c r="B789" s="33" t="s">
        <v>1647</v>
      </c>
      <c r="C789" s="33">
        <v>100</v>
      </c>
      <c r="D789" s="33">
        <v>61</v>
      </c>
      <c r="E789" s="33">
        <v>84.4</v>
      </c>
      <c r="F789" s="48">
        <v>1.2</v>
      </c>
      <c r="G789" s="48">
        <v>0.4</v>
      </c>
      <c r="H789" s="33">
        <v>0.6</v>
      </c>
      <c r="I789" s="48">
        <v>13.1</v>
      </c>
      <c r="J789" s="32"/>
      <c r="K789" s="32"/>
      <c r="L789" s="32"/>
      <c r="M789" s="32"/>
      <c r="N789" s="32"/>
      <c r="O789" s="32"/>
      <c r="P789" s="32"/>
      <c r="Q789" s="32"/>
      <c r="R789" s="33" t="s">
        <v>1042</v>
      </c>
      <c r="S789" s="32"/>
      <c r="T789" s="33">
        <v>25</v>
      </c>
      <c r="U789" s="35">
        <v>240</v>
      </c>
    </row>
    <row r="790" spans="1:21">
      <c r="A790" s="50" t="s">
        <v>1117</v>
      </c>
      <c r="B790" s="33" t="s">
        <v>1647</v>
      </c>
      <c r="C790" s="33">
        <v>100</v>
      </c>
      <c r="D790" s="33">
        <v>152</v>
      </c>
      <c r="E790" s="33">
        <v>64</v>
      </c>
      <c r="F790" s="48">
        <v>2.7</v>
      </c>
      <c r="G790" s="48">
        <v>3.5</v>
      </c>
      <c r="H790" s="33">
        <v>0.9</v>
      </c>
      <c r="I790" s="48">
        <v>27.3</v>
      </c>
      <c r="J790" s="32"/>
      <c r="K790" s="32"/>
      <c r="L790" s="32"/>
      <c r="M790" s="32"/>
      <c r="N790" s="32"/>
      <c r="O790" s="32"/>
      <c r="P790" s="32"/>
      <c r="Q790" s="32"/>
      <c r="R790" s="33" t="s">
        <v>1042</v>
      </c>
      <c r="S790" s="32"/>
      <c r="T790" s="33">
        <v>25</v>
      </c>
      <c r="U790" s="35">
        <v>38</v>
      </c>
    </row>
    <row r="791" spans="1:21">
      <c r="A791" s="50" t="s">
        <v>1118</v>
      </c>
      <c r="B791" s="32"/>
      <c r="C791" s="33">
        <v>100</v>
      </c>
      <c r="D791" s="33">
        <v>463</v>
      </c>
      <c r="E791" s="33">
        <v>7.3</v>
      </c>
      <c r="F791" s="48">
        <v>8.4</v>
      </c>
      <c r="G791" s="48">
        <v>20.100000000000001</v>
      </c>
      <c r="H791" s="33">
        <v>1.3</v>
      </c>
      <c r="I791" s="48">
        <v>62.2</v>
      </c>
      <c r="J791" s="33">
        <v>40</v>
      </c>
      <c r="K791" s="33">
        <v>0.23</v>
      </c>
      <c r="L791" s="33">
        <v>0.05</v>
      </c>
      <c r="M791" s="33">
        <v>3.1</v>
      </c>
      <c r="N791" s="33">
        <v>10.27</v>
      </c>
      <c r="O791" s="33">
        <v>97.4</v>
      </c>
      <c r="P791" s="33">
        <v>42</v>
      </c>
      <c r="Q791" s="33">
        <v>1.1000000000000001</v>
      </c>
      <c r="R791" s="33" t="s">
        <v>1042</v>
      </c>
      <c r="S791" s="32"/>
      <c r="T791" s="33">
        <v>25</v>
      </c>
      <c r="U791" s="49"/>
    </row>
    <row r="792" spans="1:21">
      <c r="A792" s="50" t="s">
        <v>1119</v>
      </c>
      <c r="B792" s="33" t="s">
        <v>1618</v>
      </c>
      <c r="C792" s="33">
        <v>100</v>
      </c>
      <c r="D792" s="33">
        <v>94</v>
      </c>
      <c r="E792" s="33">
        <v>76.3</v>
      </c>
      <c r="F792" s="48">
        <v>2.4</v>
      </c>
      <c r="G792" s="48">
        <v>0.9</v>
      </c>
      <c r="H792" s="33">
        <v>0.9</v>
      </c>
      <c r="I792" s="48">
        <v>19.100000000000001</v>
      </c>
      <c r="J792" s="32"/>
      <c r="K792" s="33">
        <v>0.01</v>
      </c>
      <c r="L792" s="33">
        <v>0.06</v>
      </c>
      <c r="M792" s="33">
        <v>0.4</v>
      </c>
      <c r="N792" s="33">
        <v>0.06</v>
      </c>
      <c r="O792" s="33">
        <v>19.600000000000001</v>
      </c>
      <c r="P792" s="33">
        <v>22</v>
      </c>
      <c r="Q792" s="33">
        <v>1.1000000000000001</v>
      </c>
      <c r="R792" s="33" t="s">
        <v>1042</v>
      </c>
      <c r="S792" s="32"/>
      <c r="T792" s="33">
        <v>25</v>
      </c>
      <c r="U792" s="49"/>
    </row>
    <row r="793" spans="1:21">
      <c r="A793" s="50" t="s">
        <v>1120</v>
      </c>
      <c r="B793" s="33" t="s">
        <v>1618</v>
      </c>
      <c r="C793" s="33">
        <v>100</v>
      </c>
      <c r="D793" s="33">
        <v>428</v>
      </c>
      <c r="E793" s="33">
        <v>16.899999999999999</v>
      </c>
      <c r="F793" s="48">
        <v>5.0999999999999996</v>
      </c>
      <c r="G793" s="48">
        <v>22.1</v>
      </c>
      <c r="H793" s="33">
        <v>3</v>
      </c>
      <c r="I793" s="48">
        <v>52.3</v>
      </c>
      <c r="J793" s="33">
        <v>85</v>
      </c>
      <c r="K793" s="33">
        <v>0.13</v>
      </c>
      <c r="L793" s="33">
        <v>0.04</v>
      </c>
      <c r="M793" s="33">
        <v>2.8</v>
      </c>
      <c r="N793" s="33">
        <v>0.79</v>
      </c>
      <c r="O793" s="33">
        <v>11.1</v>
      </c>
      <c r="P793" s="33">
        <v>31</v>
      </c>
      <c r="Q793" s="33">
        <v>2.1</v>
      </c>
      <c r="R793" s="33" t="s">
        <v>1042</v>
      </c>
      <c r="S793" s="32"/>
      <c r="T793" s="33">
        <v>25</v>
      </c>
      <c r="U793" s="49"/>
    </row>
    <row r="794" spans="1:21">
      <c r="A794" s="50" t="s">
        <v>1121</v>
      </c>
      <c r="B794" s="33" t="s">
        <v>1618</v>
      </c>
      <c r="C794" s="33">
        <v>100</v>
      </c>
      <c r="D794" s="33">
        <v>405</v>
      </c>
      <c r="E794" s="33">
        <v>11.7</v>
      </c>
      <c r="F794" s="48">
        <v>8.1999999999999993</v>
      </c>
      <c r="G794" s="48">
        <v>13.6</v>
      </c>
      <c r="H794" s="33">
        <v>3.1</v>
      </c>
      <c r="I794" s="48">
        <v>62.5</v>
      </c>
      <c r="J794" s="33">
        <v>7</v>
      </c>
      <c r="K794" s="33">
        <v>0.05</v>
      </c>
      <c r="L794" s="33">
        <v>0.05</v>
      </c>
      <c r="M794" s="33">
        <v>1.9</v>
      </c>
      <c r="N794" s="33">
        <v>8.06</v>
      </c>
      <c r="O794" s="33">
        <v>22.4</v>
      </c>
      <c r="P794" s="33">
        <v>64</v>
      </c>
      <c r="Q794" s="33">
        <v>3.1</v>
      </c>
      <c r="R794" s="33" t="s">
        <v>1042</v>
      </c>
      <c r="S794" s="32"/>
      <c r="T794" s="33">
        <v>25</v>
      </c>
      <c r="U794" s="49"/>
    </row>
    <row r="795" spans="1:21">
      <c r="A795" s="50" t="s">
        <v>1122</v>
      </c>
      <c r="B795" s="33" t="s">
        <v>1618</v>
      </c>
      <c r="C795" s="33">
        <v>100</v>
      </c>
      <c r="D795" s="33">
        <v>441</v>
      </c>
      <c r="E795" s="33">
        <v>9.4</v>
      </c>
      <c r="F795" s="48">
        <v>5.7</v>
      </c>
      <c r="G795" s="48">
        <v>16.899999999999999</v>
      </c>
      <c r="H795" s="33">
        <v>1</v>
      </c>
      <c r="I795" s="48">
        <v>66.599999999999994</v>
      </c>
      <c r="J795" s="33">
        <v>23</v>
      </c>
      <c r="K795" s="33">
        <v>0.08</v>
      </c>
      <c r="L795" s="33">
        <v>0.04</v>
      </c>
      <c r="M795" s="33">
        <v>2.9</v>
      </c>
      <c r="N795" s="33">
        <v>0.21</v>
      </c>
      <c r="O795" s="33">
        <v>28.2</v>
      </c>
      <c r="P795" s="33">
        <v>12</v>
      </c>
      <c r="Q795" s="33">
        <v>3.5</v>
      </c>
      <c r="R795" s="33" t="s">
        <v>1042</v>
      </c>
      <c r="S795" s="32"/>
      <c r="T795" s="33">
        <v>25</v>
      </c>
      <c r="U795" s="49"/>
    </row>
    <row r="796" spans="1:21">
      <c r="A796" s="50" t="s">
        <v>1123</v>
      </c>
      <c r="B796" s="33" t="s">
        <v>1618</v>
      </c>
      <c r="C796" s="33">
        <v>100</v>
      </c>
      <c r="D796" s="33">
        <v>438</v>
      </c>
      <c r="E796" s="33">
        <v>12.6</v>
      </c>
      <c r="F796" s="48">
        <v>6.4</v>
      </c>
      <c r="G796" s="48">
        <v>21.4</v>
      </c>
      <c r="H796" s="33">
        <v>4.0999999999999996</v>
      </c>
      <c r="I796" s="48">
        <v>54.9</v>
      </c>
      <c r="J796" s="33">
        <v>62</v>
      </c>
      <c r="K796" s="33">
        <v>0.35</v>
      </c>
      <c r="L796" s="33">
        <v>0.16</v>
      </c>
      <c r="M796" s="33">
        <v>3.1</v>
      </c>
      <c r="N796" s="33">
        <v>2.06</v>
      </c>
      <c r="O796" s="33">
        <v>17.7</v>
      </c>
      <c r="P796" s="33">
        <v>26</v>
      </c>
      <c r="Q796" s="33">
        <v>2.5</v>
      </c>
      <c r="R796" s="33" t="s">
        <v>1042</v>
      </c>
      <c r="S796" s="32"/>
      <c r="T796" s="33">
        <v>25</v>
      </c>
      <c r="U796" s="49"/>
    </row>
    <row r="797" spans="1:21">
      <c r="A797" s="50" t="s">
        <v>1124</v>
      </c>
      <c r="B797" s="33" t="s">
        <v>1618</v>
      </c>
      <c r="C797" s="33">
        <v>100</v>
      </c>
      <c r="D797" s="33">
        <v>429</v>
      </c>
      <c r="E797" s="33">
        <v>15.1</v>
      </c>
      <c r="F797" s="48">
        <v>8</v>
      </c>
      <c r="G797" s="48">
        <v>18.399999999999999</v>
      </c>
      <c r="H797" s="32"/>
      <c r="I797" s="48">
        <v>57.8</v>
      </c>
      <c r="J797" s="33">
        <v>17</v>
      </c>
      <c r="K797" s="33">
        <v>7.0000000000000007E-2</v>
      </c>
      <c r="L797" s="32"/>
      <c r="M797" s="33">
        <v>2.9</v>
      </c>
      <c r="N797" s="33">
        <v>9.83</v>
      </c>
      <c r="O797" s="33">
        <v>56.8</v>
      </c>
      <c r="P797" s="33">
        <v>29</v>
      </c>
      <c r="Q797" s="33">
        <v>2</v>
      </c>
      <c r="R797" s="33" t="s">
        <v>1042</v>
      </c>
      <c r="S797" s="32"/>
      <c r="T797" s="33">
        <v>25</v>
      </c>
      <c r="U797" s="49"/>
    </row>
    <row r="798" spans="1:21">
      <c r="A798" s="50" t="s">
        <v>1125</v>
      </c>
      <c r="B798" s="33" t="s">
        <v>1618</v>
      </c>
      <c r="C798" s="33">
        <v>100</v>
      </c>
      <c r="D798" s="33">
        <v>416</v>
      </c>
      <c r="E798" s="33">
        <v>11.3</v>
      </c>
      <c r="F798" s="48">
        <v>8</v>
      </c>
      <c r="G798" s="48">
        <v>16</v>
      </c>
      <c r="H798" s="33">
        <v>3.9</v>
      </c>
      <c r="I798" s="48">
        <v>60.1</v>
      </c>
      <c r="J798" s="33">
        <v>7</v>
      </c>
      <c r="K798" s="32"/>
      <c r="L798" s="33">
        <v>0.08</v>
      </c>
      <c r="M798" s="33">
        <v>4</v>
      </c>
      <c r="N798" s="33">
        <v>8.82</v>
      </c>
      <c r="O798" s="33">
        <v>18.5</v>
      </c>
      <c r="P798" s="33">
        <v>54</v>
      </c>
      <c r="Q798" s="33">
        <v>2.8</v>
      </c>
      <c r="R798" s="33" t="s">
        <v>1042</v>
      </c>
      <c r="S798" s="32"/>
      <c r="T798" s="33">
        <v>25</v>
      </c>
      <c r="U798" s="49"/>
    </row>
    <row r="799" spans="1:21">
      <c r="A799" s="50" t="s">
        <v>1126</v>
      </c>
      <c r="B799" s="33" t="s">
        <v>1618</v>
      </c>
      <c r="C799" s="33">
        <v>100</v>
      </c>
      <c r="D799" s="33">
        <v>449</v>
      </c>
      <c r="E799" s="33">
        <v>8.3000000000000007</v>
      </c>
      <c r="F799" s="48">
        <v>6.3</v>
      </c>
      <c r="G799" s="48">
        <v>19.7</v>
      </c>
      <c r="H799" s="33">
        <v>3.5</v>
      </c>
      <c r="I799" s="48">
        <v>61.7</v>
      </c>
      <c r="J799" s="33">
        <v>17</v>
      </c>
      <c r="K799" s="33">
        <v>0.18</v>
      </c>
      <c r="L799" s="33">
        <v>0.03</v>
      </c>
      <c r="M799" s="33">
        <v>3.3</v>
      </c>
      <c r="N799" s="33">
        <v>2.69</v>
      </c>
      <c r="O799" s="33">
        <v>28.2</v>
      </c>
      <c r="P799" s="33">
        <v>18</v>
      </c>
      <c r="Q799" s="33">
        <v>3</v>
      </c>
      <c r="R799" s="33" t="s">
        <v>1042</v>
      </c>
      <c r="S799" s="32"/>
      <c r="T799" s="33">
        <v>25</v>
      </c>
      <c r="U799" s="49"/>
    </row>
    <row r="800" spans="1:21">
      <c r="A800" s="50" t="s">
        <v>1127</v>
      </c>
      <c r="B800" s="32"/>
      <c r="C800" s="33">
        <v>100</v>
      </c>
      <c r="D800" s="33">
        <v>424</v>
      </c>
      <c r="E800" s="33">
        <v>11.7</v>
      </c>
      <c r="F800" s="48">
        <v>7.1</v>
      </c>
      <c r="G800" s="48">
        <v>15.7</v>
      </c>
      <c r="H800" s="33">
        <v>1.4</v>
      </c>
      <c r="I800" s="48">
        <v>63.5</v>
      </c>
      <c r="J800" s="33">
        <v>8</v>
      </c>
      <c r="K800" s="33">
        <v>0.11</v>
      </c>
      <c r="L800" s="33">
        <v>0.05</v>
      </c>
      <c r="M800" s="33">
        <v>2.7</v>
      </c>
      <c r="N800" s="33">
        <v>1.49</v>
      </c>
      <c r="O800" s="33">
        <v>24.3</v>
      </c>
      <c r="P800" s="33">
        <v>66</v>
      </c>
      <c r="Q800" s="33">
        <v>2.8</v>
      </c>
      <c r="R800" s="33" t="s">
        <v>1042</v>
      </c>
      <c r="S800" s="32"/>
      <c r="T800" s="33">
        <v>25</v>
      </c>
      <c r="U800" s="49"/>
    </row>
    <row r="801" spans="1:21">
      <c r="A801" s="50" t="s">
        <v>1128</v>
      </c>
      <c r="B801" s="32"/>
      <c r="C801" s="33">
        <v>100</v>
      </c>
      <c r="D801" s="33">
        <v>280</v>
      </c>
      <c r="E801" s="33">
        <v>43.6</v>
      </c>
      <c r="F801" s="48">
        <v>6.1</v>
      </c>
      <c r="G801" s="48">
        <v>12.3</v>
      </c>
      <c r="H801" s="33">
        <v>1.2</v>
      </c>
      <c r="I801" s="48">
        <v>36.1</v>
      </c>
      <c r="J801" s="32"/>
      <c r="K801" s="33">
        <v>0.03</v>
      </c>
      <c r="L801" s="33">
        <v>0.02</v>
      </c>
      <c r="M801" s="33">
        <v>3.6</v>
      </c>
      <c r="N801" s="33">
        <v>3.61</v>
      </c>
      <c r="O801" s="33">
        <v>96.6</v>
      </c>
      <c r="P801" s="33">
        <v>24</v>
      </c>
      <c r="Q801" s="33">
        <v>2.4</v>
      </c>
      <c r="R801" s="33" t="s">
        <v>1042</v>
      </c>
      <c r="S801" s="32"/>
      <c r="T801" s="33">
        <v>25</v>
      </c>
      <c r="U801" s="49"/>
    </row>
    <row r="802" spans="1:21">
      <c r="A802" s="50" t="s">
        <v>1129</v>
      </c>
      <c r="B802" s="33" t="s">
        <v>1618</v>
      </c>
      <c r="C802" s="33">
        <v>100</v>
      </c>
      <c r="D802" s="33">
        <v>435</v>
      </c>
      <c r="E802" s="33">
        <v>8</v>
      </c>
      <c r="F802" s="48">
        <v>8.6</v>
      </c>
      <c r="G802" s="48">
        <v>14.7</v>
      </c>
      <c r="H802" s="33">
        <v>1</v>
      </c>
      <c r="I802" s="48">
        <v>67.099999999999994</v>
      </c>
      <c r="J802" s="33">
        <v>13</v>
      </c>
      <c r="K802" s="33">
        <v>0.05</v>
      </c>
      <c r="L802" s="33">
        <v>0.3</v>
      </c>
      <c r="M802" s="33">
        <v>0.8</v>
      </c>
      <c r="N802" s="33">
        <v>1.92</v>
      </c>
      <c r="O802" s="33">
        <v>13.6</v>
      </c>
      <c r="P802" s="32"/>
      <c r="Q802" s="33">
        <v>4.9000000000000004</v>
      </c>
      <c r="R802" s="33" t="s">
        <v>1042</v>
      </c>
      <c r="S802" s="32"/>
      <c r="T802" s="33">
        <v>25</v>
      </c>
      <c r="U802" s="49"/>
    </row>
    <row r="803" spans="1:21">
      <c r="A803" s="50" t="s">
        <v>1130</v>
      </c>
      <c r="B803" s="33" t="s">
        <v>1618</v>
      </c>
      <c r="C803" s="33">
        <v>100</v>
      </c>
      <c r="D803" s="33">
        <v>390</v>
      </c>
      <c r="E803" s="33">
        <v>2.1</v>
      </c>
      <c r="F803" s="48">
        <v>0.2</v>
      </c>
      <c r="G803" s="51"/>
      <c r="H803" s="32"/>
      <c r="I803" s="48">
        <v>97.3</v>
      </c>
      <c r="J803" s="32"/>
      <c r="K803" s="33">
        <v>0.13</v>
      </c>
      <c r="L803" s="33">
        <v>1.19</v>
      </c>
      <c r="M803" s="33">
        <v>0.2</v>
      </c>
      <c r="N803" s="32"/>
      <c r="O803" s="33">
        <v>22.6</v>
      </c>
      <c r="P803" s="33">
        <v>29</v>
      </c>
      <c r="Q803" s="33">
        <v>12.6</v>
      </c>
      <c r="R803" s="33" t="s">
        <v>1131</v>
      </c>
      <c r="S803" s="33">
        <v>31</v>
      </c>
      <c r="T803" s="33">
        <v>10</v>
      </c>
      <c r="U803" s="49"/>
    </row>
    <row r="804" spans="1:21">
      <c r="A804" s="50" t="s">
        <v>1132</v>
      </c>
      <c r="B804" s="33" t="s">
        <v>1618</v>
      </c>
      <c r="C804" s="33">
        <v>100</v>
      </c>
      <c r="D804" s="33">
        <v>45</v>
      </c>
      <c r="E804" s="33">
        <v>88.7</v>
      </c>
      <c r="F804" s="51"/>
      <c r="G804" s="51"/>
      <c r="H804" s="32"/>
      <c r="I804" s="48">
        <v>11.2</v>
      </c>
      <c r="J804" s="33">
        <v>0.2</v>
      </c>
      <c r="K804" s="32"/>
      <c r="L804" s="32"/>
      <c r="M804" s="32"/>
      <c r="N804" s="32"/>
      <c r="O804" s="33">
        <v>11.4</v>
      </c>
      <c r="P804" s="32"/>
      <c r="Q804" s="33">
        <v>0.1</v>
      </c>
      <c r="R804" s="33" t="s">
        <v>1131</v>
      </c>
      <c r="S804" s="32"/>
      <c r="T804" s="33">
        <v>10</v>
      </c>
      <c r="U804" s="49"/>
    </row>
    <row r="805" spans="1:21">
      <c r="A805" s="50" t="s">
        <v>1133</v>
      </c>
      <c r="B805" s="32"/>
      <c r="C805" s="33">
        <v>100</v>
      </c>
      <c r="D805" s="33">
        <v>47</v>
      </c>
      <c r="E805" s="33">
        <v>88.3</v>
      </c>
      <c r="F805" s="48">
        <v>0.8</v>
      </c>
      <c r="G805" s="48">
        <v>0.2</v>
      </c>
      <c r="H805" s="32"/>
      <c r="I805" s="48">
        <v>10.5</v>
      </c>
      <c r="J805" s="32"/>
      <c r="K805" s="33">
        <v>0.01</v>
      </c>
      <c r="L805" s="33">
        <v>0.01</v>
      </c>
      <c r="M805" s="33">
        <v>0.2</v>
      </c>
      <c r="N805" s="33">
        <v>0.11</v>
      </c>
      <c r="O805" s="33">
        <v>20.399999999999999</v>
      </c>
      <c r="P805" s="33">
        <v>31</v>
      </c>
      <c r="Q805" s="33">
        <v>0.9</v>
      </c>
      <c r="R805" s="33" t="s">
        <v>1131</v>
      </c>
      <c r="S805" s="32"/>
      <c r="T805" s="33">
        <v>10</v>
      </c>
      <c r="U805" s="35">
        <v>45</v>
      </c>
    </row>
    <row r="806" spans="1:21">
      <c r="A806" s="50" t="s">
        <v>1134</v>
      </c>
      <c r="B806" s="32"/>
      <c r="C806" s="33">
        <v>100</v>
      </c>
      <c r="D806" s="33">
        <v>126</v>
      </c>
      <c r="E806" s="33">
        <v>74.400000000000006</v>
      </c>
      <c r="F806" s="48">
        <v>2.4</v>
      </c>
      <c r="G806" s="48">
        <v>5.3</v>
      </c>
      <c r="H806" s="32"/>
      <c r="I806" s="48">
        <v>17.3</v>
      </c>
      <c r="J806" s="33">
        <v>48</v>
      </c>
      <c r="K806" s="33">
        <v>0.01</v>
      </c>
      <c r="L806" s="33">
        <v>0.03</v>
      </c>
      <c r="M806" s="33">
        <v>0.2</v>
      </c>
      <c r="N806" s="33">
        <v>0.24</v>
      </c>
      <c r="O806" s="33">
        <v>54.2</v>
      </c>
      <c r="P806" s="33">
        <v>126</v>
      </c>
      <c r="Q806" s="33">
        <v>0.5</v>
      </c>
      <c r="R806" s="33" t="s">
        <v>1131</v>
      </c>
      <c r="S806" s="32"/>
      <c r="T806" s="33">
        <v>10</v>
      </c>
      <c r="U806" s="35">
        <v>51</v>
      </c>
    </row>
    <row r="807" spans="1:21">
      <c r="A807" s="50" t="s">
        <v>1135</v>
      </c>
      <c r="B807" s="32"/>
      <c r="C807" s="33">
        <v>100</v>
      </c>
      <c r="D807" s="33">
        <v>153</v>
      </c>
      <c r="E807" s="33">
        <v>69.599999999999994</v>
      </c>
      <c r="F807" s="48">
        <v>2.9</v>
      </c>
      <c r="G807" s="48">
        <v>6.8</v>
      </c>
      <c r="H807" s="32"/>
      <c r="I807" s="48">
        <v>20</v>
      </c>
      <c r="J807" s="33">
        <v>20</v>
      </c>
      <c r="K807" s="33">
        <v>0.01</v>
      </c>
      <c r="L807" s="33">
        <v>0.04</v>
      </c>
      <c r="M807" s="33">
        <v>0.2</v>
      </c>
      <c r="N807" s="33">
        <v>0.73</v>
      </c>
      <c r="O807" s="33">
        <v>43.5</v>
      </c>
      <c r="P807" s="33">
        <v>140</v>
      </c>
      <c r="Q807" s="33">
        <v>0.4</v>
      </c>
      <c r="R807" s="33" t="s">
        <v>1131</v>
      </c>
      <c r="S807" s="32"/>
      <c r="T807" s="33">
        <v>10</v>
      </c>
      <c r="U807" s="35">
        <v>35</v>
      </c>
    </row>
    <row r="808" spans="1:21">
      <c r="A808" s="50" t="s">
        <v>1136</v>
      </c>
      <c r="B808" s="33" t="s">
        <v>1618</v>
      </c>
      <c r="C808" s="33">
        <v>100</v>
      </c>
      <c r="D808" s="33">
        <v>25</v>
      </c>
      <c r="E808" s="33">
        <v>93.8</v>
      </c>
      <c r="F808" s="48">
        <v>0.1</v>
      </c>
      <c r="G808" s="51"/>
      <c r="H808" s="32"/>
      <c r="I808" s="48">
        <v>6.1</v>
      </c>
      <c r="J808" s="33">
        <v>8</v>
      </c>
      <c r="K808" s="33">
        <v>0.08</v>
      </c>
      <c r="L808" s="33">
        <v>0.13</v>
      </c>
      <c r="M808" s="33">
        <v>1.3</v>
      </c>
      <c r="N808" s="32"/>
      <c r="O808" s="33">
        <v>5.3</v>
      </c>
      <c r="P808" s="33">
        <v>8</v>
      </c>
      <c r="Q808" s="33">
        <v>0.1</v>
      </c>
      <c r="R808" s="33" t="s">
        <v>1131</v>
      </c>
      <c r="S808" s="32"/>
      <c r="T808" s="33">
        <v>10</v>
      </c>
      <c r="U808" s="49"/>
    </row>
    <row r="809" spans="1:21">
      <c r="A809" s="50" t="s">
        <v>1137</v>
      </c>
      <c r="B809" s="33" t="s">
        <v>1618</v>
      </c>
      <c r="C809" s="33">
        <v>100</v>
      </c>
      <c r="D809" s="33">
        <v>32</v>
      </c>
      <c r="E809" s="33">
        <v>91.9</v>
      </c>
      <c r="F809" s="51"/>
      <c r="G809" s="51"/>
      <c r="H809" s="32"/>
      <c r="I809" s="48">
        <v>8.1</v>
      </c>
      <c r="J809" s="32"/>
      <c r="K809" s="33">
        <v>0.02</v>
      </c>
      <c r="L809" s="33">
        <v>0.01</v>
      </c>
      <c r="M809" s="32"/>
      <c r="N809" s="32"/>
      <c r="O809" s="33">
        <v>4.4000000000000004</v>
      </c>
      <c r="P809" s="33">
        <v>6</v>
      </c>
      <c r="Q809" s="32"/>
      <c r="R809" s="33" t="s">
        <v>1131</v>
      </c>
      <c r="S809" s="32"/>
      <c r="T809" s="33">
        <v>10</v>
      </c>
      <c r="U809" s="49"/>
    </row>
    <row r="810" spans="1:21">
      <c r="A810" s="50" t="s">
        <v>1138</v>
      </c>
      <c r="B810" s="33" t="s">
        <v>1618</v>
      </c>
      <c r="C810" s="33">
        <v>100</v>
      </c>
      <c r="D810" s="33">
        <v>157</v>
      </c>
      <c r="E810" s="33">
        <v>61</v>
      </c>
      <c r="F810" s="51"/>
      <c r="G810" s="48">
        <v>0.2</v>
      </c>
      <c r="H810" s="32"/>
      <c r="I810" s="48">
        <v>38.700000000000003</v>
      </c>
      <c r="J810" s="32"/>
      <c r="K810" s="33">
        <v>0.15</v>
      </c>
      <c r="L810" s="32"/>
      <c r="M810" s="33">
        <v>0.1</v>
      </c>
      <c r="N810" s="32"/>
      <c r="O810" s="33">
        <v>19.100000000000001</v>
      </c>
      <c r="P810" s="33">
        <v>5</v>
      </c>
      <c r="Q810" s="33">
        <v>0.3</v>
      </c>
      <c r="R810" s="33" t="s">
        <v>1131</v>
      </c>
      <c r="S810" s="32"/>
      <c r="T810" s="33">
        <v>10</v>
      </c>
      <c r="U810" s="49"/>
    </row>
    <row r="811" spans="1:21">
      <c r="A811" s="50" t="s">
        <v>1139</v>
      </c>
      <c r="B811" s="33" t="s">
        <v>1618</v>
      </c>
      <c r="C811" s="33">
        <v>100</v>
      </c>
      <c r="D811" s="33">
        <v>130</v>
      </c>
      <c r="E811" s="33">
        <v>67.099999999999994</v>
      </c>
      <c r="F811" s="48">
        <v>0.1</v>
      </c>
      <c r="G811" s="48">
        <v>0.2</v>
      </c>
      <c r="H811" s="33">
        <v>0.5</v>
      </c>
      <c r="I811" s="48">
        <v>32</v>
      </c>
      <c r="J811" s="33">
        <v>450</v>
      </c>
      <c r="K811" s="32"/>
      <c r="L811" s="33">
        <v>0.62</v>
      </c>
      <c r="M811" s="33">
        <v>1</v>
      </c>
      <c r="N811" s="32"/>
      <c r="O811" s="33">
        <v>72.5</v>
      </c>
      <c r="P811" s="33">
        <v>7</v>
      </c>
      <c r="Q811" s="33">
        <v>0.2</v>
      </c>
      <c r="R811" s="33" t="s">
        <v>1131</v>
      </c>
      <c r="S811" s="33">
        <v>12</v>
      </c>
      <c r="T811" s="33">
        <v>10</v>
      </c>
      <c r="U811" s="49"/>
    </row>
    <row r="812" spans="1:21">
      <c r="A812" s="50" t="s">
        <v>1140</v>
      </c>
      <c r="B812" s="33" t="s">
        <v>1618</v>
      </c>
      <c r="C812" s="33">
        <v>100</v>
      </c>
      <c r="D812" s="33">
        <v>390</v>
      </c>
      <c r="E812" s="33">
        <v>2.8</v>
      </c>
      <c r="F812" s="48">
        <v>0.2</v>
      </c>
      <c r="G812" s="48">
        <v>0.4</v>
      </c>
      <c r="H812" s="32"/>
      <c r="I812" s="48">
        <v>96.5</v>
      </c>
      <c r="J812" s="33">
        <v>3</v>
      </c>
      <c r="K812" s="33">
        <v>0.18</v>
      </c>
      <c r="L812" s="33">
        <v>1.45</v>
      </c>
      <c r="M812" s="33">
        <v>0.4</v>
      </c>
      <c r="N812" s="32"/>
      <c r="O812" s="33">
        <v>33</v>
      </c>
      <c r="P812" s="33">
        <v>14</v>
      </c>
      <c r="Q812" s="33">
        <v>0.7</v>
      </c>
      <c r="R812" s="33" t="s">
        <v>1131</v>
      </c>
      <c r="S812" s="33">
        <v>3</v>
      </c>
      <c r="T812" s="33">
        <v>10</v>
      </c>
      <c r="U812" s="49"/>
    </row>
    <row r="813" spans="1:21">
      <c r="A813" s="50" t="s">
        <v>1141</v>
      </c>
      <c r="B813" s="33" t="s">
        <v>1718</v>
      </c>
      <c r="C813" s="33">
        <v>100</v>
      </c>
      <c r="D813" s="33">
        <v>235</v>
      </c>
      <c r="E813" s="33">
        <v>41.3</v>
      </c>
      <c r="F813" s="48">
        <v>0.8</v>
      </c>
      <c r="G813" s="48">
        <v>0.3</v>
      </c>
      <c r="H813" s="32"/>
      <c r="I813" s="48">
        <v>57.3</v>
      </c>
      <c r="J813" s="33">
        <v>122</v>
      </c>
      <c r="K813" s="33">
        <v>0.04</v>
      </c>
      <c r="L813" s="33">
        <v>0.02</v>
      </c>
      <c r="M813" s="33">
        <v>0.3</v>
      </c>
      <c r="N813" s="33">
        <v>0.04</v>
      </c>
      <c r="O813" s="33">
        <v>4.4000000000000004</v>
      </c>
      <c r="P813" s="33">
        <v>21</v>
      </c>
      <c r="Q813" s="33">
        <v>0.7</v>
      </c>
      <c r="R813" s="33" t="s">
        <v>1131</v>
      </c>
      <c r="S813" s="33">
        <v>80</v>
      </c>
      <c r="T813" s="33">
        <v>10</v>
      </c>
      <c r="U813" s="49"/>
    </row>
    <row r="814" spans="1:21">
      <c r="A814" s="50" t="s">
        <v>1142</v>
      </c>
      <c r="B814" s="33" t="s">
        <v>1718</v>
      </c>
      <c r="C814" s="33">
        <v>100</v>
      </c>
      <c r="D814" s="33">
        <v>95</v>
      </c>
      <c r="E814" s="33">
        <v>76.400000000000006</v>
      </c>
      <c r="F814" s="48">
        <v>0.1</v>
      </c>
      <c r="G814" s="48">
        <v>0.2</v>
      </c>
      <c r="H814" s="32"/>
      <c r="I814" s="48">
        <v>23.2</v>
      </c>
      <c r="J814" s="32"/>
      <c r="K814" s="32"/>
      <c r="L814" s="32"/>
      <c r="M814" s="32"/>
      <c r="N814" s="32"/>
      <c r="O814" s="33">
        <v>4.4000000000000004</v>
      </c>
      <c r="P814" s="33">
        <v>4</v>
      </c>
      <c r="Q814" s="33">
        <v>0.3</v>
      </c>
      <c r="R814" s="33" t="s">
        <v>1131</v>
      </c>
      <c r="S814" s="33">
        <v>187</v>
      </c>
      <c r="T814" s="33">
        <v>10</v>
      </c>
      <c r="U814" s="49"/>
    </row>
    <row r="815" spans="1:21">
      <c r="A815" s="50" t="s">
        <v>1143</v>
      </c>
      <c r="B815" s="32"/>
      <c r="C815" s="33">
        <v>91</v>
      </c>
      <c r="D815" s="33">
        <v>55</v>
      </c>
      <c r="E815" s="33">
        <v>85.2</v>
      </c>
      <c r="F815" s="48">
        <v>0.9</v>
      </c>
      <c r="G815" s="48">
        <v>0.1</v>
      </c>
      <c r="H815" s="33">
        <v>0.8</v>
      </c>
      <c r="I815" s="48">
        <v>12.6</v>
      </c>
      <c r="J815" s="32"/>
      <c r="K815" s="33">
        <v>0.03</v>
      </c>
      <c r="L815" s="33">
        <v>0.03</v>
      </c>
      <c r="M815" s="33">
        <v>0.3</v>
      </c>
      <c r="N815" s="33">
        <v>0.86</v>
      </c>
      <c r="O815" s="33">
        <v>5.5</v>
      </c>
      <c r="P815" s="33">
        <v>21</v>
      </c>
      <c r="Q815" s="33">
        <v>0.6</v>
      </c>
      <c r="R815" s="33" t="s">
        <v>499</v>
      </c>
      <c r="S815" s="33">
        <v>13</v>
      </c>
      <c r="T815" s="33">
        <v>50</v>
      </c>
      <c r="U815" s="49"/>
    </row>
    <row r="816" spans="1:21">
      <c r="A816" s="50" t="s">
        <v>1144</v>
      </c>
      <c r="B816" s="33" t="s">
        <v>1643</v>
      </c>
      <c r="C816" s="33">
        <v>94</v>
      </c>
      <c r="D816" s="33">
        <v>20</v>
      </c>
      <c r="E816" s="33">
        <v>93.9</v>
      </c>
      <c r="F816" s="48">
        <v>0.8</v>
      </c>
      <c r="G816" s="48">
        <v>0.1</v>
      </c>
      <c r="H816" s="33">
        <v>0.6</v>
      </c>
      <c r="I816" s="48">
        <v>4</v>
      </c>
      <c r="J816" s="33">
        <v>3</v>
      </c>
      <c r="K816" s="33">
        <v>0.03</v>
      </c>
      <c r="L816" s="33">
        <v>0.06</v>
      </c>
      <c r="M816" s="33">
        <v>0.6</v>
      </c>
      <c r="N816" s="33">
        <v>1</v>
      </c>
      <c r="O816" s="33">
        <v>60</v>
      </c>
      <c r="P816" s="33">
        <v>56</v>
      </c>
      <c r="Q816" s="33">
        <v>0.3</v>
      </c>
      <c r="R816" s="33" t="s">
        <v>499</v>
      </c>
      <c r="S816" s="33">
        <v>18</v>
      </c>
      <c r="T816" s="33">
        <v>50</v>
      </c>
      <c r="U816" s="49"/>
    </row>
    <row r="817" spans="1:21">
      <c r="A817" s="50" t="s">
        <v>1145</v>
      </c>
      <c r="B817" s="32"/>
      <c r="C817" s="33">
        <v>95</v>
      </c>
      <c r="D817" s="33">
        <v>20</v>
      </c>
      <c r="E817" s="33">
        <v>93.4</v>
      </c>
      <c r="F817" s="48">
        <v>0.9</v>
      </c>
      <c r="G817" s="48">
        <v>0.1</v>
      </c>
      <c r="H817" s="33">
        <v>1</v>
      </c>
      <c r="I817" s="48">
        <v>4</v>
      </c>
      <c r="J817" s="33">
        <v>3</v>
      </c>
      <c r="K817" s="33">
        <v>0.02</v>
      </c>
      <c r="L817" s="33">
        <v>0.03</v>
      </c>
      <c r="M817" s="33">
        <v>0.3</v>
      </c>
      <c r="N817" s="33">
        <v>0.92</v>
      </c>
      <c r="O817" s="33">
        <v>61.8</v>
      </c>
      <c r="P817" s="33">
        <v>36</v>
      </c>
      <c r="Q817" s="33">
        <v>0.5</v>
      </c>
      <c r="R817" s="33" t="s">
        <v>499</v>
      </c>
      <c r="S817" s="33">
        <v>21</v>
      </c>
      <c r="T817" s="33">
        <v>50</v>
      </c>
      <c r="U817" s="49"/>
    </row>
    <row r="818" spans="1:21">
      <c r="A818" s="50" t="s">
        <v>1146</v>
      </c>
      <c r="B818" s="32"/>
      <c r="C818" s="33">
        <v>94</v>
      </c>
      <c r="D818" s="33">
        <v>26</v>
      </c>
      <c r="E818" s="33">
        <v>91.6</v>
      </c>
      <c r="F818" s="48">
        <v>1.2</v>
      </c>
      <c r="G818" s="48">
        <v>0.1</v>
      </c>
      <c r="H818" s="33">
        <v>1.2</v>
      </c>
      <c r="I818" s="48">
        <v>5.2</v>
      </c>
      <c r="J818" s="33">
        <v>3</v>
      </c>
      <c r="K818" s="33">
        <v>0.03</v>
      </c>
      <c r="L818" s="33">
        <v>0.04</v>
      </c>
      <c r="M818" s="33">
        <v>0.6</v>
      </c>
      <c r="N818" s="33">
        <v>1.8</v>
      </c>
      <c r="O818" s="33">
        <v>68</v>
      </c>
      <c r="P818" s="33">
        <v>45</v>
      </c>
      <c r="Q818" s="33">
        <v>0.6</v>
      </c>
      <c r="R818" s="33" t="s">
        <v>499</v>
      </c>
      <c r="S818" s="33">
        <v>24</v>
      </c>
      <c r="T818" s="33">
        <v>50</v>
      </c>
      <c r="U818" s="49"/>
    </row>
    <row r="819" spans="1:21">
      <c r="A819" s="50" t="s">
        <v>1147</v>
      </c>
      <c r="B819" s="32"/>
      <c r="C819" s="33">
        <v>66</v>
      </c>
      <c r="D819" s="33">
        <v>19</v>
      </c>
      <c r="E819" s="33">
        <v>93.9</v>
      </c>
      <c r="F819" s="48">
        <v>1.1000000000000001</v>
      </c>
      <c r="G819" s="48">
        <v>0.2</v>
      </c>
      <c r="H819" s="33">
        <v>1</v>
      </c>
      <c r="I819" s="48">
        <v>3.2</v>
      </c>
      <c r="J819" s="33">
        <v>3</v>
      </c>
      <c r="K819" s="33">
        <v>0.02</v>
      </c>
      <c r="L819" s="33">
        <v>0.04</v>
      </c>
      <c r="M819" s="33">
        <v>0.4</v>
      </c>
      <c r="N819" s="33">
        <v>0.78</v>
      </c>
      <c r="O819" s="33">
        <v>33.5</v>
      </c>
      <c r="P819" s="33">
        <v>32</v>
      </c>
      <c r="Q819" s="33">
        <v>0.4</v>
      </c>
      <c r="R819" s="33" t="s">
        <v>499</v>
      </c>
      <c r="S819" s="33">
        <v>22</v>
      </c>
      <c r="T819" s="33">
        <v>50</v>
      </c>
      <c r="U819" s="49"/>
    </row>
    <row r="820" spans="1:21">
      <c r="A820" s="50" t="s">
        <v>1148</v>
      </c>
      <c r="B820" s="33" t="s">
        <v>1708</v>
      </c>
      <c r="C820" s="33">
        <v>94</v>
      </c>
      <c r="D820" s="33">
        <v>39</v>
      </c>
      <c r="E820" s="33">
        <v>88</v>
      </c>
      <c r="F820" s="48">
        <v>1.2</v>
      </c>
      <c r="G820" s="51"/>
      <c r="H820" s="33">
        <v>1.4</v>
      </c>
      <c r="I820" s="48">
        <v>8.4</v>
      </c>
      <c r="J820" s="33">
        <v>13</v>
      </c>
      <c r="K820" s="33">
        <v>0.02</v>
      </c>
      <c r="L820" s="33">
        <v>0.02</v>
      </c>
      <c r="M820" s="33">
        <v>0.1</v>
      </c>
      <c r="N820" s="33">
        <v>0</v>
      </c>
      <c r="O820" s="33">
        <v>49.1</v>
      </c>
      <c r="P820" s="33">
        <v>86</v>
      </c>
      <c r="Q820" s="33">
        <v>0.9</v>
      </c>
      <c r="R820" s="33" t="s">
        <v>499</v>
      </c>
      <c r="S820" s="33">
        <v>20</v>
      </c>
      <c r="T820" s="33">
        <v>50</v>
      </c>
      <c r="U820" s="49"/>
    </row>
    <row r="821" spans="1:21">
      <c r="A821" s="50" t="s">
        <v>1149</v>
      </c>
      <c r="B821" s="32"/>
      <c r="C821" s="33">
        <v>95</v>
      </c>
      <c r="D821" s="33">
        <v>31</v>
      </c>
      <c r="E821" s="33">
        <v>91</v>
      </c>
      <c r="F821" s="48">
        <v>1.3</v>
      </c>
      <c r="G821" s="48">
        <v>0.2</v>
      </c>
      <c r="H821" s="33">
        <v>0.8</v>
      </c>
      <c r="I821" s="48">
        <v>6</v>
      </c>
      <c r="J821" s="33">
        <v>10</v>
      </c>
      <c r="K821" s="33">
        <v>0.04</v>
      </c>
      <c r="L821" s="33">
        <v>0.06</v>
      </c>
      <c r="M821" s="32"/>
      <c r="N821" s="33">
        <v>0.22</v>
      </c>
      <c r="O821" s="33">
        <v>69.900000000000006</v>
      </c>
      <c r="P821" s="33">
        <v>40</v>
      </c>
      <c r="Q821" s="33">
        <v>0.8</v>
      </c>
      <c r="R821" s="33" t="s">
        <v>499</v>
      </c>
      <c r="S821" s="33">
        <v>14</v>
      </c>
      <c r="T821" s="33">
        <v>50</v>
      </c>
      <c r="U821" s="49"/>
    </row>
    <row r="822" spans="1:21">
      <c r="A822" s="50" t="s">
        <v>1150</v>
      </c>
      <c r="B822" s="32"/>
      <c r="C822" s="33">
        <v>93</v>
      </c>
      <c r="D822" s="33">
        <v>20</v>
      </c>
      <c r="E822" s="33">
        <v>92.9</v>
      </c>
      <c r="F822" s="48">
        <v>0.8</v>
      </c>
      <c r="G822" s="51"/>
      <c r="H822" s="33">
        <v>1.4</v>
      </c>
      <c r="I822" s="48">
        <v>4.0999999999999996</v>
      </c>
      <c r="J822" s="33">
        <v>42</v>
      </c>
      <c r="K822" s="33">
        <v>0.03</v>
      </c>
      <c r="L822" s="33">
        <v>0.05</v>
      </c>
      <c r="M822" s="32"/>
      <c r="N822" s="32"/>
      <c r="O822" s="33">
        <v>9.6999999999999993</v>
      </c>
      <c r="P822" s="32"/>
      <c r="Q822" s="32"/>
      <c r="R822" s="33" t="s">
        <v>499</v>
      </c>
      <c r="S822" s="33">
        <v>45</v>
      </c>
      <c r="T822" s="33">
        <v>50</v>
      </c>
      <c r="U822" s="49"/>
    </row>
    <row r="823" spans="1:21">
      <c r="A823" s="50" t="s">
        <v>1151</v>
      </c>
      <c r="B823" s="32"/>
      <c r="C823" s="33">
        <v>88</v>
      </c>
      <c r="D823" s="33">
        <v>21</v>
      </c>
      <c r="E823" s="33">
        <v>93.5</v>
      </c>
      <c r="F823" s="48">
        <v>0.8</v>
      </c>
      <c r="G823" s="48">
        <v>0.2</v>
      </c>
      <c r="H823" s="33">
        <v>0.8</v>
      </c>
      <c r="I823" s="48">
        <v>4.0999999999999996</v>
      </c>
      <c r="J823" s="33">
        <v>2</v>
      </c>
      <c r="K823" s="33">
        <v>0.02</v>
      </c>
      <c r="L823" s="33">
        <v>0.04</v>
      </c>
      <c r="M823" s="33">
        <v>0.4</v>
      </c>
      <c r="N823" s="32"/>
      <c r="O823" s="33">
        <v>85.4</v>
      </c>
      <c r="P823" s="33">
        <v>68</v>
      </c>
      <c r="Q823" s="33">
        <v>0.5</v>
      </c>
      <c r="R823" s="33" t="s">
        <v>499</v>
      </c>
      <c r="S823" s="33">
        <v>23</v>
      </c>
      <c r="T823" s="33">
        <v>50</v>
      </c>
      <c r="U823" s="49"/>
    </row>
    <row r="824" spans="1:21">
      <c r="A824" s="50" t="s">
        <v>1152</v>
      </c>
      <c r="B824" s="32"/>
      <c r="C824" s="33">
        <v>94</v>
      </c>
      <c r="D824" s="33">
        <v>76</v>
      </c>
      <c r="E824" s="33">
        <v>79.8</v>
      </c>
      <c r="F824" s="48">
        <v>2</v>
      </c>
      <c r="G824" s="48">
        <v>0.2</v>
      </c>
      <c r="H824" s="33">
        <v>0.7</v>
      </c>
      <c r="I824" s="48">
        <v>16.5</v>
      </c>
      <c r="J824" s="33">
        <v>5</v>
      </c>
      <c r="K824" s="33">
        <v>0.08</v>
      </c>
      <c r="L824" s="33">
        <v>0.04</v>
      </c>
      <c r="M824" s="33">
        <v>1.1000000000000001</v>
      </c>
      <c r="N824" s="33">
        <v>0.34</v>
      </c>
      <c r="O824" s="33">
        <v>2.7</v>
      </c>
      <c r="P824" s="33">
        <v>8</v>
      </c>
      <c r="Q824" s="33">
        <v>0.8</v>
      </c>
      <c r="R824" s="33" t="s">
        <v>499</v>
      </c>
      <c r="S824" s="33">
        <v>27</v>
      </c>
      <c r="T824" s="33">
        <v>50</v>
      </c>
      <c r="U824" s="49"/>
    </row>
    <row r="825" spans="1:21">
      <c r="A825" s="50" t="s">
        <v>1153</v>
      </c>
      <c r="B825" s="33" t="s">
        <v>1618</v>
      </c>
      <c r="C825" s="33">
        <v>100</v>
      </c>
      <c r="D825" s="33">
        <v>337</v>
      </c>
      <c r="E825" s="33">
        <v>12</v>
      </c>
      <c r="F825" s="48">
        <v>7.2</v>
      </c>
      <c r="G825" s="48">
        <v>0.5</v>
      </c>
      <c r="H825" s="33">
        <v>1.4</v>
      </c>
      <c r="I825" s="48">
        <v>76</v>
      </c>
      <c r="J825" s="33">
        <v>20</v>
      </c>
      <c r="K825" s="33">
        <v>0.08</v>
      </c>
      <c r="L825" s="33">
        <v>0.06</v>
      </c>
      <c r="M825" s="33">
        <v>5.0999999999999996</v>
      </c>
      <c r="N825" s="33">
        <v>0.28000000000000003</v>
      </c>
      <c r="O825" s="33">
        <v>4.7</v>
      </c>
      <c r="P825" s="33">
        <v>171</v>
      </c>
      <c r="Q825" s="33">
        <v>10.7</v>
      </c>
      <c r="R825" s="33" t="s">
        <v>499</v>
      </c>
      <c r="S825" s="32"/>
      <c r="T825" s="33">
        <v>50</v>
      </c>
      <c r="U825" s="49"/>
    </row>
    <row r="826" spans="1:21">
      <c r="A826" s="50" t="s">
        <v>1154</v>
      </c>
      <c r="B826" s="32"/>
      <c r="C826" s="33">
        <v>100</v>
      </c>
      <c r="D826" s="33">
        <v>612</v>
      </c>
      <c r="E826" s="33">
        <v>4.0999999999999996</v>
      </c>
      <c r="F826" s="48">
        <v>4</v>
      </c>
      <c r="G826" s="48">
        <v>48.4</v>
      </c>
      <c r="H826" s="33">
        <v>1.9</v>
      </c>
      <c r="I826" s="48">
        <v>40</v>
      </c>
      <c r="J826" s="33">
        <v>8</v>
      </c>
      <c r="K826" s="33">
        <v>0.09</v>
      </c>
      <c r="L826" s="33">
        <v>0.05</v>
      </c>
      <c r="M826" s="33">
        <v>6.4</v>
      </c>
      <c r="N826" s="33">
        <v>5.22</v>
      </c>
      <c r="O826" s="33">
        <v>60.9</v>
      </c>
      <c r="P826" s="33">
        <v>11</v>
      </c>
      <c r="Q826" s="33">
        <v>1.2</v>
      </c>
      <c r="R826" s="33" t="s">
        <v>499</v>
      </c>
      <c r="S826" s="32"/>
      <c r="T826" s="33">
        <v>50</v>
      </c>
      <c r="U826" s="49"/>
    </row>
    <row r="827" spans="1:21">
      <c r="A827" s="50" t="s">
        <v>1155</v>
      </c>
      <c r="B827" s="33" t="s">
        <v>1656</v>
      </c>
      <c r="C827" s="33">
        <v>100</v>
      </c>
      <c r="D827" s="33">
        <v>337</v>
      </c>
      <c r="E827" s="33">
        <v>11.4</v>
      </c>
      <c r="F827" s="48">
        <v>5.7</v>
      </c>
      <c r="G827" s="48">
        <v>0.5</v>
      </c>
      <c r="H827" s="33">
        <v>3.3</v>
      </c>
      <c r="I827" s="48">
        <v>77.400000000000006</v>
      </c>
      <c r="J827" s="32"/>
      <c r="K827" s="33">
        <v>0.14000000000000001</v>
      </c>
      <c r="L827" s="32"/>
      <c r="M827" s="32"/>
      <c r="N827" s="32"/>
      <c r="O827" s="33">
        <v>22.6</v>
      </c>
      <c r="P827" s="33">
        <v>39</v>
      </c>
      <c r="Q827" s="33">
        <v>2.4</v>
      </c>
      <c r="R827" s="33" t="s">
        <v>499</v>
      </c>
      <c r="S827" s="33">
        <v>20</v>
      </c>
      <c r="T827" s="33">
        <v>50</v>
      </c>
      <c r="U827" s="49"/>
    </row>
    <row r="828" spans="1:21">
      <c r="A828" s="50" t="s">
        <v>1156</v>
      </c>
      <c r="B828" s="33" t="s">
        <v>1656</v>
      </c>
      <c r="C828" s="33">
        <v>100</v>
      </c>
      <c r="D828" s="33">
        <v>343</v>
      </c>
      <c r="E828" s="33">
        <v>10.1</v>
      </c>
      <c r="F828" s="48">
        <v>5.2</v>
      </c>
      <c r="G828" s="48">
        <v>0.6</v>
      </c>
      <c r="H828" s="33">
        <v>3.3</v>
      </c>
      <c r="I828" s="48">
        <v>79.2</v>
      </c>
      <c r="J828" s="32"/>
      <c r="K828" s="33">
        <v>0.14000000000000001</v>
      </c>
      <c r="L828" s="33">
        <v>0.05</v>
      </c>
      <c r="M828" s="33">
        <v>1</v>
      </c>
      <c r="N828" s="32"/>
      <c r="O828" s="33">
        <v>21.1</v>
      </c>
      <c r="P828" s="33">
        <v>41</v>
      </c>
      <c r="Q828" s="33">
        <v>3.4</v>
      </c>
      <c r="R828" s="33" t="s">
        <v>499</v>
      </c>
      <c r="S828" s="33">
        <v>17</v>
      </c>
      <c r="T828" s="33">
        <v>50</v>
      </c>
      <c r="U828" s="49"/>
    </row>
    <row r="829" spans="1:21">
      <c r="A829" s="50" t="s">
        <v>1157</v>
      </c>
      <c r="B829" s="32"/>
      <c r="C829" s="33">
        <v>100</v>
      </c>
      <c r="D829" s="33">
        <v>37</v>
      </c>
      <c r="E829" s="33">
        <v>12.2</v>
      </c>
      <c r="F829" s="48">
        <v>4.5999999999999996</v>
      </c>
      <c r="G829" s="48">
        <v>0.1</v>
      </c>
      <c r="H829" s="33">
        <v>74.400000000000006</v>
      </c>
      <c r="I829" s="48">
        <v>4.4000000000000004</v>
      </c>
      <c r="J829" s="32"/>
      <c r="K829" s="32"/>
      <c r="L829" s="33">
        <v>0.1</v>
      </c>
      <c r="M829" s="33">
        <v>0.4</v>
      </c>
      <c r="N829" s="32"/>
      <c r="O829" s="33">
        <v>49.9</v>
      </c>
      <c r="P829" s="33">
        <v>45</v>
      </c>
      <c r="Q829" s="33">
        <v>1.6</v>
      </c>
      <c r="R829" s="33" t="s">
        <v>499</v>
      </c>
      <c r="S829" s="32"/>
      <c r="T829" s="33">
        <v>50</v>
      </c>
      <c r="U829" s="49"/>
    </row>
    <row r="830" spans="1:21">
      <c r="A830" s="50" t="s">
        <v>1158</v>
      </c>
      <c r="B830" s="33" t="s">
        <v>1641</v>
      </c>
      <c r="C830" s="33">
        <v>61</v>
      </c>
      <c r="D830" s="33">
        <v>29</v>
      </c>
      <c r="E830" s="33">
        <v>88</v>
      </c>
      <c r="F830" s="48">
        <v>2.2999999999999998</v>
      </c>
      <c r="G830" s="51"/>
      <c r="H830" s="33">
        <v>3.6</v>
      </c>
      <c r="I830" s="48">
        <v>5</v>
      </c>
      <c r="J830" s="33">
        <v>5</v>
      </c>
      <c r="K830" s="33">
        <v>0.06</v>
      </c>
      <c r="L830" s="33">
        <v>0.04</v>
      </c>
      <c r="M830" s="33">
        <v>0.6</v>
      </c>
      <c r="N830" s="32"/>
      <c r="O830" s="32"/>
      <c r="P830" s="32"/>
      <c r="Q830" s="32"/>
      <c r="R830" s="33" t="s">
        <v>499</v>
      </c>
      <c r="S830" s="33">
        <v>13</v>
      </c>
      <c r="T830" s="33">
        <v>50</v>
      </c>
      <c r="U830" s="49"/>
    </row>
    <row r="831" spans="1:21">
      <c r="A831" s="50" t="s">
        <v>1159</v>
      </c>
      <c r="B831" s="32"/>
      <c r="C831" s="33">
        <v>88</v>
      </c>
      <c r="D831" s="33">
        <v>70</v>
      </c>
      <c r="E831" s="33">
        <v>80.5</v>
      </c>
      <c r="F831" s="48">
        <v>1.9</v>
      </c>
      <c r="G831" s="48">
        <v>0.2</v>
      </c>
      <c r="H831" s="33">
        <v>1.2</v>
      </c>
      <c r="I831" s="48">
        <v>15.2</v>
      </c>
      <c r="J831" s="33">
        <v>3</v>
      </c>
      <c r="K831" s="33">
        <v>0.09</v>
      </c>
      <c r="L831" s="33">
        <v>0.03</v>
      </c>
      <c r="M831" s="33">
        <v>0.3</v>
      </c>
      <c r="N831" s="33">
        <v>0.73</v>
      </c>
      <c r="O831" s="33">
        <v>44.2</v>
      </c>
      <c r="P831" s="33">
        <v>39</v>
      </c>
      <c r="Q831" s="33">
        <v>1.4</v>
      </c>
      <c r="R831" s="33" t="s">
        <v>499</v>
      </c>
      <c r="S831" s="33">
        <v>44</v>
      </c>
      <c r="T831" s="33">
        <v>50</v>
      </c>
      <c r="U831" s="49"/>
    </row>
    <row r="832" spans="1:21">
      <c r="A832" s="50" t="s">
        <v>1160</v>
      </c>
      <c r="B832" s="33" t="s">
        <v>1644</v>
      </c>
      <c r="C832" s="33">
        <v>100</v>
      </c>
      <c r="D832" s="33">
        <v>372</v>
      </c>
      <c r="E832" s="33">
        <v>6.4</v>
      </c>
      <c r="F832" s="48">
        <v>0.2</v>
      </c>
      <c r="G832" s="51"/>
      <c r="H832" s="33">
        <v>0.1</v>
      </c>
      <c r="I832" s="48">
        <v>92.9</v>
      </c>
      <c r="J832" s="32"/>
      <c r="K832" s="32"/>
      <c r="L832" s="33">
        <v>0.01</v>
      </c>
      <c r="M832" s="33">
        <v>0.4</v>
      </c>
      <c r="N832" s="32"/>
      <c r="O832" s="33">
        <v>10.8</v>
      </c>
      <c r="P832" s="33">
        <v>8</v>
      </c>
      <c r="Q832" s="33">
        <v>41.8</v>
      </c>
      <c r="R832" s="33" t="s">
        <v>499</v>
      </c>
      <c r="S832" s="32"/>
      <c r="T832" s="33">
        <v>50</v>
      </c>
      <c r="U832" s="49"/>
    </row>
    <row r="833" spans="1:21">
      <c r="A833" s="50" t="s">
        <v>1161</v>
      </c>
      <c r="B833" s="33" t="s">
        <v>1627</v>
      </c>
      <c r="C833" s="33">
        <v>100</v>
      </c>
      <c r="D833" s="33">
        <v>344</v>
      </c>
      <c r="E833" s="33">
        <v>13.6</v>
      </c>
      <c r="F833" s="48">
        <v>0.4</v>
      </c>
      <c r="G833" s="48">
        <v>0.1</v>
      </c>
      <c r="H833" s="32"/>
      <c r="I833" s="48">
        <v>85.3</v>
      </c>
      <c r="J833" s="32"/>
      <c r="K833" s="32"/>
      <c r="L833" s="33">
        <v>0.01</v>
      </c>
      <c r="M833" s="33">
        <v>0.2</v>
      </c>
      <c r="N833" s="32"/>
      <c r="O833" s="33">
        <v>6.5</v>
      </c>
      <c r="P833" s="33">
        <v>36</v>
      </c>
      <c r="Q833" s="33">
        <v>20.8</v>
      </c>
      <c r="R833" s="33" t="s">
        <v>499</v>
      </c>
      <c r="S833" s="32"/>
      <c r="T833" s="33">
        <v>50</v>
      </c>
      <c r="U833" s="49"/>
    </row>
    <row r="834" spans="1:21">
      <c r="A834" s="50" t="s">
        <v>1162</v>
      </c>
      <c r="B834" s="32"/>
      <c r="C834" s="33">
        <v>78</v>
      </c>
      <c r="D834" s="33">
        <v>30</v>
      </c>
      <c r="E834" s="33">
        <v>90.8</v>
      </c>
      <c r="F834" s="48">
        <v>1.3</v>
      </c>
      <c r="G834" s="48">
        <v>0.2</v>
      </c>
      <c r="H834" s="33">
        <v>1.3</v>
      </c>
      <c r="I834" s="48">
        <v>5.7</v>
      </c>
      <c r="J834" s="33">
        <v>3</v>
      </c>
      <c r="K834" s="33">
        <v>0.04</v>
      </c>
      <c r="L834" s="33">
        <v>0.02</v>
      </c>
      <c r="M834" s="33">
        <v>0.5</v>
      </c>
      <c r="N834" s="33">
        <v>0.13</v>
      </c>
      <c r="O834" s="33">
        <v>29.8</v>
      </c>
      <c r="P834" s="33">
        <v>25</v>
      </c>
      <c r="Q834" s="33">
        <v>0.3</v>
      </c>
      <c r="R834" s="33" t="s">
        <v>499</v>
      </c>
      <c r="S834" s="33">
        <v>41</v>
      </c>
      <c r="T834" s="33">
        <v>50</v>
      </c>
      <c r="U834" s="49"/>
    </row>
    <row r="835" spans="1:21">
      <c r="A835" s="50" t="s">
        <v>1163</v>
      </c>
      <c r="B835" s="32"/>
      <c r="C835" s="33">
        <v>83</v>
      </c>
      <c r="D835" s="33">
        <v>56</v>
      </c>
      <c r="E835" s="33">
        <v>84.8</v>
      </c>
      <c r="F835" s="48">
        <v>1.9</v>
      </c>
      <c r="G835" s="48">
        <v>0.2</v>
      </c>
      <c r="H835" s="33">
        <v>0.8</v>
      </c>
      <c r="I835" s="48">
        <v>11.6</v>
      </c>
      <c r="J835" s="33">
        <v>7</v>
      </c>
      <c r="K835" s="33">
        <v>0.05</v>
      </c>
      <c r="L835" s="33">
        <v>0.02</v>
      </c>
      <c r="M835" s="33">
        <v>0.3</v>
      </c>
      <c r="N835" s="33">
        <v>0.24</v>
      </c>
      <c r="O835" s="33">
        <v>18.600000000000001</v>
      </c>
      <c r="P835" s="33">
        <v>16</v>
      </c>
      <c r="Q835" s="33">
        <v>0.3</v>
      </c>
      <c r="R835" s="33" t="s">
        <v>499</v>
      </c>
      <c r="S835" s="33">
        <v>5</v>
      </c>
      <c r="T835" s="33">
        <v>50</v>
      </c>
      <c r="U835" s="49"/>
    </row>
    <row r="836" spans="1:21">
      <c r="A836" s="50" t="s">
        <v>1164</v>
      </c>
      <c r="B836" s="33" t="s">
        <v>1659</v>
      </c>
      <c r="C836" s="33">
        <v>100</v>
      </c>
      <c r="D836" s="33">
        <v>324</v>
      </c>
      <c r="E836" s="33">
        <v>15</v>
      </c>
      <c r="F836" s="48">
        <v>9.4</v>
      </c>
      <c r="G836" s="48">
        <v>1</v>
      </c>
      <c r="H836" s="33">
        <v>1.4</v>
      </c>
      <c r="I836" s="48">
        <v>69.400000000000006</v>
      </c>
      <c r="J836" s="32"/>
      <c r="K836" s="33">
        <v>0.25</v>
      </c>
      <c r="L836" s="33">
        <v>0.28000000000000003</v>
      </c>
      <c r="M836" s="32"/>
      <c r="N836" s="33">
        <v>0.44</v>
      </c>
      <c r="O836" s="33">
        <v>104.2</v>
      </c>
      <c r="P836" s="33">
        <v>62</v>
      </c>
      <c r="Q836" s="33">
        <v>0.4</v>
      </c>
      <c r="R836" s="33" t="s">
        <v>499</v>
      </c>
      <c r="S836" s="32"/>
      <c r="T836" s="33">
        <v>50</v>
      </c>
      <c r="U836" s="49"/>
    </row>
    <row r="837" spans="1:21">
      <c r="A837" s="50" t="s">
        <v>1165</v>
      </c>
      <c r="B837" s="32"/>
      <c r="C837" s="33">
        <v>90</v>
      </c>
      <c r="D837" s="33">
        <v>75</v>
      </c>
      <c r="E837" s="33">
        <v>74.8</v>
      </c>
      <c r="F837" s="48">
        <v>1</v>
      </c>
      <c r="G837" s="48">
        <v>0.1</v>
      </c>
      <c r="H837" s="33">
        <v>5.9</v>
      </c>
      <c r="I837" s="48">
        <v>17.600000000000001</v>
      </c>
      <c r="J837" s="32"/>
      <c r="K837" s="33">
        <v>0.05</v>
      </c>
      <c r="L837" s="33">
        <v>0.04</v>
      </c>
      <c r="M837" s="33">
        <v>0.2</v>
      </c>
      <c r="N837" s="33">
        <v>1.85</v>
      </c>
      <c r="O837" s="33">
        <v>20.8</v>
      </c>
      <c r="P837" s="33">
        <v>56</v>
      </c>
      <c r="Q837" s="33">
        <v>0.9</v>
      </c>
      <c r="R837" s="33" t="s">
        <v>499</v>
      </c>
      <c r="S837" s="33">
        <v>8</v>
      </c>
      <c r="T837" s="33">
        <v>50</v>
      </c>
      <c r="U837" s="49"/>
    </row>
    <row r="838" spans="1:21">
      <c r="A838" s="50" t="s">
        <v>1166</v>
      </c>
      <c r="B838" s="32"/>
      <c r="C838" s="33">
        <v>100</v>
      </c>
      <c r="D838" s="33">
        <v>14</v>
      </c>
      <c r="E838" s="33">
        <v>95.2</v>
      </c>
      <c r="F838" s="48">
        <v>1.1000000000000001</v>
      </c>
      <c r="G838" s="48">
        <v>0.2</v>
      </c>
      <c r="H838" s="33">
        <v>0.5</v>
      </c>
      <c r="I838" s="48">
        <v>1.9</v>
      </c>
      <c r="J838" s="33">
        <v>5</v>
      </c>
      <c r="K838" s="33">
        <v>0.02</v>
      </c>
      <c r="L838" s="33">
        <v>0.02</v>
      </c>
      <c r="M838" s="33">
        <v>0.6</v>
      </c>
      <c r="N838" s="33">
        <v>0.86</v>
      </c>
      <c r="O838" s="33">
        <v>43.1</v>
      </c>
      <c r="P838" s="33">
        <v>48</v>
      </c>
      <c r="Q838" s="33">
        <v>1.6</v>
      </c>
      <c r="R838" s="33" t="s">
        <v>526</v>
      </c>
      <c r="S838" s="33">
        <v>2</v>
      </c>
      <c r="T838" s="33">
        <v>50</v>
      </c>
      <c r="U838" s="49"/>
    </row>
    <row r="839" spans="1:21">
      <c r="A839" s="50" t="s">
        <v>1167</v>
      </c>
      <c r="B839" s="32"/>
      <c r="C839" s="33">
        <v>85</v>
      </c>
      <c r="D839" s="33">
        <v>14</v>
      </c>
      <c r="E839" s="33">
        <v>95.2</v>
      </c>
      <c r="F839" s="48">
        <v>1.3</v>
      </c>
      <c r="G839" s="48">
        <v>0.1</v>
      </c>
      <c r="H839" s="33">
        <v>0.9</v>
      </c>
      <c r="I839" s="48">
        <v>1.9</v>
      </c>
      <c r="J839" s="33">
        <v>5</v>
      </c>
      <c r="K839" s="33">
        <v>0.02</v>
      </c>
      <c r="L839" s="33">
        <v>0.03</v>
      </c>
      <c r="M839" s="33">
        <v>0.5</v>
      </c>
      <c r="N839" s="33">
        <v>0.21</v>
      </c>
      <c r="O839" s="33">
        <v>34.799999999999997</v>
      </c>
      <c r="P839" s="33">
        <v>45</v>
      </c>
      <c r="Q839" s="33">
        <v>0.9</v>
      </c>
      <c r="R839" s="33" t="s">
        <v>526</v>
      </c>
      <c r="S839" s="33">
        <v>19</v>
      </c>
      <c r="T839" s="33">
        <v>50</v>
      </c>
      <c r="U839" s="49"/>
    </row>
    <row r="840" spans="1:21">
      <c r="A840" s="50" t="s">
        <v>1168</v>
      </c>
      <c r="B840" s="32"/>
      <c r="C840" s="33">
        <v>82</v>
      </c>
      <c r="D840" s="33">
        <v>30</v>
      </c>
      <c r="E840" s="33">
        <v>91</v>
      </c>
      <c r="F840" s="48">
        <v>1.7</v>
      </c>
      <c r="G840" s="48">
        <v>0.3</v>
      </c>
      <c r="H840" s="33">
        <v>1.3</v>
      </c>
      <c r="I840" s="48">
        <v>5.2</v>
      </c>
      <c r="J840" s="33">
        <v>10</v>
      </c>
      <c r="K840" s="33">
        <v>0.03</v>
      </c>
      <c r="L840" s="33">
        <v>0.05</v>
      </c>
      <c r="M840" s="33">
        <v>0.5</v>
      </c>
      <c r="N840" s="33">
        <v>0.3</v>
      </c>
      <c r="O840" s="33">
        <v>4.8</v>
      </c>
      <c r="P840" s="33">
        <v>29</v>
      </c>
      <c r="Q840" s="33">
        <v>0.7</v>
      </c>
      <c r="R840" s="33" t="s">
        <v>526</v>
      </c>
      <c r="S840" s="33">
        <v>17</v>
      </c>
      <c r="T840" s="33">
        <v>50</v>
      </c>
      <c r="U840" s="49"/>
    </row>
    <row r="841" spans="1:21">
      <c r="A841" s="50" t="s">
        <v>1169</v>
      </c>
      <c r="B841" s="32"/>
      <c r="C841" s="33">
        <v>85</v>
      </c>
      <c r="D841" s="33">
        <v>126</v>
      </c>
      <c r="E841" s="33">
        <v>66.599999999999994</v>
      </c>
      <c r="F841" s="48">
        <v>4.5</v>
      </c>
      <c r="G841" s="48">
        <v>0.2</v>
      </c>
      <c r="H841" s="33">
        <v>1.1000000000000001</v>
      </c>
      <c r="I841" s="48">
        <v>26.5</v>
      </c>
      <c r="J841" s="33">
        <v>5</v>
      </c>
      <c r="K841" s="33">
        <v>0.04</v>
      </c>
      <c r="L841" s="33">
        <v>0.06</v>
      </c>
      <c r="M841" s="33">
        <v>0.6</v>
      </c>
      <c r="N841" s="33">
        <v>1.07</v>
      </c>
      <c r="O841" s="33">
        <v>19.600000000000001</v>
      </c>
      <c r="P841" s="33">
        <v>39</v>
      </c>
      <c r="Q841" s="33">
        <v>1.2</v>
      </c>
      <c r="R841" s="33" t="s">
        <v>526</v>
      </c>
      <c r="S841" s="33">
        <v>7</v>
      </c>
      <c r="T841" s="33">
        <v>50</v>
      </c>
      <c r="U841" s="49"/>
    </row>
    <row r="842" spans="1:21">
      <c r="A842" s="50" t="s">
        <v>1170</v>
      </c>
      <c r="B842" s="33" t="s">
        <v>1656</v>
      </c>
      <c r="C842" s="33">
        <v>100</v>
      </c>
      <c r="D842" s="33">
        <v>339</v>
      </c>
      <c r="E842" s="33">
        <v>7.3</v>
      </c>
      <c r="F842" s="48">
        <v>13.2</v>
      </c>
      <c r="G842" s="48">
        <v>0.3</v>
      </c>
      <c r="H842" s="33">
        <v>4.5</v>
      </c>
      <c r="I842" s="48">
        <v>70.900000000000006</v>
      </c>
      <c r="J842" s="32"/>
      <c r="K842" s="33">
        <v>0.28999999999999998</v>
      </c>
      <c r="L842" s="32"/>
      <c r="M842" s="32"/>
      <c r="N842" s="32"/>
      <c r="O842" s="33">
        <v>36.799999999999997</v>
      </c>
      <c r="P842" s="33">
        <v>65</v>
      </c>
      <c r="Q842" s="33">
        <v>6.6</v>
      </c>
      <c r="R842" s="33" t="s">
        <v>526</v>
      </c>
      <c r="S842" s="33">
        <v>79</v>
      </c>
      <c r="T842" s="33">
        <v>50</v>
      </c>
      <c r="U842" s="49"/>
    </row>
    <row r="843" spans="1:21">
      <c r="A843" s="50" t="s">
        <v>1171</v>
      </c>
      <c r="B843" s="32"/>
      <c r="C843" s="33">
        <v>89</v>
      </c>
      <c r="D843" s="33">
        <v>136</v>
      </c>
      <c r="E843" s="33">
        <v>63.8</v>
      </c>
      <c r="F843" s="48">
        <v>5.2</v>
      </c>
      <c r="G843" s="48">
        <v>0.2</v>
      </c>
      <c r="H843" s="33">
        <v>1.2</v>
      </c>
      <c r="I843" s="48">
        <v>28.4</v>
      </c>
      <c r="J843" s="33">
        <v>3</v>
      </c>
      <c r="K843" s="33">
        <v>0.28999999999999998</v>
      </c>
      <c r="L843" s="33">
        <v>0.06</v>
      </c>
      <c r="M843" s="33">
        <v>0.8</v>
      </c>
      <c r="N843" s="33">
        <v>0.68</v>
      </c>
      <c r="O843" s="33">
        <v>8.3000000000000007</v>
      </c>
      <c r="P843" s="33">
        <v>10</v>
      </c>
      <c r="Q843" s="33">
        <v>1.3</v>
      </c>
      <c r="R843" s="33" t="s">
        <v>526</v>
      </c>
      <c r="S843" s="33">
        <v>7</v>
      </c>
      <c r="T843" s="33">
        <v>50</v>
      </c>
      <c r="U843" s="49"/>
    </row>
    <row r="844" spans="1:21">
      <c r="A844" s="50" t="s">
        <v>1172</v>
      </c>
      <c r="B844" s="32"/>
      <c r="C844" s="33">
        <v>58</v>
      </c>
      <c r="D844" s="33">
        <v>30</v>
      </c>
      <c r="E844" s="33">
        <v>89.6</v>
      </c>
      <c r="F844" s="48">
        <v>3.9</v>
      </c>
      <c r="G844" s="48">
        <v>0.4</v>
      </c>
      <c r="H844" s="33">
        <v>2.2000000000000002</v>
      </c>
      <c r="I844" s="48">
        <v>2.7</v>
      </c>
      <c r="J844" s="33">
        <v>1158</v>
      </c>
      <c r="K844" s="33">
        <v>0.15</v>
      </c>
      <c r="L844" s="33">
        <v>0.05</v>
      </c>
      <c r="M844" s="33">
        <v>0.6</v>
      </c>
      <c r="N844" s="32"/>
      <c r="O844" s="33">
        <v>14</v>
      </c>
      <c r="P844" s="33">
        <v>82</v>
      </c>
      <c r="Q844" s="33">
        <v>2.4</v>
      </c>
      <c r="R844" s="33" t="s">
        <v>526</v>
      </c>
      <c r="S844" s="33">
        <v>20</v>
      </c>
      <c r="T844" s="33">
        <v>50</v>
      </c>
      <c r="U844" s="49"/>
    </row>
    <row r="845" spans="1:21">
      <c r="A845" s="50" t="s">
        <v>1173</v>
      </c>
      <c r="B845" s="33" t="s">
        <v>1628</v>
      </c>
      <c r="C845" s="33">
        <v>49</v>
      </c>
      <c r="D845" s="33">
        <v>44</v>
      </c>
      <c r="E845" s="33">
        <v>87.8</v>
      </c>
      <c r="F845" s="48">
        <v>5.6</v>
      </c>
      <c r="G845" s="48">
        <v>1.1000000000000001</v>
      </c>
      <c r="H845" s="33">
        <v>1.6</v>
      </c>
      <c r="I845" s="48">
        <v>2.9</v>
      </c>
      <c r="J845" s="32"/>
      <c r="K845" s="33">
        <v>0.08</v>
      </c>
      <c r="L845" s="33">
        <v>0.32</v>
      </c>
      <c r="M845" s="33">
        <v>1.3</v>
      </c>
      <c r="N845" s="33">
        <v>2.99</v>
      </c>
      <c r="O845" s="33">
        <v>29.8</v>
      </c>
      <c r="P845" s="33">
        <v>36</v>
      </c>
      <c r="Q845" s="33">
        <v>2.4</v>
      </c>
      <c r="R845" s="33" t="s">
        <v>526</v>
      </c>
      <c r="S845" s="33">
        <v>58</v>
      </c>
      <c r="T845" s="33">
        <v>50</v>
      </c>
      <c r="U845" s="49"/>
    </row>
    <row r="846" spans="1:21">
      <c r="A846" s="50" t="s">
        <v>1174</v>
      </c>
      <c r="B846" s="33" t="s">
        <v>1628</v>
      </c>
      <c r="C846" s="33">
        <v>83</v>
      </c>
      <c r="D846" s="33">
        <v>14</v>
      </c>
      <c r="E846" s="33">
        <v>95.1</v>
      </c>
      <c r="F846" s="48">
        <v>1.7</v>
      </c>
      <c r="G846" s="48">
        <v>0.3</v>
      </c>
      <c r="H846" s="33">
        <v>1</v>
      </c>
      <c r="I846" s="48">
        <v>1.1000000000000001</v>
      </c>
      <c r="J846" s="33">
        <v>63</v>
      </c>
      <c r="K846" s="33">
        <v>0.01</v>
      </c>
      <c r="L846" s="33">
        <v>0.1</v>
      </c>
      <c r="M846" s="33">
        <v>0.4</v>
      </c>
      <c r="N846" s="32"/>
      <c r="O846" s="33">
        <v>260</v>
      </c>
      <c r="P846" s="33">
        <v>70</v>
      </c>
      <c r="Q846" s="33">
        <v>1</v>
      </c>
      <c r="R846" s="33" t="s">
        <v>526</v>
      </c>
      <c r="S846" s="33">
        <v>23</v>
      </c>
      <c r="T846" s="33">
        <v>50</v>
      </c>
      <c r="U846" s="49"/>
    </row>
    <row r="847" spans="1:21">
      <c r="A847" s="50" t="s">
        <v>1175</v>
      </c>
      <c r="B847" s="33" t="s">
        <v>1655</v>
      </c>
      <c r="C847" s="33">
        <v>52</v>
      </c>
      <c r="D847" s="33">
        <v>29</v>
      </c>
      <c r="E847" s="33">
        <v>91.1</v>
      </c>
      <c r="F847" s="48">
        <v>2.9</v>
      </c>
      <c r="G847" s="51"/>
      <c r="H847" s="33">
        <v>0.9</v>
      </c>
      <c r="I847" s="48">
        <v>4.3</v>
      </c>
      <c r="J847" s="33">
        <v>13</v>
      </c>
      <c r="K847" s="33">
        <v>0.05</v>
      </c>
      <c r="L847" s="33">
        <v>0.04</v>
      </c>
      <c r="M847" s="33">
        <v>0.9</v>
      </c>
      <c r="N847" s="33">
        <v>0.51</v>
      </c>
      <c r="O847" s="33">
        <v>1.5</v>
      </c>
      <c r="P847" s="33">
        <v>26</v>
      </c>
      <c r="Q847" s="33">
        <v>2.5</v>
      </c>
      <c r="R847" s="33" t="s">
        <v>526</v>
      </c>
      <c r="S847" s="33">
        <v>57</v>
      </c>
      <c r="T847" s="33">
        <v>50</v>
      </c>
      <c r="U847" s="49"/>
    </row>
    <row r="848" spans="1:21">
      <c r="A848" s="50" t="s">
        <v>1176</v>
      </c>
      <c r="B848" s="33" t="s">
        <v>1647</v>
      </c>
      <c r="C848" s="33">
        <v>100</v>
      </c>
      <c r="D848" s="33">
        <v>73</v>
      </c>
      <c r="E848" s="33">
        <v>82.2</v>
      </c>
      <c r="F848" s="48">
        <v>1.7</v>
      </c>
      <c r="G848" s="48">
        <v>0.4</v>
      </c>
      <c r="H848" s="32"/>
      <c r="I848" s="48">
        <v>15.7</v>
      </c>
      <c r="J848" s="33">
        <v>162</v>
      </c>
      <c r="K848" s="33">
        <v>0.04</v>
      </c>
      <c r="L848" s="32"/>
      <c r="M848" s="32"/>
      <c r="N848" s="33">
        <v>3.65</v>
      </c>
      <c r="O848" s="33">
        <v>74.599999999999994</v>
      </c>
      <c r="P848" s="33">
        <v>350</v>
      </c>
      <c r="Q848" s="33">
        <v>8.1</v>
      </c>
      <c r="R848" s="33" t="s">
        <v>526</v>
      </c>
      <c r="S848" s="33">
        <v>41</v>
      </c>
      <c r="T848" s="33">
        <v>50</v>
      </c>
      <c r="U848" s="49"/>
    </row>
    <row r="849" spans="1:21">
      <c r="A849" s="50" t="s">
        <v>1177</v>
      </c>
      <c r="B849" s="33" t="s">
        <v>1653</v>
      </c>
      <c r="C849" s="33">
        <v>68</v>
      </c>
      <c r="D849" s="33">
        <v>46</v>
      </c>
      <c r="E849" s="33">
        <v>86.2</v>
      </c>
      <c r="F849" s="48">
        <v>2.4</v>
      </c>
      <c r="G849" s="48">
        <v>0.1</v>
      </c>
      <c r="H849" s="33">
        <v>1.3</v>
      </c>
      <c r="I849" s="48">
        <v>8.9</v>
      </c>
      <c r="J849" s="33">
        <v>8</v>
      </c>
      <c r="K849" s="33">
        <v>0.01</v>
      </c>
      <c r="L849" s="33">
        <v>0.12</v>
      </c>
      <c r="M849" s="33">
        <v>0.5</v>
      </c>
      <c r="N849" s="32"/>
      <c r="O849" s="33">
        <v>3.4</v>
      </c>
      <c r="P849" s="33">
        <v>24</v>
      </c>
      <c r="Q849" s="32"/>
      <c r="R849" s="33" t="s">
        <v>526</v>
      </c>
      <c r="S849" s="33">
        <v>8</v>
      </c>
      <c r="T849" s="33">
        <v>50</v>
      </c>
      <c r="U849" s="49"/>
    </row>
    <row r="850" spans="1:21">
      <c r="A850" s="50" t="s">
        <v>1178</v>
      </c>
      <c r="B850" s="32"/>
      <c r="C850" s="33">
        <v>86</v>
      </c>
      <c r="D850" s="33">
        <v>24</v>
      </c>
      <c r="E850" s="33">
        <v>91.2</v>
      </c>
      <c r="F850" s="48">
        <v>2.5</v>
      </c>
      <c r="G850" s="48">
        <v>0.4</v>
      </c>
      <c r="H850" s="33">
        <v>1.6</v>
      </c>
      <c r="I850" s="48">
        <v>2.6</v>
      </c>
      <c r="J850" s="33">
        <v>402</v>
      </c>
      <c r="K850" s="33">
        <v>0.06</v>
      </c>
      <c r="L850" s="33">
        <v>0.09</v>
      </c>
      <c r="M850" s="33">
        <v>0.8</v>
      </c>
      <c r="N850" s="33">
        <v>0.94</v>
      </c>
      <c r="O850" s="33">
        <v>186.3</v>
      </c>
      <c r="P850" s="33">
        <v>154</v>
      </c>
      <c r="Q850" s="33">
        <v>1.2</v>
      </c>
      <c r="R850" s="33" t="s">
        <v>526</v>
      </c>
      <c r="S850" s="33">
        <v>26</v>
      </c>
      <c r="T850" s="33">
        <v>50</v>
      </c>
      <c r="U850" s="49"/>
    </row>
    <row r="851" spans="1:21">
      <c r="A851" s="50" t="s">
        <v>1179</v>
      </c>
      <c r="B851" s="32"/>
      <c r="C851" s="33">
        <v>74</v>
      </c>
      <c r="D851" s="33">
        <v>23</v>
      </c>
      <c r="E851" s="33">
        <v>92.2</v>
      </c>
      <c r="F851" s="48">
        <v>1.2</v>
      </c>
      <c r="G851" s="48">
        <v>0.2</v>
      </c>
      <c r="H851" s="33">
        <v>1.9</v>
      </c>
      <c r="I851" s="48">
        <v>4</v>
      </c>
      <c r="J851" s="33">
        <v>5</v>
      </c>
      <c r="K851" s="33">
        <v>0.02</v>
      </c>
      <c r="L851" s="33">
        <v>0.03</v>
      </c>
      <c r="M851" s="33">
        <v>0.5</v>
      </c>
      <c r="N851" s="33">
        <v>0.99</v>
      </c>
      <c r="O851" s="33">
        <v>5.8</v>
      </c>
      <c r="P851" s="33">
        <v>4</v>
      </c>
      <c r="Q851" s="33">
        <v>0.4</v>
      </c>
      <c r="R851" s="33" t="s">
        <v>526</v>
      </c>
      <c r="S851" s="33">
        <v>5</v>
      </c>
      <c r="T851" s="33">
        <v>50</v>
      </c>
      <c r="U851" s="49"/>
    </row>
    <row r="852" spans="1:21">
      <c r="A852" s="50" t="s">
        <v>1180</v>
      </c>
      <c r="B852" s="32"/>
      <c r="C852" s="33">
        <v>71</v>
      </c>
      <c r="D852" s="33">
        <v>14</v>
      </c>
      <c r="E852" s="33">
        <v>94.6</v>
      </c>
      <c r="F852" s="48">
        <v>1.8</v>
      </c>
      <c r="G852" s="48">
        <v>0.4</v>
      </c>
      <c r="H852" s="33">
        <v>1.2</v>
      </c>
      <c r="I852" s="48">
        <v>0.8</v>
      </c>
      <c r="J852" s="33">
        <v>283</v>
      </c>
      <c r="K852" s="33">
        <v>0.02</v>
      </c>
      <c r="L852" s="33">
        <v>0.11</v>
      </c>
      <c r="M852" s="33">
        <v>0.5</v>
      </c>
      <c r="N852" s="33">
        <v>0.64</v>
      </c>
      <c r="O852" s="33">
        <v>29</v>
      </c>
      <c r="P852" s="33">
        <v>28</v>
      </c>
      <c r="Q852" s="33">
        <v>1</v>
      </c>
      <c r="R852" s="33" t="s">
        <v>526</v>
      </c>
      <c r="S852" s="33">
        <v>72</v>
      </c>
      <c r="T852" s="33">
        <v>50</v>
      </c>
      <c r="U852" s="49"/>
    </row>
    <row r="853" spans="1:21">
      <c r="A853" s="50" t="s">
        <v>1181</v>
      </c>
      <c r="B853" s="32"/>
      <c r="C853" s="33">
        <v>78</v>
      </c>
      <c r="D853" s="33">
        <v>19</v>
      </c>
      <c r="E853" s="33">
        <v>93.2</v>
      </c>
      <c r="F853" s="48">
        <v>2.8</v>
      </c>
      <c r="G853" s="48">
        <v>0.4</v>
      </c>
      <c r="H853" s="33">
        <v>1.6</v>
      </c>
      <c r="I853" s="48">
        <v>1</v>
      </c>
      <c r="J853" s="33">
        <v>575</v>
      </c>
      <c r="K853" s="33">
        <v>0.02</v>
      </c>
      <c r="L853" s="33">
        <v>0.09</v>
      </c>
      <c r="M853" s="33">
        <v>1</v>
      </c>
      <c r="N853" s="33">
        <v>0.96</v>
      </c>
      <c r="O853" s="33">
        <v>50.5</v>
      </c>
      <c r="P853" s="33">
        <v>128</v>
      </c>
      <c r="Q853" s="33">
        <v>2</v>
      </c>
      <c r="R853" s="33" t="s">
        <v>526</v>
      </c>
      <c r="S853" s="33">
        <v>51</v>
      </c>
      <c r="T853" s="33">
        <v>50</v>
      </c>
      <c r="U853" s="49"/>
    </row>
    <row r="854" spans="1:21">
      <c r="A854" s="50" t="s">
        <v>1182</v>
      </c>
      <c r="B854" s="33" t="s">
        <v>1660</v>
      </c>
      <c r="C854" s="33">
        <v>92</v>
      </c>
      <c r="D854" s="33">
        <v>5</v>
      </c>
      <c r="E854" s="33">
        <v>95.4</v>
      </c>
      <c r="F854" s="48">
        <v>1.3</v>
      </c>
      <c r="G854" s="48">
        <v>0.2</v>
      </c>
      <c r="H854" s="33">
        <v>2.8</v>
      </c>
      <c r="I854" s="48">
        <v>0</v>
      </c>
      <c r="J854" s="33">
        <v>47</v>
      </c>
      <c r="K854" s="32"/>
      <c r="L854" s="33">
        <v>0.02</v>
      </c>
      <c r="M854" s="33">
        <v>0.3</v>
      </c>
      <c r="N854" s="33">
        <v>1.29</v>
      </c>
      <c r="O854" s="33">
        <v>41.1</v>
      </c>
      <c r="P854" s="33">
        <v>23</v>
      </c>
      <c r="Q854" s="33">
        <v>0.7</v>
      </c>
      <c r="R854" s="33" t="s">
        <v>526</v>
      </c>
      <c r="S854" s="33">
        <v>76</v>
      </c>
      <c r="T854" s="33">
        <v>50</v>
      </c>
      <c r="U854" s="49"/>
    </row>
    <row r="855" spans="1:21">
      <c r="A855" s="50" t="s">
        <v>1183</v>
      </c>
      <c r="B855" s="32"/>
      <c r="C855" s="33">
        <v>88</v>
      </c>
      <c r="D855" s="33">
        <v>24</v>
      </c>
      <c r="E855" s="33">
        <v>92.6</v>
      </c>
      <c r="F855" s="48">
        <v>2.5</v>
      </c>
      <c r="G855" s="48">
        <v>0.4</v>
      </c>
      <c r="H855" s="33">
        <v>1</v>
      </c>
      <c r="I855" s="48">
        <v>2.6</v>
      </c>
      <c r="J855" s="33">
        <v>242</v>
      </c>
      <c r="K855" s="33">
        <v>0.05</v>
      </c>
      <c r="L855" s="33">
        <v>0.1</v>
      </c>
      <c r="M855" s="33">
        <v>0.7</v>
      </c>
      <c r="N855" s="33">
        <v>2.06</v>
      </c>
      <c r="O855" s="33">
        <v>38.9</v>
      </c>
      <c r="P855" s="33">
        <v>80</v>
      </c>
      <c r="Q855" s="33">
        <v>1.5</v>
      </c>
      <c r="R855" s="33" t="s">
        <v>526</v>
      </c>
      <c r="S855" s="33">
        <v>7</v>
      </c>
      <c r="T855" s="33">
        <v>50</v>
      </c>
      <c r="U855" s="49"/>
    </row>
    <row r="856" spans="1:21">
      <c r="A856" s="50" t="s">
        <v>1184</v>
      </c>
      <c r="B856" s="32"/>
      <c r="C856" s="33">
        <v>98</v>
      </c>
      <c r="D856" s="33">
        <v>199</v>
      </c>
      <c r="E856" s="33">
        <v>40.299999999999997</v>
      </c>
      <c r="F856" s="48">
        <v>19.399999999999999</v>
      </c>
      <c r="G856" s="48">
        <v>1.4</v>
      </c>
      <c r="H856" s="33">
        <v>7.7</v>
      </c>
      <c r="I856" s="48">
        <v>27.2</v>
      </c>
      <c r="J856" s="33">
        <v>307</v>
      </c>
      <c r="K856" s="33">
        <v>0.05</v>
      </c>
      <c r="L856" s="33">
        <v>0.21</v>
      </c>
      <c r="M856" s="33">
        <v>3.1</v>
      </c>
      <c r="N856" s="33">
        <v>4.92</v>
      </c>
      <c r="O856" s="33">
        <v>59.2</v>
      </c>
      <c r="P856" s="33">
        <v>301</v>
      </c>
      <c r="Q856" s="33">
        <v>8.1</v>
      </c>
      <c r="R856" s="33" t="s">
        <v>526</v>
      </c>
      <c r="S856" s="33">
        <v>10</v>
      </c>
      <c r="T856" s="33">
        <v>50</v>
      </c>
      <c r="U856" s="49"/>
    </row>
    <row r="857" spans="1:21">
      <c r="A857" s="50" t="s">
        <v>1185</v>
      </c>
      <c r="B857" s="32"/>
      <c r="C857" s="33">
        <v>90</v>
      </c>
      <c r="D857" s="33">
        <v>26</v>
      </c>
      <c r="E857" s="33">
        <v>91.8</v>
      </c>
      <c r="F857" s="48">
        <v>2.4</v>
      </c>
      <c r="G857" s="48">
        <v>0.4</v>
      </c>
      <c r="H857" s="33">
        <v>1.4</v>
      </c>
      <c r="I857" s="48">
        <v>3.2</v>
      </c>
      <c r="J857" s="33">
        <v>235</v>
      </c>
      <c r="K857" s="33">
        <v>0.02</v>
      </c>
      <c r="L857" s="33">
        <v>0.09</v>
      </c>
      <c r="M857" s="33">
        <v>0.8</v>
      </c>
      <c r="N857" s="33">
        <v>0.96</v>
      </c>
      <c r="O857" s="33">
        <v>8.1</v>
      </c>
      <c r="P857" s="33">
        <v>42</v>
      </c>
      <c r="Q857" s="33">
        <v>1.6</v>
      </c>
      <c r="R857" s="33" t="s">
        <v>526</v>
      </c>
      <c r="S857" s="33">
        <v>24</v>
      </c>
      <c r="T857" s="33">
        <v>50</v>
      </c>
      <c r="U857" s="49"/>
    </row>
    <row r="858" spans="1:21">
      <c r="A858" s="50" t="s">
        <v>1186</v>
      </c>
      <c r="B858" s="32"/>
      <c r="C858" s="33">
        <v>88</v>
      </c>
      <c r="D858" s="33">
        <v>22</v>
      </c>
      <c r="E858" s="33">
        <v>93.2</v>
      </c>
      <c r="F858" s="48">
        <v>2.2999999999999998</v>
      </c>
      <c r="G858" s="48">
        <v>0.2</v>
      </c>
      <c r="H858" s="33">
        <v>1.2</v>
      </c>
      <c r="I858" s="48">
        <v>2.7</v>
      </c>
      <c r="J858" s="33">
        <v>43</v>
      </c>
      <c r="K858" s="33">
        <v>0.03</v>
      </c>
      <c r="L858" s="33">
        <v>0.05</v>
      </c>
      <c r="M858" s="33">
        <v>0.7</v>
      </c>
      <c r="N858" s="33">
        <v>0.34</v>
      </c>
      <c r="O858" s="33">
        <v>6.9</v>
      </c>
      <c r="P858" s="33">
        <v>25</v>
      </c>
      <c r="Q858" s="33">
        <v>1.7</v>
      </c>
      <c r="R858" s="33" t="s">
        <v>526</v>
      </c>
      <c r="S858" s="33">
        <v>15</v>
      </c>
      <c r="T858" s="33">
        <v>50</v>
      </c>
      <c r="U858" s="49"/>
    </row>
    <row r="859" spans="1:21">
      <c r="A859" s="50" t="s">
        <v>1187</v>
      </c>
      <c r="B859" s="33" t="s">
        <v>1656</v>
      </c>
      <c r="C859" s="33">
        <v>100</v>
      </c>
      <c r="D859" s="33">
        <v>251</v>
      </c>
      <c r="E859" s="33">
        <v>7.2</v>
      </c>
      <c r="F859" s="48">
        <v>6.6</v>
      </c>
      <c r="G859" s="48">
        <v>0.9</v>
      </c>
      <c r="H859" s="33">
        <v>25.5</v>
      </c>
      <c r="I859" s="48">
        <v>54.2</v>
      </c>
      <c r="J859" s="32"/>
      <c r="K859" s="32"/>
      <c r="L859" s="33">
        <v>0.16</v>
      </c>
      <c r="M859" s="33">
        <v>2.7</v>
      </c>
      <c r="N859" s="33">
        <v>0.53</v>
      </c>
      <c r="O859" s="32"/>
      <c r="P859" s="33">
        <v>851</v>
      </c>
      <c r="Q859" s="33">
        <v>23.7</v>
      </c>
      <c r="R859" s="33" t="s">
        <v>526</v>
      </c>
      <c r="S859" s="33">
        <v>3</v>
      </c>
      <c r="T859" s="33">
        <v>50</v>
      </c>
      <c r="U859" s="49"/>
    </row>
    <row r="860" spans="1:21">
      <c r="A860" s="50" t="s">
        <v>1188</v>
      </c>
      <c r="B860" s="33" t="s">
        <v>1637</v>
      </c>
      <c r="C860" s="33">
        <v>100</v>
      </c>
      <c r="D860" s="33">
        <v>35</v>
      </c>
      <c r="E860" s="33">
        <v>85.3</v>
      </c>
      <c r="F860" s="48">
        <v>2.8</v>
      </c>
      <c r="G860" s="48">
        <v>0.6</v>
      </c>
      <c r="H860" s="33">
        <v>5.4</v>
      </c>
      <c r="I860" s="48">
        <v>4.5999999999999996</v>
      </c>
      <c r="J860" s="33">
        <v>90</v>
      </c>
      <c r="K860" s="33">
        <v>0.09</v>
      </c>
      <c r="L860" s="33">
        <v>0.11</v>
      </c>
      <c r="M860" s="33">
        <v>0.6</v>
      </c>
      <c r="N860" s="33">
        <v>2.93</v>
      </c>
      <c r="O860" s="33">
        <v>8.6999999999999993</v>
      </c>
      <c r="P860" s="33">
        <v>66</v>
      </c>
      <c r="Q860" s="33">
        <v>9.4</v>
      </c>
      <c r="R860" s="33" t="s">
        <v>526</v>
      </c>
      <c r="S860" s="33">
        <v>19</v>
      </c>
      <c r="T860" s="33">
        <v>50</v>
      </c>
      <c r="U860" s="49"/>
    </row>
    <row r="861" spans="1:21">
      <c r="A861" s="50" t="s">
        <v>1189</v>
      </c>
      <c r="B861" s="33" t="s">
        <v>1647</v>
      </c>
      <c r="C861" s="33">
        <v>100</v>
      </c>
      <c r="D861" s="33">
        <v>38</v>
      </c>
      <c r="E861" s="33">
        <v>88.2</v>
      </c>
      <c r="F861" s="48">
        <v>2.5</v>
      </c>
      <c r="G861" s="48">
        <v>0.9</v>
      </c>
      <c r="H861" s="33">
        <v>1.8</v>
      </c>
      <c r="I861" s="48">
        <v>5</v>
      </c>
      <c r="J861" s="33">
        <v>357</v>
      </c>
      <c r="K861" s="32"/>
      <c r="L861" s="32"/>
      <c r="M861" s="32"/>
      <c r="N861" s="32"/>
      <c r="O861" s="32"/>
      <c r="P861" s="32"/>
      <c r="Q861" s="32"/>
      <c r="R861" s="33" t="s">
        <v>526</v>
      </c>
      <c r="S861" s="33">
        <v>62</v>
      </c>
      <c r="T861" s="33">
        <v>50</v>
      </c>
      <c r="U861" s="49"/>
    </row>
    <row r="862" spans="1:21">
      <c r="A862" s="50" t="s">
        <v>1190</v>
      </c>
      <c r="B862" s="33" t="s">
        <v>1703</v>
      </c>
      <c r="C862" s="33">
        <v>100</v>
      </c>
      <c r="D862" s="33">
        <v>14</v>
      </c>
      <c r="E862" s="33">
        <v>90.7</v>
      </c>
      <c r="F862" s="48">
        <v>2.6</v>
      </c>
      <c r="G862" s="48">
        <v>0.3</v>
      </c>
      <c r="H862" s="33">
        <v>1.4</v>
      </c>
      <c r="I862" s="48">
        <v>0.3</v>
      </c>
      <c r="J862" s="32"/>
      <c r="K862" s="33">
        <v>0.02</v>
      </c>
      <c r="L862" s="32"/>
      <c r="M862" s="32"/>
      <c r="N862" s="32"/>
      <c r="O862" s="32"/>
      <c r="P862" s="32"/>
      <c r="Q862" s="32"/>
      <c r="R862" s="33" t="s">
        <v>526</v>
      </c>
      <c r="S862" s="33">
        <v>77</v>
      </c>
      <c r="T862" s="33">
        <v>50</v>
      </c>
      <c r="U862" s="49"/>
    </row>
    <row r="863" spans="1:21">
      <c r="A863" s="50" t="s">
        <v>1191</v>
      </c>
      <c r="B863" s="33" t="s">
        <v>1708</v>
      </c>
      <c r="C863" s="33">
        <v>100</v>
      </c>
      <c r="D863" s="33">
        <v>32</v>
      </c>
      <c r="E863" s="33">
        <v>87.2</v>
      </c>
      <c r="F863" s="48">
        <v>3.1</v>
      </c>
      <c r="G863" s="48">
        <v>0.1</v>
      </c>
      <c r="H863" s="33">
        <v>2.9</v>
      </c>
      <c r="I863" s="48">
        <v>4.7</v>
      </c>
      <c r="J863" s="33">
        <v>33</v>
      </c>
      <c r="K863" s="33">
        <v>7.0000000000000007E-2</v>
      </c>
      <c r="L863" s="33">
        <v>0.08</v>
      </c>
      <c r="M863" s="33">
        <v>0.2</v>
      </c>
      <c r="N863" s="33">
        <v>0.48</v>
      </c>
      <c r="O863" s="33">
        <v>91.4</v>
      </c>
      <c r="P863" s="33">
        <v>110</v>
      </c>
      <c r="Q863" s="33">
        <v>1.4</v>
      </c>
      <c r="R863" s="33" t="s">
        <v>526</v>
      </c>
      <c r="S863" s="33">
        <v>41</v>
      </c>
      <c r="T863" s="33">
        <v>50</v>
      </c>
      <c r="U863" s="49"/>
    </row>
    <row r="864" spans="1:21">
      <c r="A864" s="50" t="s">
        <v>1192</v>
      </c>
      <c r="B864" s="32"/>
      <c r="C864" s="33">
        <v>93</v>
      </c>
      <c r="D864" s="33">
        <v>20</v>
      </c>
      <c r="E864" s="33">
        <v>92.8</v>
      </c>
      <c r="F864" s="48">
        <v>1.6</v>
      </c>
      <c r="G864" s="48">
        <v>0.3</v>
      </c>
      <c r="H864" s="33">
        <v>1.4</v>
      </c>
      <c r="I864" s="48">
        <v>2.7</v>
      </c>
      <c r="J864" s="33">
        <v>118</v>
      </c>
      <c r="K864" s="33">
        <v>0.03</v>
      </c>
      <c r="L864" s="33">
        <v>0.13</v>
      </c>
      <c r="M864" s="33">
        <v>0.4</v>
      </c>
      <c r="N864" s="33">
        <v>0.87</v>
      </c>
      <c r="O864" s="33">
        <v>43.1</v>
      </c>
      <c r="P864" s="33">
        <v>238</v>
      </c>
      <c r="Q864" s="33">
        <v>0.2</v>
      </c>
      <c r="R864" s="33" t="s">
        <v>526</v>
      </c>
      <c r="S864" s="33">
        <v>51</v>
      </c>
      <c r="T864" s="33">
        <v>50</v>
      </c>
      <c r="U864" s="49"/>
    </row>
    <row r="865" spans="1:21">
      <c r="A865" s="50" t="s">
        <v>1193</v>
      </c>
      <c r="B865" s="32"/>
      <c r="C865" s="33">
        <v>76</v>
      </c>
      <c r="D865" s="33">
        <v>20</v>
      </c>
      <c r="E865" s="33">
        <v>92.8</v>
      </c>
      <c r="F865" s="48">
        <v>1.6</v>
      </c>
      <c r="G865" s="48">
        <v>0.3</v>
      </c>
      <c r="H865" s="33">
        <v>1.5</v>
      </c>
      <c r="I865" s="48">
        <v>2.8</v>
      </c>
      <c r="J865" s="33">
        <v>337</v>
      </c>
      <c r="K865" s="33">
        <v>0.06</v>
      </c>
      <c r="L865" s="33">
        <v>0.06</v>
      </c>
      <c r="M865" s="33">
        <v>0.6</v>
      </c>
      <c r="N865" s="33">
        <v>1.66</v>
      </c>
      <c r="O865" s="33">
        <v>47.2</v>
      </c>
      <c r="P865" s="33">
        <v>166</v>
      </c>
      <c r="Q865" s="33">
        <v>3.2</v>
      </c>
      <c r="R865" s="33" t="s">
        <v>526</v>
      </c>
      <c r="S865" s="33">
        <v>34</v>
      </c>
      <c r="T865" s="33">
        <v>50</v>
      </c>
      <c r="U865" s="49"/>
    </row>
    <row r="866" spans="1:21">
      <c r="A866" s="50" t="s">
        <v>1194</v>
      </c>
      <c r="B866" s="32"/>
      <c r="C866" s="33">
        <v>90</v>
      </c>
      <c r="D866" s="33">
        <v>18</v>
      </c>
      <c r="E866" s="33">
        <v>93</v>
      </c>
      <c r="F866" s="48">
        <v>1.4</v>
      </c>
      <c r="G866" s="48">
        <v>0.1</v>
      </c>
      <c r="H866" s="33">
        <v>1.9</v>
      </c>
      <c r="I866" s="48">
        <v>3</v>
      </c>
      <c r="J866" s="33">
        <v>17</v>
      </c>
      <c r="K866" s="33">
        <v>0.04</v>
      </c>
      <c r="L866" s="33">
        <v>0.05</v>
      </c>
      <c r="M866" s="33">
        <v>0.7</v>
      </c>
      <c r="N866" s="32"/>
      <c r="O866" s="33">
        <v>3.1</v>
      </c>
      <c r="P866" s="33">
        <v>10</v>
      </c>
      <c r="Q866" s="33">
        <v>1.4</v>
      </c>
      <c r="R866" s="33" t="s">
        <v>526</v>
      </c>
      <c r="S866" s="33">
        <v>45</v>
      </c>
      <c r="T866" s="33">
        <v>50</v>
      </c>
      <c r="U866" s="49"/>
    </row>
    <row r="867" spans="1:21">
      <c r="A867" s="50" t="s">
        <v>1195</v>
      </c>
      <c r="B867" s="32"/>
      <c r="C867" s="33">
        <v>100</v>
      </c>
      <c r="D867" s="33">
        <v>25</v>
      </c>
      <c r="E867" s="33">
        <v>91.4</v>
      </c>
      <c r="F867" s="48">
        <v>2.4</v>
      </c>
      <c r="G867" s="48">
        <v>0.4</v>
      </c>
      <c r="H867" s="33">
        <v>1.6</v>
      </c>
      <c r="I867" s="48">
        <v>3</v>
      </c>
      <c r="J867" s="33">
        <v>340</v>
      </c>
      <c r="K867" s="33">
        <v>0.06</v>
      </c>
      <c r="L867" s="33">
        <v>0.13</v>
      </c>
      <c r="M867" s="33">
        <v>0.8</v>
      </c>
      <c r="N867" s="33">
        <v>0.72</v>
      </c>
      <c r="O867" s="33">
        <v>15.2</v>
      </c>
      <c r="P867" s="33">
        <v>67</v>
      </c>
      <c r="Q867" s="33">
        <v>2.4</v>
      </c>
      <c r="R867" s="33" t="s">
        <v>526</v>
      </c>
      <c r="S867" s="33">
        <v>26</v>
      </c>
      <c r="T867" s="33">
        <v>50</v>
      </c>
      <c r="U867" s="49"/>
    </row>
    <row r="868" spans="1:21">
      <c r="A868" s="50" t="s">
        <v>1196</v>
      </c>
      <c r="B868" s="33" t="s">
        <v>1647</v>
      </c>
      <c r="C868" s="33">
        <v>100</v>
      </c>
      <c r="D868" s="33">
        <v>60</v>
      </c>
      <c r="E868" s="33">
        <v>81.8</v>
      </c>
      <c r="F868" s="48">
        <v>3.9</v>
      </c>
      <c r="G868" s="48">
        <v>1</v>
      </c>
      <c r="H868" s="33">
        <v>2.1</v>
      </c>
      <c r="I868" s="48">
        <v>8.8000000000000007</v>
      </c>
      <c r="J868" s="33">
        <v>440</v>
      </c>
      <c r="K868" s="33">
        <v>0.1</v>
      </c>
      <c r="L868" s="33">
        <v>0.73</v>
      </c>
      <c r="M868" s="33">
        <v>2.2000000000000002</v>
      </c>
      <c r="N868" s="32"/>
      <c r="O868" s="33">
        <v>5.8</v>
      </c>
      <c r="P868" s="33">
        <v>713</v>
      </c>
      <c r="Q868" s="33">
        <v>9.6999999999999993</v>
      </c>
      <c r="R868" s="33" t="s">
        <v>526</v>
      </c>
      <c r="S868" s="33">
        <v>118</v>
      </c>
      <c r="T868" s="33">
        <v>50</v>
      </c>
      <c r="U868" s="49"/>
    </row>
    <row r="869" spans="1:21">
      <c r="A869" s="50" t="s">
        <v>1197</v>
      </c>
      <c r="B869" s="33" t="s">
        <v>1628</v>
      </c>
      <c r="C869" s="33">
        <v>81</v>
      </c>
      <c r="D869" s="33">
        <v>15</v>
      </c>
      <c r="E869" s="33">
        <v>95.7</v>
      </c>
      <c r="F869" s="48">
        <v>1.4</v>
      </c>
      <c r="G869" s="48">
        <v>0.4</v>
      </c>
      <c r="H869" s="33">
        <v>0.6</v>
      </c>
      <c r="I869" s="48">
        <v>1.5</v>
      </c>
      <c r="J869" s="33">
        <v>60</v>
      </c>
      <c r="K869" s="32"/>
      <c r="L869" s="33">
        <v>0.1</v>
      </c>
      <c r="M869" s="33">
        <v>0.2</v>
      </c>
      <c r="N869" s="32"/>
      <c r="O869" s="33">
        <v>80</v>
      </c>
      <c r="P869" s="33">
        <v>70</v>
      </c>
      <c r="Q869" s="33">
        <v>1.2</v>
      </c>
      <c r="R869" s="33" t="s">
        <v>526</v>
      </c>
      <c r="S869" s="33">
        <v>20</v>
      </c>
      <c r="T869" s="33">
        <v>50</v>
      </c>
      <c r="U869" s="49"/>
    </row>
    <row r="870" spans="1:21">
      <c r="A870" s="50" t="s">
        <v>1198</v>
      </c>
      <c r="B870" s="33" t="s">
        <v>1660</v>
      </c>
      <c r="C870" s="33">
        <v>79</v>
      </c>
      <c r="D870" s="33">
        <v>15</v>
      </c>
      <c r="E870" s="33">
        <v>94.1</v>
      </c>
      <c r="F870" s="48">
        <v>1.7</v>
      </c>
      <c r="G870" s="48">
        <v>0.2</v>
      </c>
      <c r="H870" s="33">
        <v>1.6</v>
      </c>
      <c r="I870" s="48">
        <v>1.6</v>
      </c>
      <c r="J870" s="33">
        <v>200</v>
      </c>
      <c r="K870" s="32"/>
      <c r="L870" s="33">
        <v>0.03</v>
      </c>
      <c r="M870" s="33">
        <v>0.5</v>
      </c>
      <c r="N870" s="32"/>
      <c r="O870" s="33">
        <v>56.9</v>
      </c>
      <c r="P870" s="33">
        <v>59</v>
      </c>
      <c r="Q870" s="33">
        <v>1.8</v>
      </c>
      <c r="R870" s="33" t="s">
        <v>526</v>
      </c>
      <c r="S870" s="33">
        <v>10</v>
      </c>
      <c r="T870" s="33">
        <v>50</v>
      </c>
      <c r="U870" s="49"/>
    </row>
    <row r="871" spans="1:21">
      <c r="A871" s="50" t="s">
        <v>1199</v>
      </c>
      <c r="B871" s="33" t="s">
        <v>1628</v>
      </c>
      <c r="C871" s="33">
        <v>65</v>
      </c>
      <c r="D871" s="33">
        <v>11</v>
      </c>
      <c r="E871" s="33">
        <v>95.6</v>
      </c>
      <c r="F871" s="48">
        <v>0.7</v>
      </c>
      <c r="G871" s="48">
        <v>0.2</v>
      </c>
      <c r="H871" s="33">
        <v>1.2</v>
      </c>
      <c r="I871" s="48">
        <v>1.5</v>
      </c>
      <c r="J871" s="33">
        <v>48</v>
      </c>
      <c r="K871" s="33">
        <v>0.02</v>
      </c>
      <c r="L871" s="33">
        <v>0.02</v>
      </c>
      <c r="M871" s="33">
        <v>1.8</v>
      </c>
      <c r="N871" s="33">
        <v>0.27</v>
      </c>
      <c r="O871" s="33">
        <v>109.4</v>
      </c>
      <c r="P871" s="33">
        <v>89</v>
      </c>
      <c r="Q871" s="33">
        <v>1.1000000000000001</v>
      </c>
      <c r="R871" s="33" t="s">
        <v>526</v>
      </c>
      <c r="S871" s="33">
        <v>5</v>
      </c>
      <c r="T871" s="33">
        <v>50</v>
      </c>
      <c r="U871" s="49"/>
    </row>
    <row r="872" spans="1:21">
      <c r="A872" s="50" t="s">
        <v>1200</v>
      </c>
      <c r="B872" s="32"/>
      <c r="C872" s="33">
        <v>88</v>
      </c>
      <c r="D872" s="33">
        <v>27</v>
      </c>
      <c r="E872" s="33">
        <v>90.6</v>
      </c>
      <c r="F872" s="48">
        <v>2.9</v>
      </c>
      <c r="G872" s="48">
        <v>0.4</v>
      </c>
      <c r="H872" s="33">
        <v>1.7</v>
      </c>
      <c r="I872" s="48">
        <v>3</v>
      </c>
      <c r="J872" s="33">
        <v>432</v>
      </c>
      <c r="K872" s="33">
        <v>0.04</v>
      </c>
      <c r="L872" s="33">
        <v>0.15</v>
      </c>
      <c r="M872" s="33">
        <v>0.6</v>
      </c>
      <c r="N872" s="33">
        <v>1.01</v>
      </c>
      <c r="O872" s="33">
        <v>31.6</v>
      </c>
      <c r="P872" s="33">
        <v>294</v>
      </c>
      <c r="Q872" s="33">
        <v>5.4</v>
      </c>
      <c r="R872" s="33" t="s">
        <v>526</v>
      </c>
      <c r="S872" s="33">
        <v>43</v>
      </c>
      <c r="T872" s="33">
        <v>50</v>
      </c>
      <c r="U872" s="49"/>
    </row>
    <row r="873" spans="1:21">
      <c r="A873" s="50" t="s">
        <v>1201</v>
      </c>
      <c r="B873" s="32"/>
      <c r="C873" s="33">
        <v>66</v>
      </c>
      <c r="D873" s="33">
        <v>14</v>
      </c>
      <c r="E873" s="33">
        <v>94.2</v>
      </c>
      <c r="F873" s="48">
        <v>0.8</v>
      </c>
      <c r="G873" s="48">
        <v>0.1</v>
      </c>
      <c r="H873" s="33">
        <v>1.4</v>
      </c>
      <c r="I873" s="48">
        <v>2.5</v>
      </c>
      <c r="J873" s="33">
        <v>10</v>
      </c>
      <c r="K873" s="33">
        <v>0.01</v>
      </c>
      <c r="L873" s="33">
        <v>0.08</v>
      </c>
      <c r="M873" s="33">
        <v>0.4</v>
      </c>
      <c r="N873" s="33">
        <v>2.21</v>
      </c>
      <c r="O873" s="33">
        <v>73.8</v>
      </c>
      <c r="P873" s="33">
        <v>48</v>
      </c>
      <c r="Q873" s="33">
        <v>0.8</v>
      </c>
      <c r="R873" s="33" t="s">
        <v>526</v>
      </c>
      <c r="S873" s="33">
        <v>12</v>
      </c>
      <c r="T873" s="33">
        <v>50</v>
      </c>
      <c r="U873" s="49"/>
    </row>
    <row r="874" spans="1:21">
      <c r="A874" s="50" t="s">
        <v>1202</v>
      </c>
      <c r="B874" s="32"/>
      <c r="C874" s="33">
        <v>67</v>
      </c>
      <c r="D874" s="33">
        <v>20</v>
      </c>
      <c r="E874" s="33">
        <v>93.1</v>
      </c>
      <c r="F874" s="48">
        <v>1.2</v>
      </c>
      <c r="G874" s="48">
        <v>0.2</v>
      </c>
      <c r="H874" s="33">
        <v>1.2</v>
      </c>
      <c r="I874" s="48">
        <v>3.3</v>
      </c>
      <c r="J874" s="33">
        <v>57</v>
      </c>
      <c r="K874" s="33">
        <v>0.02</v>
      </c>
      <c r="L874" s="33">
        <v>0.06</v>
      </c>
      <c r="M874" s="33">
        <v>0.4</v>
      </c>
      <c r="N874" s="33">
        <v>1.32</v>
      </c>
      <c r="O874" s="33">
        <v>159</v>
      </c>
      <c r="P874" s="33">
        <v>80</v>
      </c>
      <c r="Q874" s="33">
        <v>1.2</v>
      </c>
      <c r="R874" s="33" t="s">
        <v>526</v>
      </c>
      <c r="S874" s="33">
        <v>8</v>
      </c>
      <c r="T874" s="33">
        <v>50</v>
      </c>
      <c r="U874" s="49"/>
    </row>
    <row r="875" spans="1:21">
      <c r="A875" s="50" t="s">
        <v>1203</v>
      </c>
      <c r="B875" s="33" t="s">
        <v>1627</v>
      </c>
      <c r="C875" s="33">
        <v>60</v>
      </c>
      <c r="D875" s="33">
        <v>13</v>
      </c>
      <c r="E875" s="33">
        <v>96.2</v>
      </c>
      <c r="F875" s="48">
        <v>1.4</v>
      </c>
      <c r="G875" s="48">
        <v>0.2</v>
      </c>
      <c r="H875" s="33">
        <v>0.9</v>
      </c>
      <c r="I875" s="48">
        <v>1.3</v>
      </c>
      <c r="J875" s="33">
        <v>63</v>
      </c>
      <c r="K875" s="33">
        <v>0.01</v>
      </c>
      <c r="L875" s="33">
        <v>0.19</v>
      </c>
      <c r="M875" s="33">
        <v>1</v>
      </c>
      <c r="N875" s="33">
        <v>0.32</v>
      </c>
      <c r="O875" s="33">
        <v>40.9</v>
      </c>
      <c r="P875" s="33">
        <v>38</v>
      </c>
      <c r="Q875" s="33">
        <v>6.9</v>
      </c>
      <c r="R875" s="33" t="s">
        <v>526</v>
      </c>
      <c r="S875" s="33">
        <v>5</v>
      </c>
      <c r="T875" s="33">
        <v>50</v>
      </c>
      <c r="U875" s="49"/>
    </row>
    <row r="876" spans="1:21">
      <c r="A876" s="50" t="s">
        <v>1204</v>
      </c>
      <c r="B876" s="32"/>
      <c r="C876" s="33">
        <v>100</v>
      </c>
      <c r="D876" s="33">
        <v>31</v>
      </c>
      <c r="E876" s="33">
        <v>89.4</v>
      </c>
      <c r="F876" s="48">
        <v>2.6</v>
      </c>
      <c r="G876" s="48">
        <v>0.6</v>
      </c>
      <c r="H876" s="33">
        <v>2.2000000000000002</v>
      </c>
      <c r="I876" s="48">
        <v>3.7</v>
      </c>
      <c r="J876" s="33">
        <v>488</v>
      </c>
      <c r="K876" s="33">
        <v>0.08</v>
      </c>
      <c r="L876" s="33">
        <v>0.15</v>
      </c>
      <c r="M876" s="33">
        <v>0.9</v>
      </c>
      <c r="N876" s="33">
        <v>2.5</v>
      </c>
      <c r="O876" s="33">
        <v>83</v>
      </c>
      <c r="P876" s="33">
        <v>40</v>
      </c>
      <c r="Q876" s="33">
        <v>0.6</v>
      </c>
      <c r="R876" s="33" t="s">
        <v>526</v>
      </c>
      <c r="S876" s="33">
        <v>22</v>
      </c>
      <c r="T876" s="33">
        <v>50</v>
      </c>
      <c r="U876" s="49"/>
    </row>
    <row r="877" spans="1:21">
      <c r="A877" s="50" t="s">
        <v>1205</v>
      </c>
      <c r="B877" s="32"/>
      <c r="C877" s="33">
        <v>84</v>
      </c>
      <c r="D877" s="33">
        <v>30</v>
      </c>
      <c r="E877" s="33">
        <v>90.4</v>
      </c>
      <c r="F877" s="48">
        <v>2.4</v>
      </c>
      <c r="G877" s="48">
        <v>0.3</v>
      </c>
      <c r="H877" s="33">
        <v>1.7</v>
      </c>
      <c r="I877" s="48">
        <v>4.5</v>
      </c>
      <c r="J877" s="33">
        <v>98</v>
      </c>
      <c r="K877" s="33">
        <v>0.06</v>
      </c>
      <c r="L877" s="33">
        <v>0.04</v>
      </c>
      <c r="M877" s="33">
        <v>0.6</v>
      </c>
      <c r="N877" s="33">
        <v>0.8</v>
      </c>
      <c r="O877" s="33">
        <v>9.3000000000000007</v>
      </c>
      <c r="P877" s="33">
        <v>24</v>
      </c>
      <c r="Q877" s="33">
        <v>0.8</v>
      </c>
      <c r="R877" s="33" t="s">
        <v>526</v>
      </c>
      <c r="S877" s="33">
        <v>16</v>
      </c>
      <c r="T877" s="33">
        <v>50</v>
      </c>
      <c r="U877" s="49"/>
    </row>
    <row r="878" spans="1:21">
      <c r="A878" s="50" t="s">
        <v>1206</v>
      </c>
      <c r="B878" s="32"/>
      <c r="C878" s="33">
        <v>94</v>
      </c>
      <c r="D878" s="33">
        <v>13</v>
      </c>
      <c r="E878" s="33">
        <v>95.8</v>
      </c>
      <c r="F878" s="48">
        <v>1.3</v>
      </c>
      <c r="G878" s="48">
        <v>0.3</v>
      </c>
      <c r="H878" s="33">
        <v>0.7</v>
      </c>
      <c r="I878" s="48">
        <v>1.3</v>
      </c>
      <c r="J878" s="33">
        <v>298</v>
      </c>
      <c r="K878" s="33">
        <v>0.03</v>
      </c>
      <c r="L878" s="33">
        <v>0.06</v>
      </c>
      <c r="M878" s="33">
        <v>0.4</v>
      </c>
      <c r="N878" s="33">
        <v>1.02</v>
      </c>
      <c r="O878" s="33">
        <v>32.799999999999997</v>
      </c>
      <c r="P878" s="33">
        <v>34</v>
      </c>
      <c r="Q878" s="33">
        <v>0.9</v>
      </c>
      <c r="R878" s="33" t="s">
        <v>526</v>
      </c>
      <c r="S878" s="33">
        <v>13</v>
      </c>
      <c r="T878" s="33">
        <v>50</v>
      </c>
      <c r="U878" s="49"/>
    </row>
    <row r="879" spans="1:21">
      <c r="A879" s="50" t="s">
        <v>1207</v>
      </c>
      <c r="B879" s="33" t="s">
        <v>1628</v>
      </c>
      <c r="C879" s="33">
        <v>82</v>
      </c>
      <c r="D879" s="33">
        <v>30</v>
      </c>
      <c r="E879" s="33">
        <v>90.4</v>
      </c>
      <c r="F879" s="48">
        <v>1</v>
      </c>
      <c r="G879" s="48">
        <v>0.4</v>
      </c>
      <c r="H879" s="33">
        <v>2</v>
      </c>
      <c r="I879" s="48">
        <v>5.7</v>
      </c>
      <c r="J879" s="33">
        <v>113</v>
      </c>
      <c r="K879" s="33">
        <v>0.03</v>
      </c>
      <c r="L879" s="33">
        <v>0.12</v>
      </c>
      <c r="M879" s="33">
        <v>0.5</v>
      </c>
      <c r="N879" s="33">
        <v>0.24</v>
      </c>
      <c r="O879" s="33">
        <v>17.2</v>
      </c>
      <c r="P879" s="33">
        <v>89</v>
      </c>
      <c r="Q879" s="33">
        <v>1.2</v>
      </c>
      <c r="R879" s="33" t="s">
        <v>526</v>
      </c>
      <c r="S879" s="33">
        <v>28</v>
      </c>
      <c r="T879" s="33">
        <v>50</v>
      </c>
      <c r="U879" s="49"/>
    </row>
    <row r="880" spans="1:21">
      <c r="A880" s="50" t="s">
        <v>1208</v>
      </c>
      <c r="B880" s="32"/>
      <c r="C880" s="33">
        <v>97</v>
      </c>
      <c r="D880" s="33">
        <v>21</v>
      </c>
      <c r="E880" s="33">
        <v>93</v>
      </c>
      <c r="F880" s="48">
        <v>2.5</v>
      </c>
      <c r="G880" s="48">
        <v>0.2</v>
      </c>
      <c r="H880" s="33">
        <v>1.4</v>
      </c>
      <c r="I880" s="48">
        <v>2.4</v>
      </c>
      <c r="J880" s="33">
        <v>47</v>
      </c>
      <c r="K880" s="33">
        <v>0.05</v>
      </c>
      <c r="L880" s="33">
        <v>7.0000000000000007E-2</v>
      </c>
      <c r="M880" s="33">
        <v>0.6</v>
      </c>
      <c r="N880" s="33">
        <v>0.53</v>
      </c>
      <c r="O880" s="33">
        <v>7.8</v>
      </c>
      <c r="P880" s="33">
        <v>24</v>
      </c>
      <c r="Q880" s="33">
        <v>1.3</v>
      </c>
      <c r="R880" s="33" t="s">
        <v>526</v>
      </c>
      <c r="S880" s="33">
        <v>18</v>
      </c>
      <c r="T880" s="33">
        <v>50</v>
      </c>
      <c r="U880" s="49"/>
    </row>
    <row r="881" spans="1:21">
      <c r="A881" s="50" t="s">
        <v>1209</v>
      </c>
      <c r="B881" s="32"/>
      <c r="C881" s="33">
        <v>82</v>
      </c>
      <c r="D881" s="33">
        <v>37</v>
      </c>
      <c r="E881" s="33">
        <v>88.9</v>
      </c>
      <c r="F881" s="48">
        <v>2.1</v>
      </c>
      <c r="G881" s="48">
        <v>0.4</v>
      </c>
      <c r="H881" s="33">
        <v>1.8</v>
      </c>
      <c r="I881" s="48">
        <v>6.2</v>
      </c>
      <c r="J881" s="33">
        <v>47</v>
      </c>
      <c r="K881" s="33">
        <v>0.11</v>
      </c>
      <c r="L881" s="33">
        <v>0.08</v>
      </c>
      <c r="M881" s="33">
        <v>0.5</v>
      </c>
      <c r="N881" s="33">
        <v>0.81</v>
      </c>
      <c r="O881" s="33">
        <v>5.0999999999999996</v>
      </c>
      <c r="P881" s="33">
        <v>29</v>
      </c>
      <c r="Q881" s="33">
        <v>1.4</v>
      </c>
      <c r="R881" s="33" t="s">
        <v>526</v>
      </c>
      <c r="S881" s="33">
        <v>35</v>
      </c>
      <c r="T881" s="33">
        <v>50</v>
      </c>
      <c r="U881" s="49"/>
    </row>
    <row r="882" spans="1:21">
      <c r="A882" s="50" t="s">
        <v>1210</v>
      </c>
      <c r="B882" s="33" t="s">
        <v>1655</v>
      </c>
      <c r="C882" s="33">
        <v>86</v>
      </c>
      <c r="D882" s="33">
        <v>22</v>
      </c>
      <c r="E882" s="33">
        <v>93.2</v>
      </c>
      <c r="F882" s="48">
        <v>1.8</v>
      </c>
      <c r="G882" s="48">
        <v>0.5</v>
      </c>
      <c r="H882" s="33">
        <v>0.8</v>
      </c>
      <c r="I882" s="48">
        <v>2.6</v>
      </c>
      <c r="J882" s="33">
        <v>68</v>
      </c>
      <c r="K882" s="32"/>
      <c r="L882" s="33">
        <v>0.68</v>
      </c>
      <c r="M882" s="33">
        <v>0.6</v>
      </c>
      <c r="N882" s="33">
        <v>1.55</v>
      </c>
      <c r="O882" s="33">
        <v>28</v>
      </c>
      <c r="P882" s="33">
        <v>131</v>
      </c>
      <c r="Q882" s="33">
        <v>5.8</v>
      </c>
      <c r="R882" s="33" t="s">
        <v>526</v>
      </c>
      <c r="S882" s="33">
        <v>57</v>
      </c>
      <c r="T882" s="33">
        <v>50</v>
      </c>
      <c r="U882" s="49"/>
    </row>
    <row r="883" spans="1:21">
      <c r="A883" s="50" t="s">
        <v>1211</v>
      </c>
      <c r="B883" s="32"/>
      <c r="C883" s="33">
        <v>82</v>
      </c>
      <c r="D883" s="33">
        <v>21</v>
      </c>
      <c r="E883" s="33">
        <v>93</v>
      </c>
      <c r="F883" s="48">
        <v>1.9</v>
      </c>
      <c r="G883" s="48">
        <v>0.3</v>
      </c>
      <c r="H883" s="33">
        <v>1.2</v>
      </c>
      <c r="I883" s="48">
        <v>2.7</v>
      </c>
      <c r="J883" s="33">
        <v>252</v>
      </c>
      <c r="K883" s="33">
        <v>0.04</v>
      </c>
      <c r="L883" s="33">
        <v>0.09</v>
      </c>
      <c r="M883" s="33">
        <v>0.6</v>
      </c>
      <c r="N883" s="33">
        <v>0.92</v>
      </c>
      <c r="O883" s="33">
        <v>161.30000000000001</v>
      </c>
      <c r="P883" s="33">
        <v>73</v>
      </c>
      <c r="Q883" s="33">
        <v>2.5</v>
      </c>
      <c r="R883" s="33" t="s">
        <v>526</v>
      </c>
      <c r="S883" s="33">
        <v>18</v>
      </c>
      <c r="T883" s="33">
        <v>50</v>
      </c>
      <c r="U883" s="49"/>
    </row>
    <row r="884" spans="1:21">
      <c r="A884" s="50" t="s">
        <v>1212</v>
      </c>
      <c r="B884" s="32"/>
      <c r="C884" s="33">
        <v>76</v>
      </c>
      <c r="D884" s="33">
        <v>20</v>
      </c>
      <c r="E884" s="33">
        <v>92.9</v>
      </c>
      <c r="F884" s="48">
        <v>2.2000000000000002</v>
      </c>
      <c r="G884" s="48">
        <v>0.3</v>
      </c>
      <c r="H884" s="33">
        <v>1.4</v>
      </c>
      <c r="I884" s="48">
        <v>2.2000000000000002</v>
      </c>
      <c r="J884" s="33">
        <v>253</v>
      </c>
      <c r="K884" s="33">
        <v>0.03</v>
      </c>
      <c r="L884" s="33">
        <v>0.08</v>
      </c>
      <c r="M884" s="33">
        <v>0.8</v>
      </c>
      <c r="N884" s="33">
        <v>1.0900000000000001</v>
      </c>
      <c r="O884" s="33">
        <v>94.3</v>
      </c>
      <c r="P884" s="33">
        <v>99</v>
      </c>
      <c r="Q884" s="33">
        <v>2.2999999999999998</v>
      </c>
      <c r="R884" s="33" t="s">
        <v>526</v>
      </c>
      <c r="S884" s="33">
        <v>25</v>
      </c>
      <c r="T884" s="33">
        <v>50</v>
      </c>
      <c r="U884" s="49"/>
    </row>
    <row r="885" spans="1:21">
      <c r="A885" s="50" t="s">
        <v>1213</v>
      </c>
      <c r="B885" s="32"/>
      <c r="C885" s="33">
        <v>89</v>
      </c>
      <c r="D885" s="33">
        <v>25</v>
      </c>
      <c r="E885" s="33">
        <v>91.8</v>
      </c>
      <c r="F885" s="48">
        <v>2.6</v>
      </c>
      <c r="G885" s="48">
        <v>0.4</v>
      </c>
      <c r="H885" s="33">
        <v>1.4</v>
      </c>
      <c r="I885" s="48">
        <v>2.8</v>
      </c>
      <c r="J885" s="33">
        <v>168</v>
      </c>
      <c r="K885" s="33">
        <v>0.06</v>
      </c>
      <c r="L885" s="33">
        <v>0.11</v>
      </c>
      <c r="M885" s="33">
        <v>1.1000000000000001</v>
      </c>
      <c r="N885" s="33">
        <v>1.1599999999999999</v>
      </c>
      <c r="O885" s="33">
        <v>115.5</v>
      </c>
      <c r="P885" s="33">
        <v>186</v>
      </c>
      <c r="Q885" s="33">
        <v>3</v>
      </c>
      <c r="R885" s="33" t="s">
        <v>526</v>
      </c>
      <c r="S885" s="33">
        <v>45</v>
      </c>
      <c r="T885" s="33">
        <v>50</v>
      </c>
      <c r="U885" s="49"/>
    </row>
    <row r="886" spans="1:21">
      <c r="A886" s="50" t="s">
        <v>1214</v>
      </c>
      <c r="B886" s="32"/>
      <c r="C886" s="33">
        <v>62</v>
      </c>
      <c r="D886" s="33">
        <v>14</v>
      </c>
      <c r="E886" s="33">
        <v>95.5</v>
      </c>
      <c r="F886" s="48">
        <v>1</v>
      </c>
      <c r="G886" s="48">
        <v>0.1</v>
      </c>
      <c r="H886" s="33">
        <v>0.6</v>
      </c>
      <c r="I886" s="48">
        <v>2.2000000000000002</v>
      </c>
      <c r="J886" s="33">
        <v>25</v>
      </c>
      <c r="K886" s="33">
        <v>0.02</v>
      </c>
      <c r="L886" s="33">
        <v>0.02</v>
      </c>
      <c r="M886" s="33">
        <v>0.5</v>
      </c>
      <c r="N886" s="33">
        <v>0.19</v>
      </c>
      <c r="O886" s="33">
        <v>36.5</v>
      </c>
      <c r="P886" s="33">
        <v>23</v>
      </c>
      <c r="Q886" s="33">
        <v>0.9</v>
      </c>
      <c r="R886" s="33" t="s">
        <v>526</v>
      </c>
      <c r="S886" s="33">
        <v>4</v>
      </c>
      <c r="T886" s="33">
        <v>50</v>
      </c>
      <c r="U886" s="49"/>
    </row>
    <row r="887" spans="1:21">
      <c r="A887" s="50" t="s">
        <v>1215</v>
      </c>
      <c r="B887" s="32"/>
      <c r="C887" s="33">
        <v>89</v>
      </c>
      <c r="D887" s="33">
        <v>18</v>
      </c>
      <c r="E887" s="33">
        <v>94.2</v>
      </c>
      <c r="F887" s="48">
        <v>1.4</v>
      </c>
      <c r="G887" s="48">
        <v>0.2</v>
      </c>
      <c r="H887" s="33">
        <v>1</v>
      </c>
      <c r="I887" s="48">
        <v>2.6</v>
      </c>
      <c r="J887" s="33">
        <v>147</v>
      </c>
      <c r="K887" s="33">
        <v>0.06</v>
      </c>
      <c r="L887" s="33">
        <v>0.1</v>
      </c>
      <c r="M887" s="33">
        <v>0.4</v>
      </c>
      <c r="N887" s="33">
        <v>0.57999999999999996</v>
      </c>
      <c r="O887" s="33">
        <v>39.1</v>
      </c>
      <c r="P887" s="33">
        <v>34</v>
      </c>
      <c r="Q887" s="33">
        <v>1.5</v>
      </c>
      <c r="R887" s="33" t="s">
        <v>526</v>
      </c>
      <c r="S887" s="33">
        <v>13</v>
      </c>
      <c r="T887" s="33">
        <v>50</v>
      </c>
      <c r="U887" s="49"/>
    </row>
    <row r="888" spans="1:21">
      <c r="A888" s="50" t="s">
        <v>1216</v>
      </c>
      <c r="B888" s="32"/>
      <c r="C888" s="33">
        <v>74</v>
      </c>
      <c r="D888" s="33">
        <v>25</v>
      </c>
      <c r="E888" s="33">
        <v>90.2</v>
      </c>
      <c r="F888" s="48">
        <v>2.8</v>
      </c>
      <c r="G888" s="48">
        <v>0.3</v>
      </c>
      <c r="H888" s="33">
        <v>2.2000000000000002</v>
      </c>
      <c r="I888" s="48">
        <v>2.8</v>
      </c>
      <c r="J888" s="33">
        <v>352</v>
      </c>
      <c r="K888" s="33">
        <v>0.03</v>
      </c>
      <c r="L888" s="33">
        <v>0.12</v>
      </c>
      <c r="M888" s="33">
        <v>0.8</v>
      </c>
      <c r="N888" s="33">
        <v>0.36</v>
      </c>
      <c r="O888" s="33">
        <v>32.4</v>
      </c>
      <c r="P888" s="33">
        <v>187</v>
      </c>
      <c r="Q888" s="33">
        <v>5.4</v>
      </c>
      <c r="R888" s="33" t="s">
        <v>526</v>
      </c>
      <c r="S888" s="33">
        <v>47</v>
      </c>
      <c r="T888" s="33">
        <v>50</v>
      </c>
      <c r="U888" s="49"/>
    </row>
    <row r="889" spans="1:21">
      <c r="A889" s="50" t="s">
        <v>1217</v>
      </c>
      <c r="B889" s="32"/>
      <c r="C889" s="33">
        <v>73</v>
      </c>
      <c r="D889" s="33">
        <v>31</v>
      </c>
      <c r="E889" s="33">
        <v>88.8</v>
      </c>
      <c r="F889" s="48">
        <v>2.8</v>
      </c>
      <c r="G889" s="48">
        <v>0.4</v>
      </c>
      <c r="H889" s="33">
        <v>1.8</v>
      </c>
      <c r="I889" s="48">
        <v>4.0999999999999996</v>
      </c>
      <c r="J889" s="33">
        <v>248</v>
      </c>
      <c r="K889" s="33">
        <v>0.03</v>
      </c>
      <c r="L889" s="33">
        <v>0.1</v>
      </c>
      <c r="M889" s="33">
        <v>0.6</v>
      </c>
      <c r="N889" s="33">
        <v>1.54</v>
      </c>
      <c r="O889" s="33">
        <v>42.3</v>
      </c>
      <c r="P889" s="33">
        <v>178</v>
      </c>
      <c r="Q889" s="33">
        <v>2.9</v>
      </c>
      <c r="R889" s="33" t="s">
        <v>526</v>
      </c>
      <c r="S889" s="33">
        <v>30</v>
      </c>
      <c r="T889" s="33">
        <v>50</v>
      </c>
      <c r="U889" s="49"/>
    </row>
    <row r="890" spans="1:21">
      <c r="A890" s="50" t="s">
        <v>1218</v>
      </c>
      <c r="B890" s="32"/>
      <c r="C890" s="33">
        <v>76</v>
      </c>
      <c r="D890" s="33">
        <v>47</v>
      </c>
      <c r="E890" s="33">
        <v>85.2</v>
      </c>
      <c r="F890" s="48">
        <v>1.7</v>
      </c>
      <c r="G890" s="48">
        <v>0.4</v>
      </c>
      <c r="H890" s="33">
        <v>1.8</v>
      </c>
      <c r="I890" s="48">
        <v>9.1</v>
      </c>
      <c r="J890" s="33">
        <v>117</v>
      </c>
      <c r="K890" s="33">
        <v>7.0000000000000007E-2</v>
      </c>
      <c r="L890" s="33">
        <v>0.12</v>
      </c>
      <c r="M890" s="33">
        <v>0.9</v>
      </c>
      <c r="N890" s="33">
        <v>0.99</v>
      </c>
      <c r="O890" s="33">
        <v>4.5999999999999996</v>
      </c>
      <c r="P890" s="33">
        <v>96</v>
      </c>
      <c r="Q890" s="33">
        <v>3.9</v>
      </c>
      <c r="R890" s="33" t="s">
        <v>526</v>
      </c>
      <c r="S890" s="33">
        <v>40</v>
      </c>
      <c r="T890" s="33">
        <v>50</v>
      </c>
      <c r="U890" s="49"/>
    </row>
    <row r="891" spans="1:21">
      <c r="A891" s="50" t="s">
        <v>1219</v>
      </c>
      <c r="B891" s="32"/>
      <c r="C891" s="33">
        <v>81</v>
      </c>
      <c r="D891" s="33">
        <v>15</v>
      </c>
      <c r="E891" s="33">
        <v>94.5</v>
      </c>
      <c r="F891" s="48">
        <v>1.5</v>
      </c>
      <c r="G891" s="48">
        <v>0.3</v>
      </c>
      <c r="H891" s="33">
        <v>1.1000000000000001</v>
      </c>
      <c r="I891" s="48">
        <v>1.6</v>
      </c>
      <c r="J891" s="33">
        <v>280</v>
      </c>
      <c r="K891" s="33">
        <v>0.02</v>
      </c>
      <c r="L891" s="33">
        <v>0.09</v>
      </c>
      <c r="M891" s="33">
        <v>0.7</v>
      </c>
      <c r="N891" s="33">
        <v>0.7</v>
      </c>
      <c r="O891" s="33">
        <v>73.5</v>
      </c>
      <c r="P891" s="33">
        <v>90</v>
      </c>
      <c r="Q891" s="33">
        <v>1.9</v>
      </c>
      <c r="R891" s="33" t="s">
        <v>526</v>
      </c>
      <c r="S891" s="33">
        <v>28</v>
      </c>
      <c r="T891" s="33">
        <v>50</v>
      </c>
      <c r="U891" s="49"/>
    </row>
    <row r="892" spans="1:21">
      <c r="A892" s="50" t="s">
        <v>1220</v>
      </c>
      <c r="B892" s="32"/>
      <c r="C892" s="33">
        <v>73</v>
      </c>
      <c r="D892" s="33">
        <v>24</v>
      </c>
      <c r="E892" s="33">
        <v>92.7</v>
      </c>
      <c r="F892" s="48">
        <v>1.6</v>
      </c>
      <c r="G892" s="48">
        <v>0.4</v>
      </c>
      <c r="H892" s="33">
        <v>1.4</v>
      </c>
      <c r="I892" s="48">
        <v>3.5</v>
      </c>
      <c r="J892" s="33">
        <v>140</v>
      </c>
      <c r="K892" s="33">
        <v>0.05</v>
      </c>
      <c r="L892" s="33">
        <v>0.06</v>
      </c>
      <c r="M892" s="33">
        <v>0.4</v>
      </c>
      <c r="N892" s="33">
        <v>0.59</v>
      </c>
      <c r="O892" s="33">
        <v>10.4</v>
      </c>
      <c r="P892" s="33">
        <v>72</v>
      </c>
      <c r="Q892" s="33">
        <v>1.3</v>
      </c>
      <c r="R892" s="33" t="s">
        <v>526</v>
      </c>
      <c r="S892" s="33">
        <v>21</v>
      </c>
      <c r="T892" s="33">
        <v>50</v>
      </c>
      <c r="U892" s="49"/>
    </row>
    <row r="893" spans="1:21">
      <c r="A893" s="50" t="s">
        <v>1221</v>
      </c>
      <c r="B893" s="32"/>
      <c r="C893" s="33">
        <v>83</v>
      </c>
      <c r="D893" s="33">
        <v>33</v>
      </c>
      <c r="E893" s="33">
        <v>90.3</v>
      </c>
      <c r="F893" s="48">
        <v>4.0999999999999996</v>
      </c>
      <c r="G893" s="48">
        <v>0.6</v>
      </c>
      <c r="H893" s="33">
        <v>1.6</v>
      </c>
      <c r="I893" s="48">
        <v>2.7</v>
      </c>
      <c r="J893" s="33">
        <v>1202</v>
      </c>
      <c r="K893" s="33">
        <v>0.09</v>
      </c>
      <c r="L893" s="33">
        <v>0.13</v>
      </c>
      <c r="M893" s="33">
        <v>0.9</v>
      </c>
      <c r="N893" s="33">
        <v>0.91</v>
      </c>
      <c r="O893" s="33">
        <v>18.8</v>
      </c>
      <c r="P893" s="33">
        <v>67</v>
      </c>
      <c r="Q893" s="33">
        <v>1</v>
      </c>
      <c r="R893" s="33" t="s">
        <v>526</v>
      </c>
      <c r="S893" s="33">
        <v>51</v>
      </c>
      <c r="T893" s="33">
        <v>50</v>
      </c>
      <c r="U893" s="49"/>
    </row>
    <row r="894" spans="1:21">
      <c r="A894" s="50" t="s">
        <v>1222</v>
      </c>
      <c r="B894" s="33" t="s">
        <v>1628</v>
      </c>
      <c r="C894" s="33">
        <v>73</v>
      </c>
      <c r="D894" s="33">
        <v>17</v>
      </c>
      <c r="E894" s="33">
        <v>94.5</v>
      </c>
      <c r="F894" s="48">
        <v>2.9</v>
      </c>
      <c r="G894" s="48">
        <v>0.5</v>
      </c>
      <c r="H894" s="33">
        <v>1.2</v>
      </c>
      <c r="I894" s="48">
        <v>0.3</v>
      </c>
      <c r="J894" s="33">
        <v>1592</v>
      </c>
      <c r="K894" s="33">
        <v>0.01</v>
      </c>
      <c r="L894" s="33">
        <v>0.11</v>
      </c>
      <c r="M894" s="33">
        <v>0.3</v>
      </c>
      <c r="N894" s="33">
        <v>0.59</v>
      </c>
      <c r="O894" s="33">
        <v>61.2</v>
      </c>
      <c r="P894" s="33">
        <v>30</v>
      </c>
      <c r="Q894" s="33">
        <v>1</v>
      </c>
      <c r="R894" s="33" t="s">
        <v>526</v>
      </c>
      <c r="S894" s="33">
        <v>52</v>
      </c>
      <c r="T894" s="33">
        <v>50</v>
      </c>
      <c r="U894" s="49"/>
    </row>
    <row r="895" spans="1:21">
      <c r="A895" s="50" t="s">
        <v>1223</v>
      </c>
      <c r="B895" s="32"/>
      <c r="C895" s="33">
        <v>94</v>
      </c>
      <c r="D895" s="33">
        <v>24</v>
      </c>
      <c r="E895" s="33">
        <v>91.5</v>
      </c>
      <c r="F895" s="48">
        <v>2</v>
      </c>
      <c r="G895" s="48">
        <v>0.4</v>
      </c>
      <c r="H895" s="33">
        <v>1.6</v>
      </c>
      <c r="I895" s="48">
        <v>3.1</v>
      </c>
      <c r="J895" s="33">
        <v>52</v>
      </c>
      <c r="K895" s="33">
        <v>0.03</v>
      </c>
      <c r="L895" s="33">
        <v>0.11</v>
      </c>
      <c r="M895" s="33">
        <v>0.5</v>
      </c>
      <c r="N895" s="33">
        <v>0.74</v>
      </c>
      <c r="O895" s="33">
        <v>30.5</v>
      </c>
      <c r="P895" s="33">
        <v>230</v>
      </c>
      <c r="Q895" s="33">
        <v>3.2</v>
      </c>
      <c r="R895" s="33" t="s">
        <v>526</v>
      </c>
      <c r="S895" s="33">
        <v>31</v>
      </c>
      <c r="T895" s="33">
        <v>50</v>
      </c>
      <c r="U895" s="49"/>
    </row>
    <row r="896" spans="1:21">
      <c r="A896" s="50" t="s">
        <v>1224</v>
      </c>
      <c r="B896" s="32"/>
      <c r="C896" s="33">
        <v>87</v>
      </c>
      <c r="D896" s="33">
        <v>23</v>
      </c>
      <c r="E896" s="33">
        <v>92.9</v>
      </c>
      <c r="F896" s="48">
        <v>1.8</v>
      </c>
      <c r="G896" s="48">
        <v>0.5</v>
      </c>
      <c r="H896" s="33">
        <v>1.1000000000000001</v>
      </c>
      <c r="I896" s="48">
        <v>2.7</v>
      </c>
      <c r="J896" s="33">
        <v>103</v>
      </c>
      <c r="K896" s="33">
        <v>0.04</v>
      </c>
      <c r="L896" s="33">
        <v>0.11</v>
      </c>
      <c r="M896" s="33">
        <v>0.7</v>
      </c>
      <c r="N896" s="33">
        <v>0.88</v>
      </c>
      <c r="O896" s="33">
        <v>55.8</v>
      </c>
      <c r="P896" s="33">
        <v>108</v>
      </c>
      <c r="Q896" s="33">
        <v>1.2</v>
      </c>
      <c r="R896" s="33" t="s">
        <v>526</v>
      </c>
      <c r="S896" s="33">
        <v>36</v>
      </c>
      <c r="T896" s="33">
        <v>50</v>
      </c>
      <c r="U896" s="49"/>
    </row>
    <row r="897" spans="1:21">
      <c r="A897" s="50" t="s">
        <v>1225</v>
      </c>
      <c r="B897" s="33" t="s">
        <v>1656</v>
      </c>
      <c r="C897" s="33">
        <v>100</v>
      </c>
      <c r="D897" s="33">
        <v>299</v>
      </c>
      <c r="E897" s="33">
        <v>9</v>
      </c>
      <c r="F897" s="48">
        <v>7.6</v>
      </c>
      <c r="G897" s="48">
        <v>0.6</v>
      </c>
      <c r="H897" s="33">
        <v>8.6</v>
      </c>
      <c r="I897" s="48">
        <v>65.7</v>
      </c>
      <c r="J897" s="33">
        <v>577</v>
      </c>
      <c r="K897" s="33">
        <v>0.33</v>
      </c>
      <c r="L897" s="32"/>
      <c r="M897" s="33">
        <v>10.5</v>
      </c>
      <c r="N897" s="33">
        <v>7.73</v>
      </c>
      <c r="O897" s="33">
        <v>405.3</v>
      </c>
      <c r="P897" s="33">
        <v>596</v>
      </c>
      <c r="Q897" s="33">
        <v>19.3</v>
      </c>
      <c r="R897" s="33" t="s">
        <v>526</v>
      </c>
      <c r="S897" s="33">
        <v>124</v>
      </c>
      <c r="T897" s="33">
        <v>50</v>
      </c>
      <c r="U897" s="49"/>
    </row>
    <row r="898" spans="1:21">
      <c r="A898" s="50" t="s">
        <v>1226</v>
      </c>
      <c r="B898" s="32"/>
      <c r="C898" s="33">
        <v>82</v>
      </c>
      <c r="D898" s="33">
        <v>20</v>
      </c>
      <c r="E898" s="33">
        <v>92.4</v>
      </c>
      <c r="F898" s="48">
        <v>3.2</v>
      </c>
      <c r="G898" s="48">
        <v>0.4</v>
      </c>
      <c r="H898" s="33">
        <v>2</v>
      </c>
      <c r="I898" s="48">
        <v>1</v>
      </c>
      <c r="J898" s="33">
        <v>90</v>
      </c>
      <c r="K898" s="33">
        <v>0.08</v>
      </c>
      <c r="L898" s="33">
        <v>7.0000000000000007E-2</v>
      </c>
      <c r="M898" s="33">
        <v>0.8</v>
      </c>
      <c r="N898" s="33">
        <v>0.89</v>
      </c>
      <c r="O898" s="33">
        <v>83.2</v>
      </c>
      <c r="P898" s="33">
        <v>156</v>
      </c>
      <c r="Q898" s="33">
        <v>2.8</v>
      </c>
      <c r="R898" s="33" t="s">
        <v>526</v>
      </c>
      <c r="S898" s="33">
        <v>65</v>
      </c>
      <c r="T898" s="33">
        <v>50</v>
      </c>
      <c r="U898" s="49"/>
    </row>
    <row r="899" spans="1:21">
      <c r="A899" s="50" t="s">
        <v>1227</v>
      </c>
      <c r="B899" s="32"/>
      <c r="C899" s="33">
        <v>86</v>
      </c>
      <c r="D899" s="33">
        <v>22</v>
      </c>
      <c r="E899" s="33">
        <v>93.2</v>
      </c>
      <c r="F899" s="48">
        <v>1.5</v>
      </c>
      <c r="G899" s="48">
        <v>0.2</v>
      </c>
      <c r="H899" s="33">
        <v>1</v>
      </c>
      <c r="I899" s="48">
        <v>3.6</v>
      </c>
      <c r="J899" s="33">
        <v>12</v>
      </c>
      <c r="K899" s="33">
        <v>0.03</v>
      </c>
      <c r="L899" s="33">
        <v>0.03</v>
      </c>
      <c r="M899" s="33">
        <v>0.4</v>
      </c>
      <c r="N899" s="33">
        <v>0.5</v>
      </c>
      <c r="O899" s="33">
        <v>27.2</v>
      </c>
      <c r="P899" s="33">
        <v>49</v>
      </c>
      <c r="Q899" s="33">
        <v>0.6</v>
      </c>
      <c r="R899" s="33" t="s">
        <v>526</v>
      </c>
      <c r="S899" s="33">
        <v>40</v>
      </c>
      <c r="T899" s="33">
        <v>50</v>
      </c>
      <c r="U899" s="49"/>
    </row>
    <row r="900" spans="1:21">
      <c r="A900" s="50" t="s">
        <v>1228</v>
      </c>
      <c r="B900" s="32"/>
      <c r="C900" s="33">
        <v>81</v>
      </c>
      <c r="D900" s="33">
        <v>31</v>
      </c>
      <c r="E900" s="33">
        <v>90.5</v>
      </c>
      <c r="F900" s="48">
        <v>1.8</v>
      </c>
      <c r="G900" s="48">
        <v>0.4</v>
      </c>
      <c r="H900" s="33">
        <v>1.2</v>
      </c>
      <c r="I900" s="48">
        <v>5</v>
      </c>
      <c r="J900" s="33">
        <v>193</v>
      </c>
      <c r="K900" s="33">
        <v>0.04</v>
      </c>
      <c r="L900" s="33">
        <v>0.14000000000000001</v>
      </c>
      <c r="M900" s="33">
        <v>2.2000000000000002</v>
      </c>
      <c r="N900" s="33">
        <v>0.8</v>
      </c>
      <c r="O900" s="33">
        <v>48.5</v>
      </c>
      <c r="P900" s="33">
        <v>101</v>
      </c>
      <c r="Q900" s="33">
        <v>2.9</v>
      </c>
      <c r="R900" s="33" t="s">
        <v>526</v>
      </c>
      <c r="S900" s="33">
        <v>48</v>
      </c>
      <c r="T900" s="33">
        <v>50</v>
      </c>
      <c r="U900" s="49"/>
    </row>
    <row r="901" spans="1:21">
      <c r="A901" s="50" t="s">
        <v>1229</v>
      </c>
      <c r="B901" s="33" t="s">
        <v>1656</v>
      </c>
      <c r="C901" s="33">
        <v>100</v>
      </c>
      <c r="D901" s="33">
        <v>293</v>
      </c>
      <c r="E901" s="33">
        <v>9.3000000000000007</v>
      </c>
      <c r="F901" s="48">
        <v>7.4</v>
      </c>
      <c r="G901" s="48">
        <v>1.3</v>
      </c>
      <c r="H901" s="33">
        <v>8.1999999999999993</v>
      </c>
      <c r="I901" s="48">
        <v>63</v>
      </c>
      <c r="J901" s="33">
        <v>472</v>
      </c>
      <c r="K901" s="33">
        <v>0.17</v>
      </c>
      <c r="L901" s="32"/>
      <c r="M901" s="33">
        <v>6</v>
      </c>
      <c r="N901" s="33">
        <v>22.15</v>
      </c>
      <c r="O901" s="32"/>
      <c r="P901" s="33">
        <v>1723</v>
      </c>
      <c r="Q901" s="33">
        <v>22.3</v>
      </c>
      <c r="R901" s="33" t="s">
        <v>526</v>
      </c>
      <c r="S901" s="32"/>
      <c r="T901" s="33">
        <v>50</v>
      </c>
      <c r="U901" s="49"/>
    </row>
    <row r="902" spans="1:21">
      <c r="A902" s="50" t="s">
        <v>1230</v>
      </c>
      <c r="B902" s="33" t="s">
        <v>1719</v>
      </c>
      <c r="C902" s="33">
        <v>100</v>
      </c>
      <c r="D902" s="33">
        <v>36</v>
      </c>
      <c r="E902" s="33">
        <v>85.2</v>
      </c>
      <c r="F902" s="48">
        <v>4.8</v>
      </c>
      <c r="G902" s="48">
        <v>0.4</v>
      </c>
      <c r="H902" s="33">
        <v>4.3</v>
      </c>
      <c r="I902" s="48">
        <v>3.3</v>
      </c>
      <c r="J902" s="33">
        <v>122</v>
      </c>
      <c r="K902" s="33">
        <v>0.04</v>
      </c>
      <c r="L902" s="33">
        <v>0.12</v>
      </c>
      <c r="M902" s="33">
        <v>0.9</v>
      </c>
      <c r="N902" s="33">
        <v>0.54</v>
      </c>
      <c r="O902" s="33">
        <v>0.7</v>
      </c>
      <c r="P902" s="33">
        <v>62</v>
      </c>
      <c r="Q902" s="33">
        <v>7.9</v>
      </c>
      <c r="R902" s="33" t="s">
        <v>526</v>
      </c>
      <c r="S902" s="33">
        <v>11</v>
      </c>
      <c r="T902" s="33">
        <v>25</v>
      </c>
      <c r="U902" s="49"/>
    </row>
    <row r="903" spans="1:21">
      <c r="A903" s="50" t="s">
        <v>1231</v>
      </c>
      <c r="B903" s="33" t="s">
        <v>1628</v>
      </c>
      <c r="C903" s="33">
        <v>83</v>
      </c>
      <c r="D903" s="33">
        <v>10</v>
      </c>
      <c r="E903" s="33">
        <v>96.2</v>
      </c>
      <c r="F903" s="48">
        <v>0.9</v>
      </c>
      <c r="G903" s="51"/>
      <c r="H903" s="33">
        <v>0.9</v>
      </c>
      <c r="I903" s="48">
        <v>1.7</v>
      </c>
      <c r="J903" s="32"/>
      <c r="K903" s="33">
        <v>0.02</v>
      </c>
      <c r="L903" s="33">
        <v>0.04</v>
      </c>
      <c r="M903" s="33">
        <v>0.1</v>
      </c>
      <c r="N903" s="33">
        <v>0.2</v>
      </c>
      <c r="O903" s="33">
        <v>1</v>
      </c>
      <c r="P903" s="33">
        <v>6</v>
      </c>
      <c r="Q903" s="33">
        <v>0.1</v>
      </c>
      <c r="R903" s="33" t="s">
        <v>1232</v>
      </c>
      <c r="S903" s="33">
        <v>16</v>
      </c>
      <c r="T903" s="33">
        <v>25</v>
      </c>
      <c r="U903" s="49"/>
    </row>
    <row r="904" spans="1:21">
      <c r="A904" s="50" t="s">
        <v>1233</v>
      </c>
      <c r="B904" s="33" t="s">
        <v>1655</v>
      </c>
      <c r="C904" s="33">
        <v>70</v>
      </c>
      <c r="D904" s="33">
        <v>24</v>
      </c>
      <c r="E904" s="33">
        <v>93</v>
      </c>
      <c r="F904" s="48">
        <v>0.4</v>
      </c>
      <c r="G904" s="51"/>
      <c r="H904" s="33">
        <v>0.5</v>
      </c>
      <c r="I904" s="48">
        <v>5.7</v>
      </c>
      <c r="J904" s="33">
        <v>17</v>
      </c>
      <c r="K904" s="33">
        <v>0.05</v>
      </c>
      <c r="L904" s="33">
        <v>0.08</v>
      </c>
      <c r="M904" s="33">
        <v>0.7</v>
      </c>
      <c r="N904" s="33">
        <v>17</v>
      </c>
      <c r="O904" s="33">
        <v>1.6</v>
      </c>
      <c r="P904" s="33">
        <v>12</v>
      </c>
      <c r="Q904" s="33">
        <v>0.4</v>
      </c>
      <c r="R904" s="33" t="s">
        <v>1232</v>
      </c>
      <c r="S904" s="33">
        <v>17</v>
      </c>
      <c r="T904" s="33">
        <v>25</v>
      </c>
      <c r="U904" s="49"/>
    </row>
    <row r="905" spans="1:21">
      <c r="A905" s="50" t="s">
        <v>1234</v>
      </c>
      <c r="B905" s="32"/>
      <c r="C905" s="33">
        <v>55</v>
      </c>
      <c r="D905" s="33">
        <v>21</v>
      </c>
      <c r="E905" s="33">
        <v>93.2</v>
      </c>
      <c r="F905" s="48">
        <v>0.6</v>
      </c>
      <c r="G905" s="48">
        <v>0.1</v>
      </c>
      <c r="H905" s="33">
        <v>0.8</v>
      </c>
      <c r="I905" s="48">
        <v>4.5</v>
      </c>
      <c r="J905" s="33">
        <v>7</v>
      </c>
      <c r="K905" s="33">
        <v>0.02</v>
      </c>
      <c r="L905" s="33">
        <v>0.03</v>
      </c>
      <c r="M905" s="33">
        <v>0.6</v>
      </c>
      <c r="N905" s="33">
        <v>14</v>
      </c>
      <c r="O905" s="32"/>
      <c r="P905" s="32"/>
      <c r="Q905" s="32"/>
      <c r="R905" s="33" t="s">
        <v>1232</v>
      </c>
      <c r="S905" s="33">
        <v>14</v>
      </c>
      <c r="T905" s="33">
        <v>25</v>
      </c>
      <c r="U905" s="49"/>
    </row>
    <row r="906" spans="1:21">
      <c r="A906" s="50" t="s">
        <v>1235</v>
      </c>
      <c r="B906" s="32"/>
      <c r="C906" s="33">
        <v>88</v>
      </c>
      <c r="D906" s="33">
        <v>18</v>
      </c>
      <c r="E906" s="33">
        <v>95</v>
      </c>
      <c r="F906" s="48">
        <v>0.6</v>
      </c>
      <c r="G906" s="48">
        <v>0.2</v>
      </c>
      <c r="H906" s="33">
        <v>0.4</v>
      </c>
      <c r="I906" s="48">
        <v>3.5</v>
      </c>
      <c r="J906" s="33">
        <v>3</v>
      </c>
      <c r="K906" s="33">
        <v>0.02</v>
      </c>
      <c r="L906" s="33">
        <v>0.01</v>
      </c>
      <c r="M906" s="33">
        <v>0.2</v>
      </c>
      <c r="N906" s="33">
        <v>0.03</v>
      </c>
      <c r="O906" s="33">
        <v>1.6</v>
      </c>
      <c r="P906" s="33">
        <v>20</v>
      </c>
      <c r="Q906" s="33">
        <v>0.5</v>
      </c>
      <c r="R906" s="33" t="s">
        <v>1232</v>
      </c>
      <c r="S906" s="33">
        <v>12</v>
      </c>
      <c r="T906" s="33">
        <v>25</v>
      </c>
      <c r="U906" s="49"/>
    </row>
    <row r="907" spans="1:21">
      <c r="A907" s="50" t="s">
        <v>1236</v>
      </c>
      <c r="B907" s="32"/>
      <c r="C907" s="33">
        <v>80</v>
      </c>
      <c r="D907" s="33">
        <v>11</v>
      </c>
      <c r="E907" s="33">
        <v>96.6</v>
      </c>
      <c r="F907" s="48">
        <v>0.4</v>
      </c>
      <c r="G907" s="48">
        <v>0.2</v>
      </c>
      <c r="H907" s="33">
        <v>0.7</v>
      </c>
      <c r="I907" s="48">
        <v>1.9</v>
      </c>
      <c r="J907" s="33">
        <v>13</v>
      </c>
      <c r="K907" s="33">
        <v>0.01</v>
      </c>
      <c r="L907" s="33">
        <v>0.01</v>
      </c>
      <c r="M907" s="33">
        <v>0.3</v>
      </c>
      <c r="N907" s="33">
        <v>0.08</v>
      </c>
      <c r="O907" s="33">
        <v>1.8</v>
      </c>
      <c r="P907" s="33">
        <v>19</v>
      </c>
      <c r="Q907" s="33">
        <v>0.2</v>
      </c>
      <c r="R907" s="33" t="s">
        <v>1232</v>
      </c>
      <c r="S907" s="33">
        <v>18</v>
      </c>
      <c r="T907" s="33">
        <v>25</v>
      </c>
      <c r="U907" s="49"/>
    </row>
    <row r="908" spans="1:21">
      <c r="A908" s="50" t="s">
        <v>1237</v>
      </c>
      <c r="B908" s="33" t="s">
        <v>1657</v>
      </c>
      <c r="C908" s="33">
        <v>82</v>
      </c>
      <c r="D908" s="33">
        <v>13</v>
      </c>
      <c r="E908" s="33">
        <v>95.8</v>
      </c>
      <c r="F908" s="48">
        <v>0.8</v>
      </c>
      <c r="G908" s="51"/>
      <c r="H908" s="33">
        <v>0.6</v>
      </c>
      <c r="I908" s="48">
        <v>2.5</v>
      </c>
      <c r="J908" s="33">
        <v>23</v>
      </c>
      <c r="K908" s="33">
        <v>0.01</v>
      </c>
      <c r="L908" s="33">
        <v>0.01</v>
      </c>
      <c r="M908" s="33">
        <v>0.6</v>
      </c>
      <c r="N908" s="33">
        <v>0.37</v>
      </c>
      <c r="O908" s="33">
        <v>4.4000000000000004</v>
      </c>
      <c r="P908" s="33">
        <v>40</v>
      </c>
      <c r="Q908" s="33">
        <v>0.2</v>
      </c>
      <c r="R908" s="33" t="s">
        <v>1232</v>
      </c>
      <c r="S908" s="33">
        <v>2</v>
      </c>
      <c r="T908" s="33">
        <v>25</v>
      </c>
      <c r="U908" s="49"/>
    </row>
    <row r="909" spans="1:21">
      <c r="A909" s="50" t="s">
        <v>1238</v>
      </c>
      <c r="B909" s="33" t="s">
        <v>1657</v>
      </c>
      <c r="C909" s="33">
        <v>100</v>
      </c>
      <c r="D909" s="33">
        <v>16</v>
      </c>
      <c r="E909" s="33">
        <v>94.3</v>
      </c>
      <c r="F909" s="48">
        <v>1.2</v>
      </c>
      <c r="G909" s="48">
        <v>0.1</v>
      </c>
      <c r="H909" s="33">
        <v>1.2</v>
      </c>
      <c r="I909" s="48">
        <v>2.6</v>
      </c>
      <c r="J909" s="33">
        <v>3</v>
      </c>
      <c r="K909" s="33">
        <v>0.01</v>
      </c>
      <c r="L909" s="33">
        <v>0.01</v>
      </c>
      <c r="M909" s="33">
        <v>0.1</v>
      </c>
      <c r="N909" s="32"/>
      <c r="O909" s="33">
        <v>1</v>
      </c>
      <c r="P909" s="33">
        <v>17</v>
      </c>
      <c r="Q909" s="33">
        <v>0.1</v>
      </c>
      <c r="R909" s="33" t="s">
        <v>1232</v>
      </c>
      <c r="S909" s="33">
        <v>8</v>
      </c>
      <c r="T909" s="33">
        <v>25</v>
      </c>
      <c r="U909" s="49"/>
    </row>
    <row r="910" spans="1:21">
      <c r="A910" s="50" t="s">
        <v>1239</v>
      </c>
      <c r="B910" s="33" t="s">
        <v>1618</v>
      </c>
      <c r="C910" s="33">
        <v>71</v>
      </c>
      <c r="D910" s="33">
        <v>34</v>
      </c>
      <c r="E910" s="33">
        <v>91</v>
      </c>
      <c r="F910" s="48">
        <v>0.5</v>
      </c>
      <c r="G910" s="48">
        <v>0.1</v>
      </c>
      <c r="H910" s="33">
        <v>0.2</v>
      </c>
      <c r="I910" s="48">
        <v>7.7</v>
      </c>
      <c r="J910" s="33">
        <v>153</v>
      </c>
      <c r="K910" s="32"/>
      <c r="L910" s="33">
        <v>0.01</v>
      </c>
      <c r="M910" s="32"/>
      <c r="N910" s="32"/>
      <c r="O910" s="33">
        <v>26.7</v>
      </c>
      <c r="P910" s="33">
        <v>4</v>
      </c>
      <c r="Q910" s="32"/>
      <c r="R910" s="33" t="s">
        <v>1232</v>
      </c>
      <c r="S910" s="33">
        <v>12</v>
      </c>
      <c r="T910" s="33">
        <v>25</v>
      </c>
      <c r="U910" s="49"/>
    </row>
    <row r="911" spans="1:21">
      <c r="A911" s="50" t="s">
        <v>1240</v>
      </c>
      <c r="B911" s="32"/>
      <c r="C911" s="33">
        <v>92</v>
      </c>
      <c r="D911" s="33">
        <v>15</v>
      </c>
      <c r="E911" s="33">
        <v>95.8</v>
      </c>
      <c r="F911" s="48">
        <v>0.8</v>
      </c>
      <c r="G911" s="48">
        <v>0.2</v>
      </c>
      <c r="H911" s="33">
        <v>0.5</v>
      </c>
      <c r="I911" s="48">
        <v>2.4</v>
      </c>
      <c r="J911" s="33">
        <v>15</v>
      </c>
      <c r="K911" s="33">
        <v>0.02</v>
      </c>
      <c r="L911" s="33">
        <v>0.03</v>
      </c>
      <c r="M911" s="33">
        <v>0.2</v>
      </c>
      <c r="N911" s="33">
        <v>0.46</v>
      </c>
      <c r="O911" s="33">
        <v>4.9000000000000004</v>
      </c>
      <c r="P911" s="33">
        <v>24</v>
      </c>
      <c r="Q911" s="33">
        <v>0.5</v>
      </c>
      <c r="R911" s="33" t="s">
        <v>1232</v>
      </c>
      <c r="S911" s="33">
        <v>9</v>
      </c>
      <c r="T911" s="33">
        <v>25</v>
      </c>
      <c r="U911" s="49"/>
    </row>
    <row r="912" spans="1:21">
      <c r="A912" s="50" t="s">
        <v>1241</v>
      </c>
      <c r="B912" s="33" t="s">
        <v>1693</v>
      </c>
      <c r="C912" s="33">
        <v>56</v>
      </c>
      <c r="D912" s="33">
        <v>5</v>
      </c>
      <c r="E912" s="33">
        <v>95</v>
      </c>
      <c r="F912" s="48">
        <v>0.4</v>
      </c>
      <c r="G912" s="51"/>
      <c r="H912" s="33">
        <v>3.2</v>
      </c>
      <c r="I912" s="48">
        <v>0.8</v>
      </c>
      <c r="J912" s="33">
        <v>30</v>
      </c>
      <c r="K912" s="33">
        <v>0.02</v>
      </c>
      <c r="L912" s="33">
        <v>0.01</v>
      </c>
      <c r="M912" s="33">
        <v>0.5</v>
      </c>
      <c r="N912" s="32"/>
      <c r="O912" s="32"/>
      <c r="P912" s="32"/>
      <c r="Q912" s="32"/>
      <c r="R912" s="33" t="s">
        <v>1232</v>
      </c>
      <c r="S912" s="33">
        <v>15</v>
      </c>
      <c r="T912" s="33">
        <v>25</v>
      </c>
      <c r="U912" s="49"/>
    </row>
    <row r="913" spans="1:21">
      <c r="A913" s="50" t="s">
        <v>1242</v>
      </c>
      <c r="B913" s="33" t="s">
        <v>1720</v>
      </c>
      <c r="C913" s="33">
        <v>100</v>
      </c>
      <c r="D913" s="33">
        <v>219</v>
      </c>
      <c r="E913" s="33">
        <v>25.4</v>
      </c>
      <c r="F913" s="48">
        <v>4.3</v>
      </c>
      <c r="G913" s="48">
        <v>1.8</v>
      </c>
      <c r="H913" s="33">
        <v>18.100000000000001</v>
      </c>
      <c r="I913" s="48">
        <v>46.5</v>
      </c>
      <c r="J913" s="32"/>
      <c r="K913" s="33">
        <v>0.05</v>
      </c>
      <c r="L913" s="33">
        <v>0.03</v>
      </c>
      <c r="M913" s="33">
        <v>1.4</v>
      </c>
      <c r="N913" s="32"/>
      <c r="O913" s="33">
        <v>36.299999999999997</v>
      </c>
      <c r="P913" s="33">
        <v>114</v>
      </c>
      <c r="Q913" s="33">
        <v>8</v>
      </c>
      <c r="R913" s="33" t="s">
        <v>1232</v>
      </c>
      <c r="S913" s="32"/>
      <c r="T913" s="33">
        <v>25</v>
      </c>
      <c r="U913" s="49"/>
    </row>
    <row r="914" spans="1:21">
      <c r="A914" s="50" t="s">
        <v>1243</v>
      </c>
      <c r="B914" s="32"/>
      <c r="C914" s="33">
        <v>87</v>
      </c>
      <c r="D914" s="33">
        <v>14</v>
      </c>
      <c r="E914" s="33">
        <v>95.3</v>
      </c>
      <c r="F914" s="48">
        <v>0.7</v>
      </c>
      <c r="G914" s="48">
        <v>0.1</v>
      </c>
      <c r="H914" s="33">
        <v>0.8</v>
      </c>
      <c r="I914" s="48">
        <v>2.7</v>
      </c>
      <c r="J914" s="33">
        <v>7</v>
      </c>
      <c r="K914" s="33">
        <v>0.02</v>
      </c>
      <c r="L914" s="33">
        <v>0.01</v>
      </c>
      <c r="M914" s="33">
        <v>0.4</v>
      </c>
      <c r="N914" s="32"/>
      <c r="O914" s="33">
        <v>0.6</v>
      </c>
      <c r="P914" s="33">
        <v>16</v>
      </c>
      <c r="Q914" s="33">
        <v>0.4</v>
      </c>
      <c r="R914" s="33" t="s">
        <v>1232</v>
      </c>
      <c r="S914" s="33">
        <v>11</v>
      </c>
      <c r="T914" s="33">
        <v>25</v>
      </c>
      <c r="U914" s="49"/>
    </row>
    <row r="915" spans="1:21">
      <c r="A915" s="50" t="s">
        <v>1244</v>
      </c>
      <c r="B915" s="33" t="s">
        <v>1628</v>
      </c>
      <c r="C915" s="33">
        <v>92</v>
      </c>
      <c r="D915" s="33">
        <v>12</v>
      </c>
      <c r="E915" s="33">
        <v>95.6</v>
      </c>
      <c r="F915" s="48">
        <v>0.6</v>
      </c>
      <c r="G915" s="48">
        <v>0.1</v>
      </c>
      <c r="H915" s="33">
        <v>1.2</v>
      </c>
      <c r="I915" s="48">
        <v>2.2000000000000002</v>
      </c>
      <c r="J915" s="32"/>
      <c r="K915" s="33">
        <v>0.02</v>
      </c>
      <c r="L915" s="33">
        <v>0.05</v>
      </c>
      <c r="M915" s="33">
        <v>0.4</v>
      </c>
      <c r="N915" s="33">
        <v>0.27</v>
      </c>
      <c r="O915" s="33">
        <v>0.2</v>
      </c>
      <c r="P915" s="33">
        <v>4</v>
      </c>
      <c r="Q915" s="33">
        <v>0.1</v>
      </c>
      <c r="R915" s="33" t="s">
        <v>1232</v>
      </c>
      <c r="S915" s="33">
        <v>39</v>
      </c>
      <c r="T915" s="33">
        <v>25</v>
      </c>
      <c r="U915" s="49"/>
    </row>
    <row r="916" spans="1:21">
      <c r="A916" s="50" t="s">
        <v>1245</v>
      </c>
      <c r="B916" s="33" t="s">
        <v>1627</v>
      </c>
      <c r="C916" s="33">
        <v>82</v>
      </c>
      <c r="D916" s="33">
        <v>14</v>
      </c>
      <c r="E916" s="33">
        <v>95.6</v>
      </c>
      <c r="F916" s="48">
        <v>0.5</v>
      </c>
      <c r="G916" s="48">
        <v>0.1</v>
      </c>
      <c r="H916" s="33">
        <v>0.7</v>
      </c>
      <c r="I916" s="48">
        <v>2.7</v>
      </c>
      <c r="J916" s="33">
        <v>10</v>
      </c>
      <c r="K916" s="33">
        <v>0.02</v>
      </c>
      <c r="L916" s="33">
        <v>0.02</v>
      </c>
      <c r="M916" s="33">
        <v>0.6</v>
      </c>
      <c r="N916" s="33">
        <v>0.43</v>
      </c>
      <c r="O916" s="33">
        <v>0.9</v>
      </c>
      <c r="P916" s="33">
        <v>17</v>
      </c>
      <c r="Q916" s="33">
        <v>0.9</v>
      </c>
      <c r="R916" s="33" t="s">
        <v>1232</v>
      </c>
      <c r="S916" s="33">
        <v>2</v>
      </c>
      <c r="T916" s="33">
        <v>25</v>
      </c>
      <c r="U916" s="49"/>
    </row>
    <row r="917" spans="1:21">
      <c r="A917" s="50" t="s">
        <v>1246</v>
      </c>
      <c r="B917" s="33" t="s">
        <v>1624</v>
      </c>
      <c r="C917" s="33">
        <v>80</v>
      </c>
      <c r="D917" s="33">
        <v>37</v>
      </c>
      <c r="E917" s="33">
        <v>91.7</v>
      </c>
      <c r="F917" s="48">
        <v>3.3</v>
      </c>
      <c r="G917" s="48">
        <v>2</v>
      </c>
      <c r="H917" s="33">
        <v>0.8</v>
      </c>
      <c r="I917" s="48">
        <v>1.4</v>
      </c>
      <c r="J917" s="33">
        <v>2</v>
      </c>
      <c r="K917" s="33">
        <v>0.02</v>
      </c>
      <c r="L917" s="33">
        <v>0.03</v>
      </c>
      <c r="M917" s="33">
        <v>0.7</v>
      </c>
      <c r="N917" s="33">
        <v>0.01</v>
      </c>
      <c r="O917" s="32"/>
      <c r="P917" s="33">
        <v>25</v>
      </c>
      <c r="Q917" s="33">
        <v>0.3</v>
      </c>
      <c r="R917" s="33" t="s">
        <v>1232</v>
      </c>
      <c r="S917" s="32"/>
      <c r="T917" s="33">
        <v>25</v>
      </c>
      <c r="U917" s="49"/>
    </row>
    <row r="918" spans="1:21">
      <c r="A918" s="50" t="s">
        <v>1247</v>
      </c>
      <c r="B918" s="33" t="s">
        <v>1656</v>
      </c>
      <c r="C918" s="33">
        <v>81</v>
      </c>
      <c r="D918" s="33">
        <v>8</v>
      </c>
      <c r="E918" s="33">
        <v>96.9</v>
      </c>
      <c r="F918" s="48">
        <v>0.6</v>
      </c>
      <c r="G918" s="48">
        <v>0.1</v>
      </c>
      <c r="H918" s="33">
        <v>0.7</v>
      </c>
      <c r="I918" s="48">
        <v>1.3</v>
      </c>
      <c r="J918" s="32"/>
      <c r="K918" s="32"/>
      <c r="L918" s="33">
        <v>0.03</v>
      </c>
      <c r="M918" s="33">
        <v>0.5</v>
      </c>
      <c r="N918" s="32"/>
      <c r="O918" s="32"/>
      <c r="P918" s="32"/>
      <c r="Q918" s="32"/>
      <c r="R918" s="33" t="s">
        <v>1232</v>
      </c>
      <c r="S918" s="33">
        <v>18</v>
      </c>
      <c r="T918" s="33">
        <v>25</v>
      </c>
      <c r="U918" s="49"/>
    </row>
    <row r="919" spans="1:21">
      <c r="A919" s="50" t="s">
        <v>1248</v>
      </c>
      <c r="B919" s="32"/>
      <c r="C919" s="33">
        <v>81</v>
      </c>
      <c r="D919" s="33">
        <v>19</v>
      </c>
      <c r="E919" s="33">
        <v>93.4</v>
      </c>
      <c r="F919" s="48">
        <v>1</v>
      </c>
      <c r="G919" s="48">
        <v>0.1</v>
      </c>
      <c r="H919" s="33">
        <v>1.4</v>
      </c>
      <c r="I919" s="48">
        <v>3.5</v>
      </c>
      <c r="J919" s="33">
        <v>17</v>
      </c>
      <c r="K919" s="33">
        <v>0.03</v>
      </c>
      <c r="L919" s="33">
        <v>0.03</v>
      </c>
      <c r="M919" s="33">
        <v>0.4</v>
      </c>
      <c r="N919" s="33">
        <v>0.85</v>
      </c>
      <c r="O919" s="33">
        <v>2.5</v>
      </c>
      <c r="P919" s="33">
        <v>14</v>
      </c>
      <c r="Q919" s="33">
        <v>0.7</v>
      </c>
      <c r="R919" s="33" t="s">
        <v>1232</v>
      </c>
      <c r="S919" s="33">
        <v>56</v>
      </c>
      <c r="T919" s="33">
        <v>25</v>
      </c>
      <c r="U919" s="49"/>
    </row>
    <row r="920" spans="1:21">
      <c r="A920" s="50" t="s">
        <v>1249</v>
      </c>
      <c r="B920" s="33" t="s">
        <v>1721</v>
      </c>
      <c r="C920" s="33">
        <v>71</v>
      </c>
      <c r="D920" s="33">
        <v>6</v>
      </c>
      <c r="E920" s="33">
        <v>98.1</v>
      </c>
      <c r="F920" s="48">
        <v>1.2</v>
      </c>
      <c r="G920" s="48">
        <v>0.1</v>
      </c>
      <c r="H920" s="33">
        <v>0.4</v>
      </c>
      <c r="I920" s="48">
        <v>0</v>
      </c>
      <c r="J920" s="32"/>
      <c r="K920" s="32"/>
      <c r="L920" s="33">
        <v>0.04</v>
      </c>
      <c r="M920" s="32"/>
      <c r="N920" s="32"/>
      <c r="O920" s="33">
        <v>5.2</v>
      </c>
      <c r="P920" s="33">
        <v>12</v>
      </c>
      <c r="Q920" s="33">
        <v>0.5</v>
      </c>
      <c r="R920" s="33" t="s">
        <v>1232</v>
      </c>
      <c r="S920" s="32"/>
      <c r="T920" s="33">
        <v>25</v>
      </c>
      <c r="U920" s="49"/>
    </row>
    <row r="921" spans="1:21">
      <c r="A921" s="50" t="s">
        <v>1250</v>
      </c>
      <c r="B921" s="33" t="s">
        <v>1656</v>
      </c>
      <c r="C921" s="33">
        <v>66</v>
      </c>
      <c r="D921" s="33">
        <v>16</v>
      </c>
      <c r="E921" s="33">
        <v>95.2</v>
      </c>
      <c r="F921" s="48">
        <v>0.7</v>
      </c>
      <c r="G921" s="48">
        <v>0.1</v>
      </c>
      <c r="H921" s="33">
        <v>0.4</v>
      </c>
      <c r="I921" s="48">
        <v>3.2</v>
      </c>
      <c r="J921" s="32"/>
      <c r="K921" s="32"/>
      <c r="L921" s="33">
        <v>0.03</v>
      </c>
      <c r="M921" s="33">
        <v>0.4</v>
      </c>
      <c r="N921" s="32"/>
      <c r="O921" s="32"/>
      <c r="P921" s="32"/>
      <c r="Q921" s="32"/>
      <c r="R921" s="33" t="s">
        <v>1232</v>
      </c>
      <c r="S921" s="33">
        <v>17</v>
      </c>
      <c r="T921" s="33">
        <v>25</v>
      </c>
      <c r="U921" s="49"/>
    </row>
    <row r="922" spans="1:21">
      <c r="A922" s="50" t="s">
        <v>1251</v>
      </c>
      <c r="B922" s="33" t="s">
        <v>1692</v>
      </c>
      <c r="C922" s="33">
        <v>88</v>
      </c>
      <c r="D922" s="33">
        <v>10</v>
      </c>
      <c r="E922" s="33">
        <v>97</v>
      </c>
      <c r="F922" s="48">
        <v>0.8</v>
      </c>
      <c r="G922" s="51"/>
      <c r="H922" s="32"/>
      <c r="I922" s="48">
        <v>1.8</v>
      </c>
      <c r="J922" s="33">
        <v>97</v>
      </c>
      <c r="K922" s="33">
        <v>0.01</v>
      </c>
      <c r="L922" s="33">
        <v>0.02</v>
      </c>
      <c r="M922" s="33">
        <v>0.1</v>
      </c>
      <c r="N922" s="32"/>
      <c r="O922" s="33">
        <v>0.6</v>
      </c>
      <c r="P922" s="33">
        <v>14</v>
      </c>
      <c r="Q922" s="33">
        <v>0.8</v>
      </c>
      <c r="R922" s="33" t="s">
        <v>1232</v>
      </c>
      <c r="S922" s="32"/>
      <c r="T922" s="33">
        <v>25</v>
      </c>
      <c r="U922" s="49"/>
    </row>
    <row r="923" spans="1:21">
      <c r="A923" s="50" t="s">
        <v>1252</v>
      </c>
      <c r="B923" s="33" t="s">
        <v>1628</v>
      </c>
      <c r="C923" s="33">
        <v>86</v>
      </c>
      <c r="D923" s="33">
        <v>27</v>
      </c>
      <c r="E923" s="33">
        <v>92.2</v>
      </c>
      <c r="F923" s="48">
        <v>0.4</v>
      </c>
      <c r="G923" s="48">
        <v>0.1</v>
      </c>
      <c r="H923" s="33">
        <v>0.8</v>
      </c>
      <c r="I923" s="48">
        <v>6.2</v>
      </c>
      <c r="J923" s="33">
        <v>145</v>
      </c>
      <c r="K923" s="33">
        <v>0.01</v>
      </c>
      <c r="L923" s="33">
        <v>0.02</v>
      </c>
      <c r="M923" s="33">
        <v>0.3</v>
      </c>
      <c r="N923" s="33">
        <v>0.3</v>
      </c>
      <c r="O923" s="33">
        <v>28</v>
      </c>
      <c r="P923" s="33">
        <v>17</v>
      </c>
      <c r="Q923" s="33">
        <v>0.2</v>
      </c>
      <c r="R923" s="33" t="s">
        <v>1232</v>
      </c>
      <c r="S923" s="33">
        <v>43</v>
      </c>
      <c r="T923" s="33">
        <v>25</v>
      </c>
      <c r="U923" s="49"/>
    </row>
    <row r="924" spans="1:21">
      <c r="A924" s="50" t="s">
        <v>1253</v>
      </c>
      <c r="B924" s="32"/>
      <c r="C924" s="33">
        <v>85</v>
      </c>
      <c r="D924" s="33">
        <v>22</v>
      </c>
      <c r="E924" s="33">
        <v>93.5</v>
      </c>
      <c r="F924" s="48">
        <v>0.7</v>
      </c>
      <c r="G924" s="48">
        <v>0.1</v>
      </c>
      <c r="H924" s="33">
        <v>0.8</v>
      </c>
      <c r="I924" s="48">
        <v>4.5</v>
      </c>
      <c r="J924" s="33">
        <v>148</v>
      </c>
      <c r="K924" s="33">
        <v>0.03</v>
      </c>
      <c r="L924" s="33">
        <v>0.04</v>
      </c>
      <c r="M924" s="33">
        <v>0.4</v>
      </c>
      <c r="N924" s="33">
        <v>0.36</v>
      </c>
      <c r="O924" s="33">
        <v>0.8</v>
      </c>
      <c r="P924" s="33">
        <v>16</v>
      </c>
      <c r="Q924" s="33">
        <v>0.4</v>
      </c>
      <c r="R924" s="33" t="s">
        <v>1232</v>
      </c>
      <c r="S924" s="33">
        <v>8</v>
      </c>
      <c r="T924" s="33">
        <v>25</v>
      </c>
      <c r="U924" s="49"/>
    </row>
    <row r="925" spans="1:21">
      <c r="A925" s="50" t="s">
        <v>1254</v>
      </c>
      <c r="B925" s="33" t="s">
        <v>1657</v>
      </c>
      <c r="C925" s="33">
        <v>89</v>
      </c>
      <c r="D925" s="33">
        <v>15</v>
      </c>
      <c r="E925" s="33">
        <v>94.1</v>
      </c>
      <c r="F925" s="48">
        <v>1.5</v>
      </c>
      <c r="G925" s="48">
        <v>0.1</v>
      </c>
      <c r="H925" s="33">
        <v>2</v>
      </c>
      <c r="I925" s="48">
        <v>1.7</v>
      </c>
      <c r="J925" s="33">
        <v>3</v>
      </c>
      <c r="K925" s="33">
        <v>0.1</v>
      </c>
      <c r="L925" s="33">
        <v>0.03</v>
      </c>
      <c r="M925" s="33">
        <v>0.1</v>
      </c>
      <c r="N925" s="32"/>
      <c r="O925" s="33">
        <v>2.2000000000000002</v>
      </c>
      <c r="P925" s="33">
        <v>191</v>
      </c>
      <c r="Q925" s="33">
        <v>1.2</v>
      </c>
      <c r="R925" s="33" t="s">
        <v>1232</v>
      </c>
      <c r="S925" s="33">
        <v>4</v>
      </c>
      <c r="T925" s="33">
        <v>25</v>
      </c>
      <c r="U925" s="49"/>
    </row>
    <row r="926" spans="1:21">
      <c r="A926" s="50" t="s">
        <v>1255</v>
      </c>
      <c r="B926" s="32"/>
      <c r="C926" s="33">
        <v>83</v>
      </c>
      <c r="D926" s="33">
        <v>20</v>
      </c>
      <c r="E926" s="33">
        <v>94.3</v>
      </c>
      <c r="F926" s="48">
        <v>1</v>
      </c>
      <c r="G926" s="48">
        <v>0.2</v>
      </c>
      <c r="H926" s="33">
        <v>0.6</v>
      </c>
      <c r="I926" s="48">
        <v>3.6</v>
      </c>
      <c r="J926" s="33">
        <v>15</v>
      </c>
      <c r="K926" s="33">
        <v>0.02</v>
      </c>
      <c r="L926" s="33">
        <v>0.04</v>
      </c>
      <c r="M926" s="33">
        <v>0.4</v>
      </c>
      <c r="N926" s="33">
        <v>0.22</v>
      </c>
      <c r="O926" s="33">
        <v>2.6</v>
      </c>
      <c r="P926" s="33">
        <v>14</v>
      </c>
      <c r="Q926" s="33">
        <v>0.4</v>
      </c>
      <c r="R926" s="33" t="s">
        <v>1232</v>
      </c>
      <c r="S926" s="33">
        <v>5</v>
      </c>
      <c r="T926" s="33">
        <v>25</v>
      </c>
      <c r="U926" s="49"/>
    </row>
    <row r="927" spans="1:21">
      <c r="A927" s="50" t="s">
        <v>1256</v>
      </c>
      <c r="B927" s="33" t="s">
        <v>1643</v>
      </c>
      <c r="C927" s="33">
        <v>91</v>
      </c>
      <c r="D927" s="33">
        <v>12</v>
      </c>
      <c r="E927" s="33">
        <v>96.1</v>
      </c>
      <c r="F927" s="48">
        <v>0.5</v>
      </c>
      <c r="G927" s="51"/>
      <c r="H927" s="33">
        <v>0.7</v>
      </c>
      <c r="I927" s="48">
        <v>2.4</v>
      </c>
      <c r="J927" s="33">
        <v>17</v>
      </c>
      <c r="K927" s="33">
        <v>0.04</v>
      </c>
      <c r="L927" s="33">
        <v>0.02</v>
      </c>
      <c r="M927" s="32"/>
      <c r="N927" s="33">
        <v>0.28999999999999998</v>
      </c>
      <c r="O927" s="32"/>
      <c r="P927" s="33">
        <v>14</v>
      </c>
      <c r="Q927" s="33">
        <v>0.6</v>
      </c>
      <c r="R927" s="33" t="s">
        <v>1232</v>
      </c>
      <c r="S927" s="33">
        <v>5</v>
      </c>
      <c r="T927" s="33">
        <v>25</v>
      </c>
      <c r="U927" s="49"/>
    </row>
    <row r="928" spans="1:21">
      <c r="A928" s="50" t="s">
        <v>1257</v>
      </c>
      <c r="B928" s="32"/>
      <c r="C928" s="33">
        <v>78</v>
      </c>
      <c r="D928" s="33">
        <v>26</v>
      </c>
      <c r="E928" s="33">
        <v>92.9</v>
      </c>
      <c r="F928" s="48">
        <v>0.4</v>
      </c>
      <c r="G928" s="48">
        <v>0.1</v>
      </c>
      <c r="H928" s="33">
        <v>0.4</v>
      </c>
      <c r="I928" s="48">
        <v>5.8</v>
      </c>
      <c r="J928" s="33">
        <v>5</v>
      </c>
      <c r="K928" s="33">
        <v>0.02</v>
      </c>
      <c r="L928" s="33">
        <v>0.03</v>
      </c>
      <c r="M928" s="33">
        <v>0.3</v>
      </c>
      <c r="N928" s="33">
        <v>0.47</v>
      </c>
      <c r="O928" s="33">
        <v>8.8000000000000007</v>
      </c>
      <c r="P928" s="33">
        <v>14</v>
      </c>
      <c r="Q928" s="33">
        <v>0.7</v>
      </c>
      <c r="R928" s="33" t="s">
        <v>1232</v>
      </c>
      <c r="S928" s="33">
        <v>15</v>
      </c>
      <c r="T928" s="33">
        <v>25</v>
      </c>
      <c r="U928" s="49"/>
    </row>
    <row r="929" spans="1:21">
      <c r="A929" s="50" t="s">
        <v>1258</v>
      </c>
      <c r="B929" s="33" t="s">
        <v>1639</v>
      </c>
      <c r="C929" s="33">
        <v>79</v>
      </c>
      <c r="D929" s="33">
        <v>22</v>
      </c>
      <c r="E929" s="33">
        <v>94.4</v>
      </c>
      <c r="F929" s="48">
        <v>0.7</v>
      </c>
      <c r="G929" s="51"/>
      <c r="H929" s="32"/>
      <c r="I929" s="48">
        <v>4.8</v>
      </c>
      <c r="J929" s="32"/>
      <c r="K929" s="32"/>
      <c r="L929" s="33">
        <v>0.01</v>
      </c>
      <c r="M929" s="32"/>
      <c r="N929" s="32"/>
      <c r="O929" s="33">
        <v>1.7</v>
      </c>
      <c r="P929" s="33">
        <v>5</v>
      </c>
      <c r="Q929" s="33">
        <v>0.2</v>
      </c>
      <c r="R929" s="33" t="s">
        <v>1232</v>
      </c>
      <c r="S929" s="32"/>
      <c r="T929" s="33">
        <v>25</v>
      </c>
      <c r="U929" s="49"/>
    </row>
    <row r="930" spans="1:21">
      <c r="A930" s="50" t="s">
        <v>1259</v>
      </c>
      <c r="B930" s="32"/>
      <c r="C930" s="33">
        <v>56</v>
      </c>
      <c r="D930" s="33">
        <v>25</v>
      </c>
      <c r="E930" s="33">
        <v>93.3</v>
      </c>
      <c r="F930" s="48">
        <v>0.6</v>
      </c>
      <c r="G930" s="48">
        <v>0.1</v>
      </c>
      <c r="H930" s="33">
        <v>0.3</v>
      </c>
      <c r="I930" s="48">
        <v>5.5</v>
      </c>
      <c r="J930" s="33">
        <v>75</v>
      </c>
      <c r="K930" s="33">
        <v>0.02</v>
      </c>
      <c r="L930" s="33">
        <v>0.03</v>
      </c>
      <c r="M930" s="33">
        <v>0.2</v>
      </c>
      <c r="N930" s="33">
        <v>0.1</v>
      </c>
      <c r="O930" s="33">
        <v>3.2</v>
      </c>
      <c r="P930" s="33">
        <v>8</v>
      </c>
      <c r="Q930" s="33">
        <v>0.3</v>
      </c>
      <c r="R930" s="33" t="s">
        <v>1232</v>
      </c>
      <c r="S930" s="33">
        <v>6</v>
      </c>
      <c r="T930" s="33">
        <v>25</v>
      </c>
      <c r="U930" s="49"/>
    </row>
    <row r="931" spans="1:21">
      <c r="A931" s="50" t="s">
        <v>1260</v>
      </c>
      <c r="B931" s="33" t="s">
        <v>1645</v>
      </c>
      <c r="C931" s="33">
        <v>64</v>
      </c>
      <c r="D931" s="33">
        <v>32</v>
      </c>
      <c r="E931" s="33">
        <v>92.3</v>
      </c>
      <c r="F931" s="48">
        <v>0.5</v>
      </c>
      <c r="G931" s="48">
        <v>0.5</v>
      </c>
      <c r="H931" s="33">
        <v>0.1</v>
      </c>
      <c r="I931" s="48">
        <v>6.4</v>
      </c>
      <c r="J931" s="33">
        <v>38</v>
      </c>
      <c r="K931" s="33">
        <v>0.01</v>
      </c>
      <c r="L931" s="33">
        <v>0.03</v>
      </c>
      <c r="M931" s="33">
        <v>0.2</v>
      </c>
      <c r="N931" s="33">
        <v>0.16</v>
      </c>
      <c r="O931" s="32"/>
      <c r="P931" s="32"/>
      <c r="Q931" s="32"/>
      <c r="R931" s="33" t="s">
        <v>1232</v>
      </c>
      <c r="S931" s="33">
        <v>6</v>
      </c>
      <c r="T931" s="33">
        <v>25</v>
      </c>
      <c r="U931" s="49"/>
    </row>
    <row r="932" spans="1:21">
      <c r="A932" s="50" t="s">
        <v>1261</v>
      </c>
      <c r="B932" s="32"/>
      <c r="C932" s="33">
        <v>59</v>
      </c>
      <c r="D932" s="33">
        <v>34</v>
      </c>
      <c r="E932" s="33">
        <v>91.2</v>
      </c>
      <c r="F932" s="48">
        <v>0.5</v>
      </c>
      <c r="G932" s="51"/>
      <c r="H932" s="33">
        <v>0.2</v>
      </c>
      <c r="I932" s="48">
        <v>7.9</v>
      </c>
      <c r="J932" s="33">
        <v>13</v>
      </c>
      <c r="K932" s="33">
        <v>0.02</v>
      </c>
      <c r="L932" s="33">
        <v>0.04</v>
      </c>
      <c r="M932" s="33">
        <v>0.4</v>
      </c>
      <c r="N932" s="33">
        <v>0.03</v>
      </c>
      <c r="O932" s="33">
        <v>4.2</v>
      </c>
      <c r="P932" s="33">
        <v>10</v>
      </c>
      <c r="Q932" s="33">
        <v>0.5</v>
      </c>
      <c r="R932" s="33" t="s">
        <v>1232</v>
      </c>
      <c r="S932" s="33">
        <v>7</v>
      </c>
      <c r="T932" s="33">
        <v>25</v>
      </c>
      <c r="U932" s="49"/>
    </row>
    <row r="933" spans="1:21">
      <c r="A933" s="50" t="s">
        <v>1262</v>
      </c>
      <c r="B933" s="32"/>
      <c r="C933" s="33">
        <v>59</v>
      </c>
      <c r="D933" s="33">
        <v>25</v>
      </c>
      <c r="E933" s="33">
        <v>93.4</v>
      </c>
      <c r="F933" s="48">
        <v>0.6</v>
      </c>
      <c r="G933" s="48">
        <v>0.1</v>
      </c>
      <c r="H933" s="33">
        <v>0.2</v>
      </c>
      <c r="I933" s="48">
        <v>5.5</v>
      </c>
      <c r="J933" s="33">
        <v>35</v>
      </c>
      <c r="K933" s="33">
        <v>0.02</v>
      </c>
      <c r="L933" s="33">
        <v>0.04</v>
      </c>
      <c r="M933" s="33">
        <v>0.3</v>
      </c>
      <c r="N933" s="33">
        <v>0.13</v>
      </c>
      <c r="O933" s="33">
        <v>2.4</v>
      </c>
      <c r="P933" s="33">
        <v>4</v>
      </c>
      <c r="Q933" s="33">
        <v>0.2</v>
      </c>
      <c r="R933" s="33" t="s">
        <v>1232</v>
      </c>
      <c r="S933" s="33">
        <v>4</v>
      </c>
      <c r="T933" s="33">
        <v>25</v>
      </c>
      <c r="U933" s="49"/>
    </row>
    <row r="934" spans="1:21">
      <c r="A934" s="50" t="s">
        <v>1263</v>
      </c>
      <c r="B934" s="32"/>
      <c r="C934" s="33">
        <v>73</v>
      </c>
      <c r="D934" s="33">
        <v>18</v>
      </c>
      <c r="E934" s="33">
        <v>94.9</v>
      </c>
      <c r="F934" s="48">
        <v>0.8</v>
      </c>
      <c r="G934" s="48">
        <v>0.2</v>
      </c>
      <c r="H934" s="33">
        <v>0.6</v>
      </c>
      <c r="I934" s="48">
        <v>3.2</v>
      </c>
      <c r="J934" s="33">
        <v>5</v>
      </c>
      <c r="K934" s="33">
        <v>0.01</v>
      </c>
      <c r="L934" s="33">
        <v>0.03</v>
      </c>
      <c r="M934" s="33">
        <v>0.2</v>
      </c>
      <c r="N934" s="33">
        <v>0.34</v>
      </c>
      <c r="O934" s="33">
        <v>5</v>
      </c>
      <c r="P934" s="33">
        <v>15</v>
      </c>
      <c r="Q934" s="33">
        <v>0.3</v>
      </c>
      <c r="R934" s="33" t="s">
        <v>1232</v>
      </c>
      <c r="S934" s="33">
        <v>6</v>
      </c>
      <c r="T934" s="33">
        <v>25</v>
      </c>
      <c r="U934" s="49"/>
    </row>
    <row r="935" spans="1:21">
      <c r="A935" s="50" t="s">
        <v>1264</v>
      </c>
      <c r="B935" s="33" t="s">
        <v>1722</v>
      </c>
      <c r="C935" s="33">
        <v>46</v>
      </c>
      <c r="D935" s="33">
        <v>4</v>
      </c>
      <c r="E935" s="33">
        <v>98.7</v>
      </c>
      <c r="F935" s="48">
        <v>0.2</v>
      </c>
      <c r="G935" s="48">
        <v>0.3</v>
      </c>
      <c r="H935" s="33">
        <v>0.5</v>
      </c>
      <c r="I935" s="48">
        <v>0.1</v>
      </c>
      <c r="J935" s="32"/>
      <c r="K935" s="32"/>
      <c r="L935" s="33">
        <v>0.03</v>
      </c>
      <c r="M935" s="33">
        <v>0.1</v>
      </c>
      <c r="N935" s="32"/>
      <c r="O935" s="32"/>
      <c r="P935" s="32"/>
      <c r="Q935" s="32"/>
      <c r="R935" s="33" t="s">
        <v>1232</v>
      </c>
      <c r="S935" s="33">
        <v>10</v>
      </c>
      <c r="T935" s="33">
        <v>25</v>
      </c>
      <c r="U935" s="49"/>
    </row>
    <row r="936" spans="1:21">
      <c r="A936" s="50" t="s">
        <v>1265</v>
      </c>
      <c r="B936" s="32"/>
      <c r="C936" s="33">
        <v>96</v>
      </c>
      <c r="D936" s="33">
        <v>19</v>
      </c>
      <c r="E936" s="33">
        <v>93.1</v>
      </c>
      <c r="F936" s="48">
        <v>1</v>
      </c>
      <c r="G936" s="48">
        <v>0.1</v>
      </c>
      <c r="H936" s="33">
        <v>1.9</v>
      </c>
      <c r="I936" s="48">
        <v>3.5</v>
      </c>
      <c r="J936" s="33">
        <v>30</v>
      </c>
      <c r="K936" s="33">
        <v>0.03</v>
      </c>
      <c r="L936" s="33">
        <v>0.03</v>
      </c>
      <c r="M936" s="33">
        <v>0.6</v>
      </c>
      <c r="N936" s="33">
        <v>0.2</v>
      </c>
      <c r="O936" s="33">
        <v>6.4</v>
      </c>
      <c r="P936" s="33">
        <v>55</v>
      </c>
      <c r="Q936" s="33">
        <v>0.4</v>
      </c>
      <c r="R936" s="33" t="s">
        <v>526</v>
      </c>
      <c r="S936" s="33">
        <v>7</v>
      </c>
      <c r="T936" s="33">
        <v>50</v>
      </c>
      <c r="U936" s="49"/>
    </row>
    <row r="937" spans="1:21">
      <c r="A937" s="50" t="s">
        <v>1266</v>
      </c>
      <c r="B937" s="32"/>
      <c r="C937" s="33">
        <v>82</v>
      </c>
      <c r="D937" s="33">
        <v>22</v>
      </c>
      <c r="E937" s="33">
        <v>93</v>
      </c>
      <c r="F937" s="48">
        <v>1</v>
      </c>
      <c r="G937" s="48">
        <v>0.2</v>
      </c>
      <c r="H937" s="33">
        <v>1.4</v>
      </c>
      <c r="I937" s="48">
        <v>4</v>
      </c>
      <c r="J937" s="33">
        <v>57</v>
      </c>
      <c r="K937" s="33">
        <v>0.03</v>
      </c>
      <c r="L937" s="33">
        <v>0.03</v>
      </c>
      <c r="M937" s="33">
        <v>0.9</v>
      </c>
      <c r="N937" s="33">
        <v>0.59</v>
      </c>
      <c r="O937" s="33">
        <v>3.3</v>
      </c>
      <c r="P937" s="33">
        <v>14</v>
      </c>
      <c r="Q937" s="33">
        <v>0.8</v>
      </c>
      <c r="R937" s="33" t="s">
        <v>526</v>
      </c>
      <c r="S937" s="33">
        <v>72</v>
      </c>
      <c r="T937" s="33">
        <v>50</v>
      </c>
      <c r="U937" s="49"/>
    </row>
    <row r="938" spans="1:21">
      <c r="A938" s="50" t="s">
        <v>1267</v>
      </c>
      <c r="B938" s="32"/>
      <c r="C938" s="33">
        <v>97</v>
      </c>
      <c r="D938" s="33">
        <v>19</v>
      </c>
      <c r="E938" s="33">
        <v>94.4</v>
      </c>
      <c r="F938" s="48">
        <v>0.9</v>
      </c>
      <c r="G938" s="48">
        <v>0.2</v>
      </c>
      <c r="H938" s="33">
        <v>0.5</v>
      </c>
      <c r="I938" s="48">
        <v>3.5</v>
      </c>
      <c r="J938" s="33">
        <v>92</v>
      </c>
      <c r="K938" s="33">
        <v>0.03</v>
      </c>
      <c r="L938" s="33">
        <v>0.03</v>
      </c>
      <c r="M938" s="33">
        <v>0.6</v>
      </c>
      <c r="N938" s="33">
        <v>0.56999999999999995</v>
      </c>
      <c r="O938" s="33">
        <v>5</v>
      </c>
      <c r="P938" s="33">
        <v>10</v>
      </c>
      <c r="Q938" s="33">
        <v>0.4</v>
      </c>
      <c r="R938" s="33" t="s">
        <v>526</v>
      </c>
      <c r="S938" s="33">
        <v>19</v>
      </c>
      <c r="T938" s="33">
        <v>50</v>
      </c>
      <c r="U938" s="49"/>
    </row>
    <row r="939" spans="1:21">
      <c r="A939" s="50" t="s">
        <v>1268</v>
      </c>
      <c r="B939" s="33" t="s">
        <v>1618</v>
      </c>
      <c r="C939" s="33">
        <v>100</v>
      </c>
      <c r="D939" s="33">
        <v>21</v>
      </c>
      <c r="E939" s="33">
        <v>93.5</v>
      </c>
      <c r="F939" s="48">
        <v>2</v>
      </c>
      <c r="G939" s="48">
        <v>0.6</v>
      </c>
      <c r="H939" s="33">
        <v>0.8</v>
      </c>
      <c r="I939" s="48">
        <v>1.8</v>
      </c>
      <c r="J939" s="33">
        <v>192</v>
      </c>
      <c r="K939" s="33">
        <v>0.03</v>
      </c>
      <c r="L939" s="33">
        <v>0.02</v>
      </c>
      <c r="M939" s="33">
        <v>0.8</v>
      </c>
      <c r="N939" s="33">
        <v>1.66</v>
      </c>
      <c r="O939" s="33">
        <v>246.9</v>
      </c>
      <c r="P939" s="33">
        <v>31</v>
      </c>
      <c r="Q939" s="33">
        <v>0.4</v>
      </c>
      <c r="R939" s="33" t="s">
        <v>526</v>
      </c>
      <c r="S939" s="33">
        <v>5</v>
      </c>
      <c r="T939" s="33">
        <v>50</v>
      </c>
      <c r="U939" s="49"/>
    </row>
    <row r="940" spans="1:21">
      <c r="A940" s="50" t="s">
        <v>1269</v>
      </c>
      <c r="B940" s="33" t="s">
        <v>1618</v>
      </c>
      <c r="C940" s="33">
        <v>100</v>
      </c>
      <c r="D940" s="33">
        <v>81</v>
      </c>
      <c r="E940" s="33">
        <v>75.8</v>
      </c>
      <c r="F940" s="48">
        <v>4.9000000000000004</v>
      </c>
      <c r="G940" s="48">
        <v>0.2</v>
      </c>
      <c r="H940" s="33">
        <v>2.1</v>
      </c>
      <c r="I940" s="48">
        <v>14.8</v>
      </c>
      <c r="J940" s="32"/>
      <c r="K940" s="33">
        <v>0.03</v>
      </c>
      <c r="L940" s="33">
        <v>0.03</v>
      </c>
      <c r="M940" s="33">
        <v>5.6</v>
      </c>
      <c r="N940" s="33">
        <v>4.45</v>
      </c>
      <c r="O940" s="33">
        <v>37.1</v>
      </c>
      <c r="P940" s="33">
        <v>28</v>
      </c>
      <c r="Q940" s="33">
        <v>1.1000000000000001</v>
      </c>
      <c r="R940" s="33" t="s">
        <v>526</v>
      </c>
      <c r="S940" s="32"/>
      <c r="T940" s="33">
        <v>50</v>
      </c>
      <c r="U940" s="49"/>
    </row>
    <row r="941" spans="1:21">
      <c r="A941" s="50" t="s">
        <v>1270</v>
      </c>
      <c r="B941" s="33" t="s">
        <v>1647</v>
      </c>
      <c r="C941" s="33">
        <v>85</v>
      </c>
      <c r="D941" s="33">
        <v>27</v>
      </c>
      <c r="E941" s="33">
        <v>92.2</v>
      </c>
      <c r="F941" s="48">
        <v>0.7</v>
      </c>
      <c r="G941" s="48">
        <v>0.1</v>
      </c>
      <c r="H941" s="33">
        <v>0.9</v>
      </c>
      <c r="I941" s="48">
        <v>5.9</v>
      </c>
      <c r="J941" s="33">
        <v>163</v>
      </c>
      <c r="K941" s="33">
        <v>0.01</v>
      </c>
      <c r="L941" s="33">
        <v>0.06</v>
      </c>
      <c r="M941" s="33">
        <v>0.7</v>
      </c>
      <c r="N941" s="33">
        <v>1.1399999999999999</v>
      </c>
      <c r="O941" s="33">
        <v>1.2</v>
      </c>
      <c r="P941" s="33">
        <v>49</v>
      </c>
      <c r="Q941" s="32"/>
      <c r="R941" s="33" t="s">
        <v>526</v>
      </c>
      <c r="S941" s="33">
        <v>29</v>
      </c>
      <c r="T941" s="33">
        <v>50</v>
      </c>
      <c r="U941" s="49"/>
    </row>
    <row r="942" spans="1:21">
      <c r="A942" s="50" t="s">
        <v>1271</v>
      </c>
      <c r="B942" s="33" t="s">
        <v>1719</v>
      </c>
      <c r="C942" s="33">
        <v>88</v>
      </c>
      <c r="D942" s="33">
        <v>212</v>
      </c>
      <c r="E942" s="33">
        <v>14.6</v>
      </c>
      <c r="F942" s="48">
        <v>15</v>
      </c>
      <c r="G942" s="48">
        <v>12</v>
      </c>
      <c r="H942" s="33">
        <v>41.7</v>
      </c>
      <c r="I942" s="48">
        <v>11</v>
      </c>
      <c r="J942" s="32"/>
      <c r="K942" s="33">
        <v>0.53</v>
      </c>
      <c r="L942" s="33">
        <v>0.16</v>
      </c>
      <c r="M942" s="33">
        <v>1.2</v>
      </c>
      <c r="N942" s="33">
        <v>8.76</v>
      </c>
      <c r="O942" s="33">
        <v>1.8</v>
      </c>
      <c r="P942" s="33">
        <v>12</v>
      </c>
      <c r="Q942" s="33">
        <v>6</v>
      </c>
      <c r="R942" s="33" t="s">
        <v>526</v>
      </c>
      <c r="S942" s="32"/>
      <c r="T942" s="33">
        <v>50</v>
      </c>
      <c r="U942" s="49"/>
    </row>
    <row r="943" spans="1:21">
      <c r="A943" s="50" t="s">
        <v>1272</v>
      </c>
      <c r="B943" s="32"/>
      <c r="C943" s="33">
        <v>80</v>
      </c>
      <c r="D943" s="33">
        <v>32</v>
      </c>
      <c r="E943" s="33">
        <v>88.8</v>
      </c>
      <c r="F943" s="48">
        <v>1.3</v>
      </c>
      <c r="G943" s="48">
        <v>0.4</v>
      </c>
      <c r="H943" s="33">
        <v>3.2</v>
      </c>
      <c r="I943" s="48">
        <v>5.7</v>
      </c>
      <c r="J943" s="33">
        <v>232</v>
      </c>
      <c r="K943" s="33">
        <v>0.03</v>
      </c>
      <c r="L943" s="33">
        <v>0.06</v>
      </c>
      <c r="M943" s="33">
        <v>0.8</v>
      </c>
      <c r="N943" s="33">
        <v>0.44</v>
      </c>
      <c r="O943" s="33">
        <v>2.6</v>
      </c>
      <c r="P943" s="33">
        <v>37</v>
      </c>
      <c r="Q943" s="33">
        <v>1.4</v>
      </c>
      <c r="R943" s="33" t="s">
        <v>526</v>
      </c>
      <c r="S943" s="33">
        <v>144</v>
      </c>
      <c r="T943" s="33">
        <v>50</v>
      </c>
      <c r="U943" s="49"/>
    </row>
    <row r="944" spans="1:21">
      <c r="A944" s="50" t="s">
        <v>1273</v>
      </c>
      <c r="B944" s="32"/>
      <c r="C944" s="33">
        <v>84</v>
      </c>
      <c r="D944" s="33">
        <v>23</v>
      </c>
      <c r="E944" s="33">
        <v>91.9</v>
      </c>
      <c r="F944" s="48">
        <v>1.4</v>
      </c>
      <c r="G944" s="48">
        <v>0.3</v>
      </c>
      <c r="H944" s="33">
        <v>2.1</v>
      </c>
      <c r="I944" s="48">
        <v>3.7</v>
      </c>
      <c r="J944" s="33">
        <v>57</v>
      </c>
      <c r="K944" s="33">
        <v>0.03</v>
      </c>
      <c r="L944" s="33">
        <v>0.04</v>
      </c>
      <c r="M944" s="33">
        <v>0.5</v>
      </c>
      <c r="N944" s="33">
        <v>0.88</v>
      </c>
      <c r="O944" s="33">
        <v>2.2000000000000002</v>
      </c>
      <c r="P944" s="33">
        <v>15</v>
      </c>
      <c r="Q944" s="33">
        <v>0.7</v>
      </c>
      <c r="R944" s="33" t="s">
        <v>526</v>
      </c>
      <c r="S944" s="33">
        <v>62</v>
      </c>
      <c r="T944" s="33">
        <v>50</v>
      </c>
      <c r="U944" s="49"/>
    </row>
    <row r="945" spans="1:21">
      <c r="A945" s="50" t="s">
        <v>1274</v>
      </c>
      <c r="B945" s="33" t="s">
        <v>1664</v>
      </c>
      <c r="C945" s="33">
        <v>100</v>
      </c>
      <c r="D945" s="33">
        <v>13</v>
      </c>
      <c r="E945" s="33">
        <v>95.6</v>
      </c>
      <c r="F945" s="48">
        <v>0.6</v>
      </c>
      <c r="G945" s="48">
        <v>0.1</v>
      </c>
      <c r="H945" s="33">
        <v>0.8</v>
      </c>
      <c r="I945" s="48">
        <v>2.4</v>
      </c>
      <c r="J945" s="33">
        <v>88</v>
      </c>
      <c r="K945" s="33">
        <v>0.05</v>
      </c>
      <c r="L945" s="33">
        <v>0.02</v>
      </c>
      <c r="M945" s="33">
        <v>1</v>
      </c>
      <c r="N945" s="33">
        <v>1.19</v>
      </c>
      <c r="O945" s="32"/>
      <c r="P945" s="33">
        <v>15</v>
      </c>
      <c r="Q945" s="33">
        <v>0.4</v>
      </c>
      <c r="R945" s="33" t="s">
        <v>526</v>
      </c>
      <c r="S945" s="33">
        <v>8</v>
      </c>
      <c r="T945" s="33">
        <v>50</v>
      </c>
      <c r="U945" s="49"/>
    </row>
    <row r="946" spans="1:21">
      <c r="A946" s="50" t="s">
        <v>1275</v>
      </c>
      <c r="B946" s="32"/>
      <c r="C946" s="33">
        <v>93</v>
      </c>
      <c r="D946" s="33">
        <v>21</v>
      </c>
      <c r="E946" s="33">
        <v>93.4</v>
      </c>
      <c r="F946" s="48">
        <v>1.1000000000000001</v>
      </c>
      <c r="G946" s="48">
        <v>0.2</v>
      </c>
      <c r="H946" s="33">
        <v>1.3</v>
      </c>
      <c r="I946" s="48">
        <v>3.6</v>
      </c>
      <c r="J946" s="33">
        <v>8</v>
      </c>
      <c r="K946" s="33">
        <v>0.02</v>
      </c>
      <c r="L946" s="33">
        <v>0.04</v>
      </c>
      <c r="M946" s="33">
        <v>0.6</v>
      </c>
      <c r="N946" s="33">
        <v>1.1299999999999999</v>
      </c>
      <c r="O946" s="33">
        <v>5.4</v>
      </c>
      <c r="P946" s="33">
        <v>24</v>
      </c>
      <c r="Q946" s="33">
        <v>0.5</v>
      </c>
      <c r="R946" s="33" t="s">
        <v>526</v>
      </c>
      <c r="S946" s="33">
        <v>5</v>
      </c>
      <c r="T946" s="33">
        <v>50</v>
      </c>
      <c r="U946" s="49"/>
    </row>
    <row r="947" spans="1:21">
      <c r="A947" s="50" t="s">
        <v>1276</v>
      </c>
      <c r="B947" s="32"/>
      <c r="C947" s="33">
        <v>90</v>
      </c>
      <c r="D947" s="33">
        <v>25</v>
      </c>
      <c r="E947" s="33">
        <v>92.8</v>
      </c>
      <c r="F947" s="48">
        <v>1</v>
      </c>
      <c r="G947" s="48">
        <v>0.6</v>
      </c>
      <c r="H947" s="33">
        <v>1.2</v>
      </c>
      <c r="I947" s="48">
        <v>4</v>
      </c>
      <c r="J947" s="33">
        <v>20</v>
      </c>
      <c r="K947" s="33">
        <v>0.02</v>
      </c>
      <c r="L947" s="33">
        <v>0.2</v>
      </c>
      <c r="M947" s="33">
        <v>0.6</v>
      </c>
      <c r="N947" s="33">
        <v>0.55000000000000004</v>
      </c>
      <c r="O947" s="33">
        <v>6.8</v>
      </c>
      <c r="P947" s="33">
        <v>12</v>
      </c>
      <c r="Q947" s="33">
        <v>0.1</v>
      </c>
      <c r="R947" s="33" t="s">
        <v>526</v>
      </c>
      <c r="S947" s="33">
        <v>7</v>
      </c>
      <c r="T947" s="33">
        <v>50</v>
      </c>
      <c r="U947" s="49"/>
    </row>
    <row r="948" spans="1:21">
      <c r="A948" s="50" t="s">
        <v>1277</v>
      </c>
      <c r="B948" s="33" t="s">
        <v>1618</v>
      </c>
      <c r="C948" s="33">
        <v>88</v>
      </c>
      <c r="D948" s="33">
        <v>37</v>
      </c>
      <c r="E948" s="33">
        <v>86.2</v>
      </c>
      <c r="F948" s="48">
        <v>2</v>
      </c>
      <c r="G948" s="48">
        <v>0.1</v>
      </c>
      <c r="H948" s="33">
        <v>3.9</v>
      </c>
      <c r="I948" s="48">
        <v>7.1</v>
      </c>
      <c r="J948" s="33">
        <v>52</v>
      </c>
      <c r="K948" s="33">
        <v>0.05</v>
      </c>
      <c r="L948" s="33">
        <v>0.09</v>
      </c>
      <c r="M948" s="33">
        <v>1</v>
      </c>
      <c r="N948" s="33">
        <v>1.03</v>
      </c>
      <c r="O948" s="33">
        <v>3.9</v>
      </c>
      <c r="P948" s="33">
        <v>45</v>
      </c>
      <c r="Q948" s="33">
        <v>0.1</v>
      </c>
      <c r="R948" s="33" t="s">
        <v>526</v>
      </c>
      <c r="S948" s="33">
        <v>4</v>
      </c>
      <c r="T948" s="33">
        <v>50</v>
      </c>
      <c r="U948" s="49"/>
    </row>
    <row r="949" spans="1:21">
      <c r="A949" s="50" t="s">
        <v>1278</v>
      </c>
      <c r="B949" s="33" t="s">
        <v>1656</v>
      </c>
      <c r="C949" s="33">
        <v>100</v>
      </c>
      <c r="D949" s="33">
        <v>307</v>
      </c>
      <c r="E949" s="33">
        <v>10.5</v>
      </c>
      <c r="F949" s="48">
        <v>7.6</v>
      </c>
      <c r="G949" s="48">
        <v>0.4</v>
      </c>
      <c r="H949" s="33">
        <v>8.3000000000000007</v>
      </c>
      <c r="I949" s="48">
        <v>68.3</v>
      </c>
      <c r="J949" s="33">
        <v>2818</v>
      </c>
      <c r="K949" s="33">
        <v>0.23</v>
      </c>
      <c r="L949" s="33">
        <v>0.18</v>
      </c>
      <c r="M949" s="33">
        <v>4</v>
      </c>
      <c r="N949" s="33">
        <v>6.05</v>
      </c>
      <c r="O949" s="33">
        <v>126</v>
      </c>
      <c r="P949" s="33">
        <v>130</v>
      </c>
      <c r="Q949" s="33">
        <v>7.4</v>
      </c>
      <c r="R949" s="33" t="s">
        <v>526</v>
      </c>
      <c r="S949" s="33">
        <v>846</v>
      </c>
      <c r="T949" s="33">
        <v>50</v>
      </c>
      <c r="U949" s="49"/>
    </row>
    <row r="950" spans="1:21">
      <c r="A950" s="50" t="s">
        <v>1279</v>
      </c>
      <c r="B950" s="33" t="s">
        <v>1618</v>
      </c>
      <c r="C950" s="33">
        <v>100</v>
      </c>
      <c r="D950" s="33">
        <v>72</v>
      </c>
      <c r="E950" s="33">
        <v>72.3</v>
      </c>
      <c r="F950" s="48">
        <v>4.5999999999999996</v>
      </c>
      <c r="G950" s="48">
        <v>1.4</v>
      </c>
      <c r="H950" s="33">
        <v>3.2</v>
      </c>
      <c r="I950" s="48">
        <v>10.199999999999999</v>
      </c>
      <c r="J950" s="32"/>
      <c r="K950" s="33">
        <v>0.17</v>
      </c>
      <c r="L950" s="33">
        <v>0.03</v>
      </c>
      <c r="M950" s="33">
        <v>0.2</v>
      </c>
      <c r="N950" s="33">
        <v>1.1100000000000001</v>
      </c>
      <c r="O950" s="33">
        <v>2843.2</v>
      </c>
      <c r="P950" s="33">
        <v>110</v>
      </c>
      <c r="Q950" s="33">
        <v>4.8</v>
      </c>
      <c r="R950" s="33" t="s">
        <v>541</v>
      </c>
      <c r="S950" s="32"/>
      <c r="T950" s="33">
        <v>1</v>
      </c>
      <c r="U950" s="49"/>
    </row>
    <row r="951" spans="1:21">
      <c r="A951" s="50" t="s">
        <v>1280</v>
      </c>
      <c r="B951" s="33" t="s">
        <v>1723</v>
      </c>
      <c r="C951" s="33">
        <v>100</v>
      </c>
      <c r="D951" s="33">
        <v>141</v>
      </c>
      <c r="E951" s="33">
        <v>24.9</v>
      </c>
      <c r="F951" s="48">
        <v>13.3</v>
      </c>
      <c r="G951" s="48">
        <v>0.8</v>
      </c>
      <c r="H951" s="33">
        <v>27.4</v>
      </c>
      <c r="I951" s="48">
        <v>20.100000000000001</v>
      </c>
      <c r="J951" s="33">
        <v>150</v>
      </c>
      <c r="K951" s="32"/>
      <c r="L951" s="33">
        <v>0.4</v>
      </c>
      <c r="M951" s="33">
        <v>0.6</v>
      </c>
      <c r="N951" s="32"/>
      <c r="O951" s="33">
        <v>3333</v>
      </c>
      <c r="P951" s="32"/>
      <c r="Q951" s="32"/>
      <c r="R951" s="33" t="s">
        <v>541</v>
      </c>
      <c r="S951" s="32"/>
      <c r="T951" s="33">
        <v>1</v>
      </c>
      <c r="U951" s="49"/>
    </row>
    <row r="952" spans="1:21">
      <c r="A952" s="50" t="s">
        <v>1281</v>
      </c>
      <c r="B952" s="32"/>
      <c r="C952" s="33">
        <v>100</v>
      </c>
      <c r="D952" s="33">
        <v>36</v>
      </c>
      <c r="E952" s="33">
        <v>74.8</v>
      </c>
      <c r="F952" s="48">
        <v>2.4</v>
      </c>
      <c r="G952" s="48">
        <v>0.3</v>
      </c>
      <c r="H952" s="33">
        <v>2.4</v>
      </c>
      <c r="I952" s="48">
        <v>6</v>
      </c>
      <c r="J952" s="32"/>
      <c r="K952" s="33">
        <v>0.03</v>
      </c>
      <c r="L952" s="33">
        <v>0.08</v>
      </c>
      <c r="M952" s="33">
        <v>0.8</v>
      </c>
      <c r="N952" s="33">
        <v>0.16</v>
      </c>
      <c r="O952" s="33">
        <v>4623.7</v>
      </c>
      <c r="P952" s="33">
        <v>77</v>
      </c>
      <c r="Q952" s="33">
        <v>6.7</v>
      </c>
      <c r="R952" s="33" t="s">
        <v>541</v>
      </c>
      <c r="S952" s="33">
        <v>5</v>
      </c>
      <c r="T952" s="33">
        <v>1</v>
      </c>
      <c r="U952" s="49"/>
    </row>
    <row r="953" spans="1:21">
      <c r="A953" s="50" t="s">
        <v>1282</v>
      </c>
      <c r="B953" s="33" t="s">
        <v>1618</v>
      </c>
      <c r="C953" s="33">
        <v>100</v>
      </c>
      <c r="D953" s="33">
        <v>51</v>
      </c>
      <c r="E953" s="33">
        <v>65.3</v>
      </c>
      <c r="F953" s="48">
        <v>3.2</v>
      </c>
      <c r="G953" s="48">
        <v>0.4</v>
      </c>
      <c r="H953" s="33">
        <v>1.8</v>
      </c>
      <c r="I953" s="48">
        <v>8.6</v>
      </c>
      <c r="J953" s="32"/>
      <c r="K953" s="33">
        <v>0.03</v>
      </c>
      <c r="L953" s="33">
        <v>0.06</v>
      </c>
      <c r="M953" s="33">
        <v>0.8</v>
      </c>
      <c r="N953" s="32"/>
      <c r="O953" s="33">
        <v>6060.6</v>
      </c>
      <c r="P953" s="33">
        <v>257</v>
      </c>
      <c r="Q953" s="33">
        <v>7.5</v>
      </c>
      <c r="R953" s="33" t="s">
        <v>541</v>
      </c>
      <c r="S953" s="32"/>
      <c r="T953" s="33">
        <v>1</v>
      </c>
      <c r="U953" s="49"/>
    </row>
    <row r="954" spans="1:21">
      <c r="A954" s="50" t="s">
        <v>1283</v>
      </c>
      <c r="B954" s="33" t="s">
        <v>1724</v>
      </c>
      <c r="C954" s="33">
        <v>100</v>
      </c>
      <c r="D954" s="33">
        <v>48</v>
      </c>
      <c r="E954" s="33">
        <v>72</v>
      </c>
      <c r="F954" s="48">
        <v>4.5999999999999996</v>
      </c>
      <c r="G954" s="48">
        <v>0.2</v>
      </c>
      <c r="H954" s="33">
        <v>4.5</v>
      </c>
      <c r="I954" s="48">
        <v>7</v>
      </c>
      <c r="J954" s="33">
        <v>10</v>
      </c>
      <c r="K954" s="33">
        <v>0.11</v>
      </c>
      <c r="L954" s="32"/>
      <c r="M954" s="32"/>
      <c r="N954" s="32"/>
      <c r="O954" s="32"/>
      <c r="P954" s="32"/>
      <c r="Q954" s="32"/>
      <c r="R954" s="33" t="s">
        <v>541</v>
      </c>
      <c r="S954" s="32"/>
      <c r="T954" s="33">
        <v>1</v>
      </c>
      <c r="U954" s="49"/>
    </row>
    <row r="955" spans="1:21">
      <c r="A955" s="50" t="s">
        <v>1284</v>
      </c>
      <c r="B955" s="33" t="s">
        <v>1618</v>
      </c>
      <c r="C955" s="33">
        <v>100</v>
      </c>
      <c r="D955" s="33">
        <v>34</v>
      </c>
      <c r="E955" s="33">
        <v>74</v>
      </c>
      <c r="F955" s="48">
        <v>2.6</v>
      </c>
      <c r="G955" s="51"/>
      <c r="H955" s="33">
        <v>1</v>
      </c>
      <c r="I955" s="48">
        <v>5.8</v>
      </c>
      <c r="J955" s="32"/>
      <c r="K955" s="33">
        <v>0.17</v>
      </c>
      <c r="L955" s="33">
        <v>0.06</v>
      </c>
      <c r="M955" s="33">
        <v>1.4</v>
      </c>
      <c r="N955" s="32"/>
      <c r="O955" s="33">
        <v>5443.3</v>
      </c>
      <c r="P955" s="33">
        <v>244</v>
      </c>
      <c r="Q955" s="33">
        <v>6.8</v>
      </c>
      <c r="R955" s="33" t="s">
        <v>541</v>
      </c>
      <c r="S955" s="32"/>
      <c r="T955" s="33">
        <v>1</v>
      </c>
      <c r="U955" s="49"/>
    </row>
    <row r="956" spans="1:21">
      <c r="A956" s="50" t="s">
        <v>1285</v>
      </c>
      <c r="B956" s="32"/>
      <c r="C956" s="33">
        <v>100</v>
      </c>
      <c r="D956" s="33">
        <v>46</v>
      </c>
      <c r="E956" s="33">
        <v>68.400000000000006</v>
      </c>
      <c r="F956" s="48">
        <v>3.5</v>
      </c>
      <c r="G956" s="48">
        <v>0.3</v>
      </c>
      <c r="H956" s="33">
        <v>2.8</v>
      </c>
      <c r="I956" s="48">
        <v>7.3</v>
      </c>
      <c r="J956" s="33">
        <v>12</v>
      </c>
      <c r="K956" s="33">
        <v>0.02</v>
      </c>
      <c r="L956" s="33">
        <v>0.09</v>
      </c>
      <c r="M956" s="33">
        <v>0.9</v>
      </c>
      <c r="N956" s="33">
        <v>7228.6</v>
      </c>
      <c r="O956" s="33">
        <v>7228.6</v>
      </c>
      <c r="P956" s="33">
        <v>135</v>
      </c>
      <c r="Q956" s="33">
        <v>11.4</v>
      </c>
      <c r="R956" s="33" t="s">
        <v>541</v>
      </c>
      <c r="S956" s="32"/>
      <c r="T956" s="33">
        <v>1</v>
      </c>
      <c r="U956" s="49"/>
    </row>
    <row r="957" spans="1:21">
      <c r="A957" s="50" t="s">
        <v>1286</v>
      </c>
      <c r="B957" s="32"/>
      <c r="C957" s="33">
        <v>100</v>
      </c>
      <c r="D957" s="33">
        <v>37</v>
      </c>
      <c r="E957" s="33">
        <v>75.599999999999994</v>
      </c>
      <c r="F957" s="48">
        <v>2.2000000000000002</v>
      </c>
      <c r="G957" s="48">
        <v>0.3</v>
      </c>
      <c r="H957" s="33">
        <v>1.9</v>
      </c>
      <c r="I957" s="48">
        <v>6.3</v>
      </c>
      <c r="J957" s="32"/>
      <c r="K957" s="33">
        <v>0.03</v>
      </c>
      <c r="L957" s="33">
        <v>0.08</v>
      </c>
      <c r="M957" s="33">
        <v>0.7</v>
      </c>
      <c r="N957" s="33">
        <v>0.83</v>
      </c>
      <c r="O957" s="33">
        <v>2839</v>
      </c>
      <c r="P957" s="33">
        <v>54</v>
      </c>
      <c r="Q957" s="33">
        <v>6.4</v>
      </c>
      <c r="R957" s="33" t="s">
        <v>541</v>
      </c>
      <c r="S957" s="33">
        <v>5</v>
      </c>
      <c r="T957" s="33">
        <v>1</v>
      </c>
      <c r="U957" s="49"/>
    </row>
    <row r="958" spans="1:21">
      <c r="A958" s="50" t="s">
        <v>1287</v>
      </c>
      <c r="B958" s="33" t="s">
        <v>1643</v>
      </c>
      <c r="C958" s="33">
        <v>100</v>
      </c>
      <c r="D958" s="33">
        <v>22</v>
      </c>
      <c r="E958" s="33">
        <v>81.3</v>
      </c>
      <c r="F958" s="48">
        <v>1.3</v>
      </c>
      <c r="G958" s="48">
        <v>0.1</v>
      </c>
      <c r="H958" s="33">
        <v>2.4</v>
      </c>
      <c r="I958" s="48">
        <v>4.0999999999999996</v>
      </c>
      <c r="J958" s="32"/>
      <c r="K958" s="33">
        <v>0.06</v>
      </c>
      <c r="L958" s="33">
        <v>0.03</v>
      </c>
      <c r="M958" s="32"/>
      <c r="N958" s="33">
        <v>0.21</v>
      </c>
      <c r="O958" s="33">
        <v>2777.4</v>
      </c>
      <c r="P958" s="33">
        <v>125</v>
      </c>
      <c r="Q958" s="33">
        <v>4.4000000000000004</v>
      </c>
      <c r="R958" s="33" t="s">
        <v>541</v>
      </c>
      <c r="S958" s="32"/>
      <c r="T958" s="33">
        <v>1</v>
      </c>
      <c r="U958" s="49"/>
    </row>
    <row r="959" spans="1:21">
      <c r="A959" s="50" t="s">
        <v>1288</v>
      </c>
      <c r="B959" s="33" t="s">
        <v>1618</v>
      </c>
      <c r="C959" s="33">
        <v>100</v>
      </c>
      <c r="D959" s="33">
        <v>75</v>
      </c>
      <c r="E959" s="33">
        <v>68.3</v>
      </c>
      <c r="F959" s="48">
        <v>6</v>
      </c>
      <c r="G959" s="51"/>
      <c r="H959" s="33">
        <v>3.9</v>
      </c>
      <c r="I959" s="48">
        <v>12.8</v>
      </c>
      <c r="J959" s="33">
        <v>3</v>
      </c>
      <c r="K959" s="33">
        <v>0.08</v>
      </c>
      <c r="L959" s="33">
        <v>0.02</v>
      </c>
      <c r="M959" s="33">
        <v>2</v>
      </c>
      <c r="N959" s="33">
        <v>0.99</v>
      </c>
      <c r="O959" s="33">
        <v>3977.3</v>
      </c>
      <c r="P959" s="33">
        <v>102</v>
      </c>
      <c r="Q959" s="33">
        <v>2.6</v>
      </c>
      <c r="R959" s="33" t="s">
        <v>541</v>
      </c>
      <c r="S959" s="32"/>
      <c r="T959" s="33">
        <v>1</v>
      </c>
      <c r="U959" s="49"/>
    </row>
    <row r="960" spans="1:21">
      <c r="A960" s="50" t="s">
        <v>1289</v>
      </c>
      <c r="B960" s="33" t="s">
        <v>1618</v>
      </c>
      <c r="C960" s="33">
        <v>100</v>
      </c>
      <c r="D960" s="33">
        <v>99</v>
      </c>
      <c r="E960" s="33">
        <v>62.7</v>
      </c>
      <c r="F960" s="48">
        <v>2.8</v>
      </c>
      <c r="G960" s="48">
        <v>0.2</v>
      </c>
      <c r="H960" s="33">
        <v>1.2</v>
      </c>
      <c r="I960" s="48">
        <v>21.6</v>
      </c>
      <c r="J960" s="32"/>
      <c r="K960" s="33">
        <v>7.0000000000000007E-2</v>
      </c>
      <c r="L960" s="33">
        <v>0.03</v>
      </c>
      <c r="M960" s="33">
        <v>0.4</v>
      </c>
      <c r="N960" s="32"/>
      <c r="O960" s="32"/>
      <c r="P960" s="33">
        <v>96</v>
      </c>
      <c r="Q960" s="33">
        <v>4.0999999999999996</v>
      </c>
      <c r="R960" s="33" t="s">
        <v>541</v>
      </c>
      <c r="S960" s="32"/>
      <c r="T960" s="33">
        <v>1</v>
      </c>
      <c r="U960" s="49"/>
    </row>
    <row r="961" spans="1:21">
      <c r="A961" s="50" t="s">
        <v>1290</v>
      </c>
      <c r="B961" s="32"/>
      <c r="C961" s="33">
        <v>100</v>
      </c>
      <c r="D961" s="33">
        <v>24</v>
      </c>
      <c r="E961" s="33">
        <v>76.2</v>
      </c>
      <c r="F961" s="48">
        <v>3</v>
      </c>
      <c r="G961" s="48">
        <v>0.3</v>
      </c>
      <c r="H961" s="33">
        <v>1.2</v>
      </c>
      <c r="I961" s="48">
        <v>2.2000000000000002</v>
      </c>
      <c r="J961" s="33">
        <v>30</v>
      </c>
      <c r="K961" s="33">
        <v>0.06</v>
      </c>
      <c r="L961" s="33">
        <v>0.01</v>
      </c>
      <c r="M961" s="33">
        <v>0.9</v>
      </c>
      <c r="N961" s="32"/>
      <c r="O961" s="33">
        <v>3769.5</v>
      </c>
      <c r="P961" s="33">
        <v>52</v>
      </c>
      <c r="Q961" s="33">
        <v>3.7</v>
      </c>
      <c r="R961" s="33" t="s">
        <v>541</v>
      </c>
      <c r="S961" s="32"/>
      <c r="T961" s="33">
        <v>1</v>
      </c>
      <c r="U961" s="49"/>
    </row>
    <row r="962" spans="1:21">
      <c r="A962" s="50" t="s">
        <v>1291</v>
      </c>
      <c r="B962" s="33" t="s">
        <v>1635</v>
      </c>
      <c r="C962" s="33">
        <v>100</v>
      </c>
      <c r="D962" s="33">
        <v>27</v>
      </c>
      <c r="E962" s="33">
        <v>67.7</v>
      </c>
      <c r="F962" s="48">
        <v>1.6</v>
      </c>
      <c r="G962" s="48">
        <v>0.8</v>
      </c>
      <c r="H962" s="33">
        <v>1.4</v>
      </c>
      <c r="I962" s="48">
        <v>3.4</v>
      </c>
      <c r="J962" s="32"/>
      <c r="K962" s="32"/>
      <c r="L962" s="33">
        <v>0.13</v>
      </c>
      <c r="M962" s="33">
        <v>0.8</v>
      </c>
      <c r="N962" s="32"/>
      <c r="O962" s="33">
        <v>9686</v>
      </c>
      <c r="P962" s="33">
        <v>39</v>
      </c>
      <c r="Q962" s="33">
        <v>4.4000000000000004</v>
      </c>
      <c r="R962" s="33" t="s">
        <v>541</v>
      </c>
      <c r="S962" s="32"/>
      <c r="T962" s="33">
        <v>1</v>
      </c>
      <c r="U962" s="49"/>
    </row>
    <row r="963" spans="1:21">
      <c r="A963" s="50" t="s">
        <v>1292</v>
      </c>
      <c r="B963" s="33" t="s">
        <v>1725</v>
      </c>
      <c r="C963" s="33">
        <v>100</v>
      </c>
      <c r="D963" s="33">
        <v>107</v>
      </c>
      <c r="E963" s="33">
        <v>59.2</v>
      </c>
      <c r="F963" s="48">
        <v>4.7</v>
      </c>
      <c r="G963" s="51"/>
      <c r="H963" s="33">
        <v>2.8</v>
      </c>
      <c r="I963" s="48">
        <v>22</v>
      </c>
      <c r="J963" s="32"/>
      <c r="K963" s="33">
        <v>0.01</v>
      </c>
      <c r="L963" s="33">
        <v>0.05</v>
      </c>
      <c r="M963" s="33">
        <v>0.6</v>
      </c>
      <c r="N963" s="33">
        <v>1.93</v>
      </c>
      <c r="O963" s="33">
        <v>2523.1999999999998</v>
      </c>
      <c r="P963" s="33">
        <v>15</v>
      </c>
      <c r="Q963" s="33">
        <v>4.2</v>
      </c>
      <c r="R963" s="33" t="s">
        <v>541</v>
      </c>
      <c r="S963" s="32"/>
      <c r="T963" s="33">
        <v>1</v>
      </c>
      <c r="U963" s="49"/>
    </row>
    <row r="964" spans="1:21">
      <c r="A964" s="50" t="s">
        <v>1293</v>
      </c>
      <c r="B964" s="33" t="s">
        <v>1628</v>
      </c>
      <c r="C964" s="33">
        <v>100</v>
      </c>
      <c r="D964" s="33">
        <v>25</v>
      </c>
      <c r="E964" s="33">
        <v>90.3</v>
      </c>
      <c r="F964" s="48">
        <v>1.2</v>
      </c>
      <c r="G964" s="48">
        <v>0.1</v>
      </c>
      <c r="H964" s="32"/>
      <c r="I964" s="48">
        <v>4.9000000000000004</v>
      </c>
      <c r="J964" s="32"/>
      <c r="K964" s="33">
        <v>0.01</v>
      </c>
      <c r="L964" s="33">
        <v>0.1</v>
      </c>
      <c r="M964" s="33">
        <v>0.6</v>
      </c>
      <c r="N964" s="33">
        <v>0.88</v>
      </c>
      <c r="O964" s="33">
        <v>1164</v>
      </c>
      <c r="P964" s="33">
        <v>51</v>
      </c>
      <c r="Q964" s="33">
        <v>1.4</v>
      </c>
      <c r="R964" s="33" t="s">
        <v>541</v>
      </c>
      <c r="S964" s="32"/>
      <c r="T964" s="33">
        <v>1</v>
      </c>
      <c r="U964" s="49"/>
    </row>
    <row r="965" spans="1:21">
      <c r="A965" s="50" t="s">
        <v>1294</v>
      </c>
      <c r="B965" s="32"/>
      <c r="C965" s="33">
        <v>100</v>
      </c>
      <c r="D965" s="33">
        <v>38</v>
      </c>
      <c r="E965" s="33">
        <v>70.5</v>
      </c>
      <c r="F965" s="48">
        <v>2.8</v>
      </c>
      <c r="G965" s="48">
        <v>0.1</v>
      </c>
      <c r="H965" s="33">
        <v>2.7</v>
      </c>
      <c r="I965" s="48">
        <v>6.6</v>
      </c>
      <c r="J965" s="32"/>
      <c r="K965" s="33">
        <v>7.0000000000000007E-2</v>
      </c>
      <c r="L965" s="33">
        <v>0.02</v>
      </c>
      <c r="M965" s="33">
        <v>0.8</v>
      </c>
      <c r="N965" s="32"/>
      <c r="O965" s="33">
        <v>7250.7</v>
      </c>
      <c r="P965" s="33">
        <v>87</v>
      </c>
      <c r="Q965" s="33">
        <v>2.9</v>
      </c>
      <c r="R965" s="33" t="s">
        <v>541</v>
      </c>
      <c r="S965" s="32"/>
      <c r="T965" s="33">
        <v>1</v>
      </c>
      <c r="U965" s="49"/>
    </row>
    <row r="966" spans="1:21">
      <c r="A966" s="50" t="s">
        <v>1295</v>
      </c>
      <c r="B966" s="33" t="s">
        <v>1618</v>
      </c>
      <c r="C966" s="33">
        <v>100</v>
      </c>
      <c r="D966" s="33">
        <v>26</v>
      </c>
      <c r="E966" s="33">
        <v>70.7</v>
      </c>
      <c r="F966" s="48">
        <v>2.1</v>
      </c>
      <c r="G966" s="48">
        <v>0.2</v>
      </c>
      <c r="H966" s="33">
        <v>2</v>
      </c>
      <c r="I966" s="48">
        <v>3.9</v>
      </c>
      <c r="J966" s="33">
        <v>2</v>
      </c>
      <c r="K966" s="32"/>
      <c r="L966" s="33">
        <v>0.02</v>
      </c>
      <c r="M966" s="33">
        <v>0.7</v>
      </c>
      <c r="N966" s="32"/>
      <c r="O966" s="33">
        <v>6834.5</v>
      </c>
      <c r="P966" s="33">
        <v>174</v>
      </c>
      <c r="Q966" s="33">
        <v>5.8</v>
      </c>
      <c r="R966" s="33" t="s">
        <v>541</v>
      </c>
      <c r="S966" s="32"/>
      <c r="T966" s="33">
        <v>1</v>
      </c>
      <c r="U966" s="49"/>
    </row>
    <row r="967" spans="1:21">
      <c r="A967" s="50" t="s">
        <v>1296</v>
      </c>
      <c r="B967" s="33" t="s">
        <v>1655</v>
      </c>
      <c r="C967" s="33">
        <v>100</v>
      </c>
      <c r="D967" s="33">
        <v>41</v>
      </c>
      <c r="E967" s="33">
        <v>73.5</v>
      </c>
      <c r="F967" s="48">
        <v>1.6</v>
      </c>
      <c r="G967" s="48">
        <v>0.3</v>
      </c>
      <c r="H967" s="33">
        <v>2.1</v>
      </c>
      <c r="I967" s="48">
        <v>8</v>
      </c>
      <c r="J967" s="33">
        <v>43</v>
      </c>
      <c r="K967" s="33">
        <v>0.01</v>
      </c>
      <c r="L967" s="33">
        <v>0.02</v>
      </c>
      <c r="M967" s="33">
        <v>0.3</v>
      </c>
      <c r="N967" s="33">
        <v>0.99</v>
      </c>
      <c r="O967" s="33">
        <v>3232.5</v>
      </c>
      <c r="P967" s="33">
        <v>158</v>
      </c>
      <c r="Q967" s="32"/>
      <c r="R967" s="33" t="s">
        <v>541</v>
      </c>
      <c r="S967" s="32"/>
      <c r="T967" s="33">
        <v>1</v>
      </c>
      <c r="U967" s="49"/>
    </row>
    <row r="968" spans="1:21">
      <c r="A968" s="50" t="s">
        <v>1297</v>
      </c>
      <c r="B968" s="33" t="s">
        <v>1618</v>
      </c>
      <c r="C968" s="33">
        <v>100</v>
      </c>
      <c r="D968" s="33">
        <v>17</v>
      </c>
      <c r="E968" s="33">
        <v>79.599999999999994</v>
      </c>
      <c r="F968" s="48">
        <v>1.3</v>
      </c>
      <c r="G968" s="48">
        <v>0.3</v>
      </c>
      <c r="H968" s="33">
        <v>1.1000000000000001</v>
      </c>
      <c r="I968" s="48">
        <v>2.2000000000000002</v>
      </c>
      <c r="J968" s="33">
        <v>25</v>
      </c>
      <c r="K968" s="33">
        <v>0.01</v>
      </c>
      <c r="L968" s="33">
        <v>0.06</v>
      </c>
      <c r="M968" s="33">
        <v>0.6</v>
      </c>
      <c r="N968" s="32"/>
      <c r="O968" s="33">
        <v>5030.8</v>
      </c>
      <c r="P968" s="33">
        <v>84</v>
      </c>
      <c r="Q968" s="33">
        <v>6.5</v>
      </c>
      <c r="R968" s="33" t="s">
        <v>541</v>
      </c>
      <c r="S968" s="32"/>
      <c r="T968" s="33">
        <v>1</v>
      </c>
      <c r="U968" s="49"/>
    </row>
    <row r="969" spans="1:21">
      <c r="A969" s="50" t="s">
        <v>1298</v>
      </c>
      <c r="B969" s="33" t="s">
        <v>1652</v>
      </c>
      <c r="C969" s="33">
        <v>100</v>
      </c>
      <c r="D969" s="33">
        <v>22</v>
      </c>
      <c r="E969" s="33">
        <v>89.9</v>
      </c>
      <c r="F969" s="48">
        <v>2.5</v>
      </c>
      <c r="G969" s="48">
        <v>0.3</v>
      </c>
      <c r="H969" s="33">
        <v>2.2000000000000002</v>
      </c>
      <c r="I969" s="48">
        <v>2.2000000000000002</v>
      </c>
      <c r="J969" s="33">
        <v>53</v>
      </c>
      <c r="K969" s="32"/>
      <c r="L969" s="33">
        <v>0.05</v>
      </c>
      <c r="M969" s="33">
        <v>1.6</v>
      </c>
      <c r="N969" s="32"/>
      <c r="O969" s="33">
        <v>990.6</v>
      </c>
      <c r="P969" s="33">
        <v>115</v>
      </c>
      <c r="Q969" s="33">
        <v>4.5</v>
      </c>
      <c r="R969" s="33" t="s">
        <v>541</v>
      </c>
      <c r="S969" s="32"/>
      <c r="T969" s="33">
        <v>1</v>
      </c>
      <c r="U969" s="49"/>
    </row>
    <row r="970" spans="1:21">
      <c r="A970" s="50" t="s">
        <v>1299</v>
      </c>
      <c r="B970" s="33" t="s">
        <v>1726</v>
      </c>
      <c r="C970" s="33">
        <v>100</v>
      </c>
      <c r="D970" s="33">
        <v>75</v>
      </c>
      <c r="E970" s="33">
        <v>67.7</v>
      </c>
      <c r="F970" s="48">
        <v>1.4</v>
      </c>
      <c r="G970" s="51"/>
      <c r="H970" s="32"/>
      <c r="I970" s="48">
        <v>17.3</v>
      </c>
      <c r="J970" s="32"/>
      <c r="K970" s="33">
        <v>0.01</v>
      </c>
      <c r="L970" s="33">
        <v>0.04</v>
      </c>
      <c r="M970" s="33">
        <v>0.4</v>
      </c>
      <c r="N970" s="33">
        <v>0.93</v>
      </c>
      <c r="O970" s="33">
        <v>1103</v>
      </c>
      <c r="P970" s="33">
        <v>8</v>
      </c>
      <c r="Q970" s="33">
        <v>6.4</v>
      </c>
      <c r="R970" s="33" t="s">
        <v>541</v>
      </c>
      <c r="S970" s="32"/>
      <c r="T970" s="33">
        <v>1</v>
      </c>
      <c r="U970" s="49"/>
    </row>
    <row r="971" spans="1:21">
      <c r="A971" s="50" t="s">
        <v>1300</v>
      </c>
      <c r="B971" s="32"/>
      <c r="C971" s="33">
        <v>100</v>
      </c>
      <c r="D971" s="33">
        <v>30</v>
      </c>
      <c r="E971" s="33">
        <v>76.099999999999994</v>
      </c>
      <c r="F971" s="48">
        <v>3.5</v>
      </c>
      <c r="G971" s="48">
        <v>0.4</v>
      </c>
      <c r="H971" s="33">
        <v>1.3</v>
      </c>
      <c r="I971" s="48">
        <v>3.2</v>
      </c>
      <c r="J971" s="32"/>
      <c r="K971" s="33">
        <v>0.05</v>
      </c>
      <c r="L971" s="33">
        <v>0.09</v>
      </c>
      <c r="M971" s="33">
        <v>0.8</v>
      </c>
      <c r="N971" s="32"/>
      <c r="O971" s="33">
        <v>6880.8</v>
      </c>
      <c r="P971" s="33">
        <v>102</v>
      </c>
      <c r="Q971" s="33">
        <v>3.8</v>
      </c>
      <c r="R971" s="33" t="s">
        <v>541</v>
      </c>
      <c r="S971" s="32"/>
      <c r="T971" s="33">
        <v>1</v>
      </c>
      <c r="U971" s="49"/>
    </row>
    <row r="972" spans="1:21">
      <c r="A972" s="50" t="s">
        <v>1301</v>
      </c>
      <c r="B972" s="32"/>
      <c r="C972" s="33">
        <v>100</v>
      </c>
      <c r="D972" s="33">
        <v>60</v>
      </c>
      <c r="E972" s="33">
        <v>67.7</v>
      </c>
      <c r="F972" s="48">
        <v>3.3</v>
      </c>
      <c r="G972" s="48">
        <v>0.2</v>
      </c>
      <c r="H972" s="33">
        <v>3.4</v>
      </c>
      <c r="I972" s="48">
        <v>11.2</v>
      </c>
      <c r="J972" s="32"/>
      <c r="K972" s="33">
        <v>0.04</v>
      </c>
      <c r="L972" s="33">
        <v>0.09</v>
      </c>
      <c r="M972" s="33">
        <v>0.9</v>
      </c>
      <c r="N972" s="32"/>
      <c r="O972" s="33">
        <v>4203</v>
      </c>
      <c r="P972" s="33">
        <v>53</v>
      </c>
      <c r="Q972" s="33">
        <v>3.4</v>
      </c>
      <c r="R972" s="33" t="s">
        <v>541</v>
      </c>
      <c r="S972" s="33">
        <v>17</v>
      </c>
      <c r="T972" s="33">
        <v>1</v>
      </c>
      <c r="U972" s="49"/>
    </row>
    <row r="973" spans="1:21">
      <c r="A973" s="50" t="s">
        <v>1302</v>
      </c>
      <c r="B973" s="32"/>
      <c r="C973" s="33">
        <v>100</v>
      </c>
      <c r="D973" s="33">
        <v>37</v>
      </c>
      <c r="E973" s="33">
        <v>77.8</v>
      </c>
      <c r="F973" s="48">
        <v>1.4</v>
      </c>
      <c r="G973" s="48">
        <v>0.5</v>
      </c>
      <c r="H973" s="33">
        <v>1.8</v>
      </c>
      <c r="I973" s="48">
        <v>6.7</v>
      </c>
      <c r="J973" s="33">
        <v>17</v>
      </c>
      <c r="K973" s="33">
        <v>0.03</v>
      </c>
      <c r="L973" s="33">
        <v>0.06</v>
      </c>
      <c r="M973" s="33">
        <v>0.5</v>
      </c>
      <c r="N973" s="32"/>
      <c r="O973" s="33">
        <v>2650.9</v>
      </c>
      <c r="P973" s="33">
        <v>118</v>
      </c>
      <c r="Q973" s="33">
        <v>3.3</v>
      </c>
      <c r="R973" s="33" t="s">
        <v>541</v>
      </c>
      <c r="S973" s="32"/>
      <c r="T973" s="33">
        <v>1</v>
      </c>
      <c r="U973" s="49"/>
    </row>
    <row r="974" spans="1:21">
      <c r="A974" s="50" t="s">
        <v>1303</v>
      </c>
      <c r="B974" s="33" t="s">
        <v>1642</v>
      </c>
      <c r="C974" s="33">
        <v>100</v>
      </c>
      <c r="D974" s="33">
        <v>121</v>
      </c>
      <c r="E974" s="33">
        <v>59</v>
      </c>
      <c r="F974" s="48">
        <v>5.4</v>
      </c>
      <c r="G974" s="48">
        <v>0.2</v>
      </c>
      <c r="H974" s="33">
        <v>0.7</v>
      </c>
      <c r="I974" s="48">
        <v>24.3</v>
      </c>
      <c r="J974" s="32"/>
      <c r="K974" s="33">
        <v>0.05</v>
      </c>
      <c r="L974" s="33">
        <v>0.15</v>
      </c>
      <c r="M974" s="33">
        <v>2</v>
      </c>
      <c r="N974" s="33">
        <v>1.79</v>
      </c>
      <c r="O974" s="33">
        <v>400</v>
      </c>
      <c r="P974" s="33">
        <v>30</v>
      </c>
      <c r="Q974" s="33">
        <v>1.8</v>
      </c>
      <c r="R974" s="33" t="s">
        <v>541</v>
      </c>
      <c r="S974" s="32"/>
      <c r="T974" s="33">
        <v>1</v>
      </c>
      <c r="U974" s="49"/>
    </row>
    <row r="975" spans="1:21">
      <c r="A975" s="50" t="s">
        <v>1304</v>
      </c>
      <c r="B975" s="33" t="s">
        <v>1618</v>
      </c>
      <c r="C975" s="33">
        <v>100</v>
      </c>
      <c r="D975" s="33">
        <v>39</v>
      </c>
      <c r="E975" s="33">
        <v>73.400000000000006</v>
      </c>
      <c r="F975" s="48">
        <v>5.5</v>
      </c>
      <c r="G975" s="51"/>
      <c r="H975" s="33">
        <v>1.5</v>
      </c>
      <c r="I975" s="48">
        <v>4.2</v>
      </c>
      <c r="J975" s="32"/>
      <c r="K975" s="33">
        <v>0.08</v>
      </c>
      <c r="L975" s="33">
        <v>0.05</v>
      </c>
      <c r="M975" s="33">
        <v>0.9</v>
      </c>
      <c r="N975" s="33">
        <v>0.15</v>
      </c>
      <c r="O975" s="33">
        <v>4981.3</v>
      </c>
      <c r="P975" s="33">
        <v>38</v>
      </c>
      <c r="Q975" s="33">
        <v>2.7</v>
      </c>
      <c r="R975" s="33" t="s">
        <v>541</v>
      </c>
      <c r="S975" s="32"/>
      <c r="T975" s="33">
        <v>1</v>
      </c>
      <c r="U975" s="49"/>
    </row>
    <row r="976" spans="1:21">
      <c r="A976" s="50" t="s">
        <v>1305</v>
      </c>
      <c r="B976" s="32"/>
      <c r="C976" s="33">
        <v>100</v>
      </c>
      <c r="D976" s="33">
        <v>32</v>
      </c>
      <c r="E976" s="33">
        <v>81.3</v>
      </c>
      <c r="F976" s="48">
        <v>1.7</v>
      </c>
      <c r="G976" s="48">
        <v>0.3</v>
      </c>
      <c r="H976" s="33">
        <v>1.8</v>
      </c>
      <c r="I976" s="48">
        <v>5.6</v>
      </c>
      <c r="J976" s="32"/>
      <c r="K976" s="33">
        <v>0.03</v>
      </c>
      <c r="L976" s="33">
        <v>0.03</v>
      </c>
      <c r="M976" s="33">
        <v>0.3</v>
      </c>
      <c r="N976" s="33">
        <v>0.21</v>
      </c>
      <c r="O976" s="33">
        <v>3087.1</v>
      </c>
      <c r="P976" s="33">
        <v>44</v>
      </c>
      <c r="Q976" s="33">
        <v>3.1</v>
      </c>
      <c r="R976" s="33" t="s">
        <v>541</v>
      </c>
      <c r="S976" s="33">
        <v>7</v>
      </c>
      <c r="T976" s="33">
        <v>1</v>
      </c>
      <c r="U976" s="49"/>
    </row>
    <row r="977" spans="1:21">
      <c r="A977" s="50" t="s">
        <v>1306</v>
      </c>
      <c r="B977" s="33" t="s">
        <v>1643</v>
      </c>
      <c r="C977" s="33">
        <v>100</v>
      </c>
      <c r="D977" s="33">
        <v>34</v>
      </c>
      <c r="E977" s="33">
        <v>78.900000000000006</v>
      </c>
      <c r="F977" s="48">
        <v>2.9</v>
      </c>
      <c r="G977" s="48">
        <v>0.5</v>
      </c>
      <c r="H977" s="33">
        <v>1.6</v>
      </c>
      <c r="I977" s="48">
        <v>4.5999999999999996</v>
      </c>
      <c r="J977" s="32"/>
      <c r="K977" s="33">
        <v>0.03</v>
      </c>
      <c r="L977" s="33">
        <v>0.02</v>
      </c>
      <c r="M977" s="32"/>
      <c r="N977" s="33">
        <v>0.18</v>
      </c>
      <c r="O977" s="33">
        <v>4092.7</v>
      </c>
      <c r="P977" s="33">
        <v>21</v>
      </c>
      <c r="Q977" s="33">
        <v>4.5</v>
      </c>
      <c r="R977" s="33" t="s">
        <v>541</v>
      </c>
      <c r="S977" s="32"/>
      <c r="T977" s="33">
        <v>1</v>
      </c>
      <c r="U977" s="49"/>
    </row>
    <row r="978" spans="1:21">
      <c r="A978" s="50" t="s">
        <v>1307</v>
      </c>
      <c r="B978" s="32"/>
      <c r="C978" s="33">
        <v>74</v>
      </c>
      <c r="D978" s="33">
        <v>114</v>
      </c>
      <c r="E978" s="33">
        <v>66.099999999999994</v>
      </c>
      <c r="F978" s="48">
        <v>2.1</v>
      </c>
      <c r="G978" s="48">
        <v>0.2</v>
      </c>
      <c r="H978" s="33">
        <v>1.7</v>
      </c>
      <c r="I978" s="48">
        <v>25.9</v>
      </c>
      <c r="J978" s="32"/>
      <c r="K978" s="33">
        <v>0.04</v>
      </c>
      <c r="L978" s="33">
        <v>0.06</v>
      </c>
      <c r="M978" s="33">
        <v>0.2</v>
      </c>
      <c r="N978" s="33">
        <v>0.71</v>
      </c>
      <c r="O978" s="33">
        <v>692.2</v>
      </c>
      <c r="P978" s="33">
        <v>38</v>
      </c>
      <c r="Q978" s="33">
        <v>1.3</v>
      </c>
      <c r="R978" s="33" t="s">
        <v>541</v>
      </c>
      <c r="S978" s="32"/>
      <c r="T978" s="33">
        <v>1</v>
      </c>
      <c r="U978" s="49"/>
    </row>
    <row r="979" spans="1:21">
      <c r="A979" s="50" t="s">
        <v>1308</v>
      </c>
      <c r="B979" s="33" t="s">
        <v>1643</v>
      </c>
      <c r="C979" s="33">
        <v>73</v>
      </c>
      <c r="D979" s="33">
        <v>104</v>
      </c>
      <c r="E979" s="33">
        <v>67.2</v>
      </c>
      <c r="F979" s="48">
        <v>4.4000000000000004</v>
      </c>
      <c r="G979" s="48">
        <v>0.1</v>
      </c>
      <c r="H979" s="33">
        <v>2.6</v>
      </c>
      <c r="I979" s="48">
        <v>21.3</v>
      </c>
      <c r="J979" s="32"/>
      <c r="K979" s="33">
        <v>0.04</v>
      </c>
      <c r="L979" s="33">
        <v>0.04</v>
      </c>
      <c r="M979" s="32"/>
      <c r="N979" s="33">
        <v>0.5</v>
      </c>
      <c r="O979" s="33">
        <v>3503.1</v>
      </c>
      <c r="P979" s="33">
        <v>6</v>
      </c>
      <c r="Q979" s="33">
        <v>3.6</v>
      </c>
      <c r="R979" s="33" t="s">
        <v>541</v>
      </c>
      <c r="S979" s="32"/>
      <c r="T979" s="33">
        <v>1</v>
      </c>
      <c r="U979" s="49"/>
    </row>
    <row r="980" spans="1:21">
      <c r="A980" s="50" t="s">
        <v>1309</v>
      </c>
      <c r="B980" s="33" t="s">
        <v>1655</v>
      </c>
      <c r="C980" s="33">
        <v>100</v>
      </c>
      <c r="D980" s="33">
        <v>97</v>
      </c>
      <c r="E980" s="33">
        <v>73.7</v>
      </c>
      <c r="F980" s="48">
        <v>0.5</v>
      </c>
      <c r="G980" s="48">
        <v>0.5</v>
      </c>
      <c r="H980" s="33">
        <v>0.4</v>
      </c>
      <c r="I980" s="48">
        <v>22.6</v>
      </c>
      <c r="J980" s="32"/>
      <c r="K980" s="32"/>
      <c r="L980" s="32"/>
      <c r="M980" s="33">
        <v>0.4</v>
      </c>
      <c r="N980" s="33">
        <v>0.01</v>
      </c>
      <c r="O980" s="33">
        <v>809</v>
      </c>
      <c r="P980" s="33">
        <v>68</v>
      </c>
      <c r="Q980" s="33">
        <v>4.2</v>
      </c>
      <c r="R980" s="33" t="s">
        <v>541</v>
      </c>
      <c r="S980" s="32"/>
      <c r="T980" s="33">
        <v>1</v>
      </c>
      <c r="U980" s="49"/>
    </row>
    <row r="981" spans="1:21">
      <c r="A981" s="50" t="s">
        <v>1310</v>
      </c>
      <c r="B981" s="32"/>
      <c r="C981" s="33">
        <v>100</v>
      </c>
      <c r="D981" s="33">
        <v>23</v>
      </c>
      <c r="E981" s="33">
        <v>83</v>
      </c>
      <c r="F981" s="48">
        <v>2.2999999999999998</v>
      </c>
      <c r="G981" s="48">
        <v>0.2</v>
      </c>
      <c r="H981" s="33">
        <v>1</v>
      </c>
      <c r="I981" s="48">
        <v>3.1</v>
      </c>
      <c r="J981" s="32"/>
      <c r="K981" s="33">
        <v>0.06</v>
      </c>
      <c r="L981" s="33">
        <v>0.05</v>
      </c>
      <c r="M981" s="33">
        <v>0.6</v>
      </c>
      <c r="N981" s="32"/>
      <c r="O981" s="33">
        <v>4665.1000000000004</v>
      </c>
      <c r="P981" s="33">
        <v>28</v>
      </c>
      <c r="Q981" s="33">
        <v>3.1</v>
      </c>
      <c r="R981" s="33" t="s">
        <v>541</v>
      </c>
      <c r="S981" s="32"/>
      <c r="T981" s="33">
        <v>1</v>
      </c>
      <c r="U981" s="49"/>
    </row>
    <row r="982" spans="1:21">
      <c r="A982" s="50" t="s">
        <v>1311</v>
      </c>
      <c r="B982" s="33" t="s">
        <v>1631</v>
      </c>
      <c r="C982" s="33">
        <v>100</v>
      </c>
      <c r="D982" s="33">
        <v>25</v>
      </c>
      <c r="E982" s="33">
        <v>88.2</v>
      </c>
      <c r="F982" s="48">
        <v>2.4</v>
      </c>
      <c r="G982" s="48">
        <v>0.8</v>
      </c>
      <c r="H982" s="33">
        <v>1.8</v>
      </c>
      <c r="I982" s="48">
        <v>2</v>
      </c>
      <c r="J982" s="32"/>
      <c r="K982" s="33">
        <v>0.05</v>
      </c>
      <c r="L982" s="33">
        <v>0.18</v>
      </c>
      <c r="M982" s="33">
        <v>0.4</v>
      </c>
      <c r="N982" s="32"/>
      <c r="O982" s="33">
        <v>1712.4</v>
      </c>
      <c r="P982" s="33">
        <v>457</v>
      </c>
      <c r="Q982" s="32"/>
      <c r="R982" s="33" t="s">
        <v>541</v>
      </c>
      <c r="S982" s="32"/>
      <c r="T982" s="33">
        <v>1</v>
      </c>
      <c r="U982" s="49"/>
    </row>
    <row r="983" spans="1:21">
      <c r="A983" s="50" t="s">
        <v>1312</v>
      </c>
      <c r="B983" s="32"/>
      <c r="C983" s="33">
        <v>100</v>
      </c>
      <c r="D983" s="33">
        <v>25</v>
      </c>
      <c r="E983" s="33">
        <v>77.099999999999994</v>
      </c>
      <c r="F983" s="48">
        <v>2.4</v>
      </c>
      <c r="G983" s="48">
        <v>0.2</v>
      </c>
      <c r="H983" s="33">
        <v>2.1</v>
      </c>
      <c r="I983" s="48">
        <v>3.3</v>
      </c>
      <c r="J983" s="33">
        <v>8</v>
      </c>
      <c r="K983" s="33">
        <v>0.05</v>
      </c>
      <c r="L983" s="33">
        <v>7.0000000000000007E-2</v>
      </c>
      <c r="M983" s="33">
        <v>0.7</v>
      </c>
      <c r="N983" s="33">
        <v>0.24</v>
      </c>
      <c r="O983" s="33">
        <v>3304.2</v>
      </c>
      <c r="P983" s="33">
        <v>294</v>
      </c>
      <c r="Q983" s="33">
        <v>5.5</v>
      </c>
      <c r="R983" s="33" t="s">
        <v>541</v>
      </c>
      <c r="S983" s="33">
        <v>4</v>
      </c>
      <c r="T983" s="33">
        <v>1</v>
      </c>
      <c r="U983" s="49"/>
    </row>
    <row r="984" spans="1:21">
      <c r="A984" s="50" t="s">
        <v>1313</v>
      </c>
      <c r="B984" s="32"/>
      <c r="C984" s="33">
        <v>100</v>
      </c>
      <c r="D984" s="33">
        <v>563</v>
      </c>
      <c r="E984" s="33">
        <v>6.9</v>
      </c>
      <c r="F984" s="48">
        <v>25</v>
      </c>
      <c r="G984" s="48">
        <v>44.3</v>
      </c>
      <c r="H984" s="33">
        <v>5.5</v>
      </c>
      <c r="I984" s="48">
        <v>16</v>
      </c>
      <c r="J984" s="33">
        <v>5</v>
      </c>
      <c r="K984" s="33">
        <v>0.72</v>
      </c>
      <c r="L984" s="33">
        <v>0.13</v>
      </c>
      <c r="M984" s="33">
        <v>17.899999999999999</v>
      </c>
      <c r="N984" s="33">
        <v>18.09</v>
      </c>
      <c r="O984" s="33">
        <v>3.6</v>
      </c>
      <c r="P984" s="33">
        <v>39</v>
      </c>
      <c r="Q984" s="33">
        <v>2.1</v>
      </c>
      <c r="R984" s="33" t="s">
        <v>732</v>
      </c>
      <c r="S984" s="33">
        <v>2</v>
      </c>
      <c r="T984" s="33">
        <v>5</v>
      </c>
      <c r="U984" s="49"/>
    </row>
    <row r="985" spans="1:21">
      <c r="A985" s="50" t="s">
        <v>1314</v>
      </c>
      <c r="B985" s="33" t="s">
        <v>1618</v>
      </c>
      <c r="C985" s="33">
        <v>100</v>
      </c>
      <c r="D985" s="33">
        <v>581</v>
      </c>
      <c r="E985" s="33">
        <v>1.8</v>
      </c>
      <c r="F985" s="48">
        <v>24.1</v>
      </c>
      <c r="G985" s="48">
        <v>44.4</v>
      </c>
      <c r="H985" s="33">
        <v>4.3</v>
      </c>
      <c r="I985" s="48">
        <v>21.2</v>
      </c>
      <c r="J985" s="32"/>
      <c r="K985" s="33">
        <v>0.12</v>
      </c>
      <c r="L985" s="33">
        <v>0.1</v>
      </c>
      <c r="M985" s="33">
        <v>18.899999999999999</v>
      </c>
      <c r="N985" s="33">
        <v>14.97</v>
      </c>
      <c r="O985" s="33">
        <v>445.1</v>
      </c>
      <c r="P985" s="33">
        <v>284</v>
      </c>
      <c r="Q985" s="33">
        <v>6.9</v>
      </c>
      <c r="R985" s="33" t="s">
        <v>732</v>
      </c>
      <c r="S985" s="32"/>
      <c r="T985" s="33">
        <v>5</v>
      </c>
      <c r="U985" s="49"/>
    </row>
    <row r="986" spans="1:21">
      <c r="A986" s="50" t="s">
        <v>1315</v>
      </c>
      <c r="B986" s="33" t="s">
        <v>1641</v>
      </c>
      <c r="C986" s="33">
        <v>50</v>
      </c>
      <c r="D986" s="33">
        <v>597</v>
      </c>
      <c r="E986" s="33">
        <v>2.4</v>
      </c>
      <c r="F986" s="48">
        <v>23.9</v>
      </c>
      <c r="G986" s="48">
        <v>49.9</v>
      </c>
      <c r="H986" s="33">
        <v>6.1</v>
      </c>
      <c r="I986" s="48">
        <v>13</v>
      </c>
      <c r="J986" s="33">
        <v>5</v>
      </c>
      <c r="K986" s="33">
        <v>0.36</v>
      </c>
      <c r="L986" s="33">
        <v>0.2</v>
      </c>
      <c r="M986" s="33">
        <v>4.8</v>
      </c>
      <c r="N986" s="33">
        <v>34.53</v>
      </c>
      <c r="O986" s="33">
        <v>5.5</v>
      </c>
      <c r="P986" s="33">
        <v>72</v>
      </c>
      <c r="Q986" s="33">
        <v>5.7</v>
      </c>
      <c r="R986" s="33" t="s">
        <v>732</v>
      </c>
      <c r="S986" s="32"/>
      <c r="T986" s="33">
        <v>5</v>
      </c>
      <c r="U986" s="49"/>
    </row>
    <row r="987" spans="1:21">
      <c r="A987" s="50" t="s">
        <v>1316</v>
      </c>
      <c r="B987" s="32"/>
      <c r="C987" s="33">
        <v>52</v>
      </c>
      <c r="D987" s="33">
        <v>616</v>
      </c>
      <c r="E987" s="33">
        <v>2</v>
      </c>
      <c r="F987" s="48">
        <v>22.6</v>
      </c>
      <c r="G987" s="48">
        <v>52.8</v>
      </c>
      <c r="H987" s="33">
        <v>4.8</v>
      </c>
      <c r="I987" s="48">
        <v>12.5</v>
      </c>
      <c r="J987" s="33">
        <v>5</v>
      </c>
      <c r="K987" s="33">
        <v>0.43</v>
      </c>
      <c r="L987" s="33">
        <v>0.26</v>
      </c>
      <c r="M987" s="33">
        <v>4.8</v>
      </c>
      <c r="N987" s="33">
        <v>26.46</v>
      </c>
      <c r="O987" s="33">
        <v>1322</v>
      </c>
      <c r="P987" s="33">
        <v>72</v>
      </c>
      <c r="Q987" s="33">
        <v>6.1</v>
      </c>
      <c r="R987" s="33" t="s">
        <v>732</v>
      </c>
      <c r="S987" s="32"/>
      <c r="T987" s="33">
        <v>5</v>
      </c>
      <c r="U987" s="49"/>
    </row>
    <row r="988" spans="1:21">
      <c r="A988" s="50" t="s">
        <v>1317</v>
      </c>
      <c r="B988" s="33" t="s">
        <v>1627</v>
      </c>
      <c r="C988" s="33">
        <v>100</v>
      </c>
      <c r="D988" s="33">
        <v>606</v>
      </c>
      <c r="E988" s="33">
        <v>7.8</v>
      </c>
      <c r="F988" s="48">
        <v>19.100000000000001</v>
      </c>
      <c r="G988" s="48">
        <v>53.4</v>
      </c>
      <c r="H988" s="33">
        <v>4.5</v>
      </c>
      <c r="I988" s="48">
        <v>12.2</v>
      </c>
      <c r="J988" s="32"/>
      <c r="K988" s="33">
        <v>1.8</v>
      </c>
      <c r="L988" s="33">
        <v>0.16</v>
      </c>
      <c r="M988" s="33">
        <v>4.5</v>
      </c>
      <c r="N988" s="33">
        <v>79.09</v>
      </c>
      <c r="O988" s="33">
        <v>50</v>
      </c>
      <c r="P988" s="33">
        <v>1</v>
      </c>
      <c r="Q988" s="33">
        <v>2.9</v>
      </c>
      <c r="R988" s="33" t="s">
        <v>732</v>
      </c>
      <c r="S988" s="32"/>
      <c r="T988" s="33">
        <v>5</v>
      </c>
      <c r="U988" s="49"/>
    </row>
    <row r="989" spans="1:21">
      <c r="A989" s="50" t="s">
        <v>1318</v>
      </c>
      <c r="B989" s="33" t="s">
        <v>1655</v>
      </c>
      <c r="C989" s="33">
        <v>100</v>
      </c>
      <c r="D989" s="33">
        <v>201</v>
      </c>
      <c r="E989" s="33">
        <v>49.2</v>
      </c>
      <c r="F989" s="48">
        <v>2.8</v>
      </c>
      <c r="G989" s="48">
        <v>0.5</v>
      </c>
      <c r="H989" s="33">
        <v>0.7</v>
      </c>
      <c r="I989" s="48">
        <v>46.2</v>
      </c>
      <c r="J989" s="32"/>
      <c r="K989" s="33">
        <v>0.04</v>
      </c>
      <c r="L989" s="33">
        <v>0.09</v>
      </c>
      <c r="M989" s="33">
        <v>1.5</v>
      </c>
      <c r="N989" s="32"/>
      <c r="O989" s="33">
        <v>8.6999999999999993</v>
      </c>
      <c r="P989" s="33">
        <v>24</v>
      </c>
      <c r="Q989" s="32"/>
      <c r="R989" s="33" t="s">
        <v>732</v>
      </c>
      <c r="S989" s="32"/>
      <c r="T989" s="33">
        <v>5</v>
      </c>
      <c r="U989" s="49"/>
    </row>
    <row r="990" spans="1:21">
      <c r="A990" s="50" t="s">
        <v>1319</v>
      </c>
      <c r="B990" s="32"/>
      <c r="C990" s="33">
        <v>100</v>
      </c>
      <c r="D990" s="33">
        <v>344</v>
      </c>
      <c r="E990" s="33">
        <v>9.5</v>
      </c>
      <c r="F990" s="48">
        <v>17.2</v>
      </c>
      <c r="G990" s="48">
        <v>2</v>
      </c>
      <c r="H990" s="33">
        <v>3</v>
      </c>
      <c r="I990" s="48">
        <v>64.2</v>
      </c>
      <c r="J990" s="32"/>
      <c r="K990" s="33">
        <v>0.16</v>
      </c>
      <c r="L990" s="33">
        <v>0.08</v>
      </c>
      <c r="M990" s="33">
        <v>4.2</v>
      </c>
      <c r="N990" s="33">
        <v>2.71</v>
      </c>
      <c r="O990" s="33">
        <v>5.0999999999999996</v>
      </c>
      <c r="P990" s="33">
        <v>97</v>
      </c>
      <c r="Q990" s="33">
        <v>3.6</v>
      </c>
      <c r="R990" s="33" t="s">
        <v>732</v>
      </c>
      <c r="S990" s="33">
        <v>5</v>
      </c>
      <c r="T990" s="33">
        <v>5</v>
      </c>
      <c r="U990" s="49"/>
    </row>
    <row r="991" spans="1:21">
      <c r="A991" s="50" t="s">
        <v>1320</v>
      </c>
      <c r="B991" s="33" t="s">
        <v>1727</v>
      </c>
      <c r="C991" s="33">
        <v>73</v>
      </c>
      <c r="D991" s="33">
        <v>345</v>
      </c>
      <c r="E991" s="33">
        <v>13.4</v>
      </c>
      <c r="F991" s="48">
        <v>5.3</v>
      </c>
      <c r="G991" s="48">
        <v>1.7</v>
      </c>
      <c r="H991" s="33">
        <v>1.2</v>
      </c>
      <c r="I991" s="48">
        <v>77.2</v>
      </c>
      <c r="J991" s="33">
        <v>5</v>
      </c>
      <c r="K991" s="33">
        <v>0.08</v>
      </c>
      <c r="L991" s="33">
        <v>0.15</v>
      </c>
      <c r="M991" s="33">
        <v>0.8</v>
      </c>
      <c r="N991" s="33">
        <v>11.45</v>
      </c>
      <c r="O991" s="33">
        <v>8.5</v>
      </c>
      <c r="P991" s="32"/>
      <c r="Q991" s="33">
        <v>1.2</v>
      </c>
      <c r="R991" s="33" t="s">
        <v>732</v>
      </c>
      <c r="S991" s="33">
        <v>25</v>
      </c>
      <c r="T991" s="33">
        <v>5</v>
      </c>
      <c r="U991" s="49"/>
    </row>
    <row r="992" spans="1:21">
      <c r="A992" s="50" t="s">
        <v>1321</v>
      </c>
      <c r="B992" s="32"/>
      <c r="C992" s="33">
        <v>80</v>
      </c>
      <c r="D992" s="33">
        <v>185</v>
      </c>
      <c r="E992" s="33">
        <v>52</v>
      </c>
      <c r="F992" s="48">
        <v>4.2</v>
      </c>
      <c r="G992" s="48">
        <v>0.7</v>
      </c>
      <c r="H992" s="33">
        <v>1.7</v>
      </c>
      <c r="I992" s="48">
        <v>40.5</v>
      </c>
      <c r="J992" s="33">
        <v>32</v>
      </c>
      <c r="K992" s="33">
        <v>0.14000000000000001</v>
      </c>
      <c r="L992" s="33">
        <v>0.17</v>
      </c>
      <c r="M992" s="33">
        <v>0.8</v>
      </c>
      <c r="N992" s="33">
        <v>4.5599999999999996</v>
      </c>
      <c r="O992" s="33">
        <v>13.9</v>
      </c>
      <c r="P992" s="33">
        <v>17</v>
      </c>
      <c r="Q992" s="33">
        <v>1.1000000000000001</v>
      </c>
      <c r="R992" s="33" t="s">
        <v>732</v>
      </c>
      <c r="S992" s="33">
        <v>24</v>
      </c>
      <c r="T992" s="33">
        <v>5</v>
      </c>
      <c r="U992" s="49"/>
    </row>
    <row r="993" spans="1:21">
      <c r="A993" s="50" t="s">
        <v>1322</v>
      </c>
      <c r="B993" s="33" t="s">
        <v>1698</v>
      </c>
      <c r="C993" s="33">
        <v>38</v>
      </c>
      <c r="D993" s="33">
        <v>174</v>
      </c>
      <c r="E993" s="33">
        <v>57.6</v>
      </c>
      <c r="F993" s="48">
        <v>12</v>
      </c>
      <c r="G993" s="48">
        <v>6.7</v>
      </c>
      <c r="H993" s="33">
        <v>5.4</v>
      </c>
      <c r="I993" s="48">
        <v>16.3</v>
      </c>
      <c r="J993" s="32"/>
      <c r="K993" s="33">
        <v>0.09</v>
      </c>
      <c r="L993" s="33">
        <v>0.1</v>
      </c>
      <c r="M993" s="33">
        <v>1.5</v>
      </c>
      <c r="N993" s="32"/>
      <c r="O993" s="32"/>
      <c r="P993" s="32"/>
      <c r="Q993" s="32"/>
      <c r="R993" s="33" t="s">
        <v>732</v>
      </c>
      <c r="S993" s="33">
        <v>40</v>
      </c>
      <c r="T993" s="33">
        <v>5</v>
      </c>
      <c r="U993" s="49"/>
    </row>
    <row r="994" spans="1:21">
      <c r="A994" s="50" t="s">
        <v>1323</v>
      </c>
      <c r="B994" s="32"/>
      <c r="C994" s="33">
        <v>68</v>
      </c>
      <c r="D994" s="33">
        <v>574</v>
      </c>
      <c r="E994" s="33">
        <v>4.0999999999999996</v>
      </c>
      <c r="F994" s="48">
        <v>36</v>
      </c>
      <c r="G994" s="48">
        <v>46.1</v>
      </c>
      <c r="H994" s="33">
        <v>4.0999999999999996</v>
      </c>
      <c r="I994" s="48">
        <v>3.8</v>
      </c>
      <c r="J994" s="32"/>
      <c r="K994" s="33">
        <v>0.08</v>
      </c>
      <c r="L994" s="33">
        <v>0.16</v>
      </c>
      <c r="M994" s="33">
        <v>3.3</v>
      </c>
      <c r="N994" s="33">
        <v>27.28</v>
      </c>
      <c r="O994" s="33">
        <v>15.8</v>
      </c>
      <c r="P994" s="33">
        <v>37</v>
      </c>
      <c r="Q994" s="33">
        <v>6.5</v>
      </c>
      <c r="R994" s="33" t="s">
        <v>732</v>
      </c>
      <c r="S994" s="32"/>
      <c r="T994" s="33">
        <v>5</v>
      </c>
      <c r="U994" s="49"/>
    </row>
    <row r="995" spans="1:21">
      <c r="A995" s="50" t="s">
        <v>1324</v>
      </c>
      <c r="B995" s="33" t="s">
        <v>1627</v>
      </c>
      <c r="C995" s="33">
        <v>100</v>
      </c>
      <c r="D995" s="33">
        <v>566</v>
      </c>
      <c r="E995" s="33">
        <v>9.1999999999999993</v>
      </c>
      <c r="F995" s="48">
        <v>33.200000000000003</v>
      </c>
      <c r="G995" s="48">
        <v>48.1</v>
      </c>
      <c r="H995" s="33">
        <v>4.9000000000000004</v>
      </c>
      <c r="I995" s="48">
        <v>0</v>
      </c>
      <c r="J995" s="32"/>
      <c r="K995" s="33">
        <v>0.2</v>
      </c>
      <c r="L995" s="33">
        <v>0.09</v>
      </c>
      <c r="M995" s="33">
        <v>1.8</v>
      </c>
      <c r="N995" s="33">
        <v>13.25</v>
      </c>
      <c r="O995" s="33">
        <v>20.6</v>
      </c>
      <c r="P995" s="33">
        <v>16</v>
      </c>
      <c r="Q995" s="33">
        <v>1.5</v>
      </c>
      <c r="R995" s="33" t="s">
        <v>732</v>
      </c>
      <c r="S995" s="32"/>
      <c r="T995" s="33">
        <v>5</v>
      </c>
      <c r="U995" s="49"/>
    </row>
    <row r="996" spans="1:21">
      <c r="A996" s="50" t="s">
        <v>1325</v>
      </c>
      <c r="B996" s="32"/>
      <c r="C996" s="33">
        <v>100</v>
      </c>
      <c r="D996" s="33">
        <v>351</v>
      </c>
      <c r="E996" s="33">
        <v>11.4</v>
      </c>
      <c r="F996" s="48">
        <v>8.3000000000000007</v>
      </c>
      <c r="G996" s="48">
        <v>0.3</v>
      </c>
      <c r="H996" s="33">
        <v>0.9</v>
      </c>
      <c r="I996" s="48">
        <v>78.7</v>
      </c>
      <c r="J996" s="32"/>
      <c r="K996" s="33">
        <v>0.3</v>
      </c>
      <c r="L996" s="33">
        <v>0.09</v>
      </c>
      <c r="M996" s="33">
        <v>0.4</v>
      </c>
      <c r="N996" s="32"/>
      <c r="O996" s="33">
        <v>28.4</v>
      </c>
      <c r="P996" s="33">
        <v>37</v>
      </c>
      <c r="Q996" s="33">
        <v>0.5</v>
      </c>
      <c r="R996" s="33" t="s">
        <v>732</v>
      </c>
      <c r="S996" s="32"/>
      <c r="T996" s="33">
        <v>5</v>
      </c>
      <c r="U996" s="49"/>
    </row>
    <row r="997" spans="1:21">
      <c r="A997" s="50" t="s">
        <v>1326</v>
      </c>
      <c r="B997" s="33" t="s">
        <v>1644</v>
      </c>
      <c r="C997" s="33">
        <v>30</v>
      </c>
      <c r="D997" s="33">
        <v>596</v>
      </c>
      <c r="E997" s="33">
        <v>2.2000000000000002</v>
      </c>
      <c r="F997" s="48">
        <v>7.9</v>
      </c>
      <c r="G997" s="48">
        <v>50.8</v>
      </c>
      <c r="H997" s="33">
        <v>7.8</v>
      </c>
      <c r="I997" s="48">
        <v>26.8</v>
      </c>
      <c r="J997" s="32"/>
      <c r="K997" s="33">
        <v>0.02</v>
      </c>
      <c r="L997" s="33">
        <v>0.09</v>
      </c>
      <c r="M997" s="33">
        <v>1</v>
      </c>
      <c r="N997" s="33">
        <v>14.08</v>
      </c>
      <c r="O997" s="33">
        <v>430.3</v>
      </c>
      <c r="P997" s="33">
        <v>133</v>
      </c>
      <c r="Q997" s="33">
        <v>5.4</v>
      </c>
      <c r="R997" s="33" t="s">
        <v>732</v>
      </c>
      <c r="S997" s="32"/>
      <c r="T997" s="33">
        <v>5</v>
      </c>
      <c r="U997" s="49"/>
    </row>
    <row r="998" spans="1:21">
      <c r="A998" s="50" t="s">
        <v>1327</v>
      </c>
      <c r="B998" s="32"/>
      <c r="C998" s="33">
        <v>24</v>
      </c>
      <c r="D998" s="33">
        <v>601</v>
      </c>
      <c r="E998" s="33">
        <v>2.2000000000000002</v>
      </c>
      <c r="F998" s="48">
        <v>18</v>
      </c>
      <c r="G998" s="48">
        <v>50.4</v>
      </c>
      <c r="H998" s="33">
        <v>7.4</v>
      </c>
      <c r="I998" s="48">
        <v>18.8</v>
      </c>
      <c r="J998" s="33">
        <v>5</v>
      </c>
      <c r="K998" s="33">
        <v>0.16</v>
      </c>
      <c r="L998" s="33">
        <v>0.09</v>
      </c>
      <c r="M998" s="33">
        <v>0.5</v>
      </c>
      <c r="N998" s="33">
        <v>65.55</v>
      </c>
      <c r="O998" s="33">
        <v>250.7</v>
      </c>
      <c r="P998" s="33">
        <v>57</v>
      </c>
      <c r="Q998" s="33">
        <v>6.8</v>
      </c>
      <c r="R998" s="33" t="s">
        <v>732</v>
      </c>
      <c r="S998" s="32"/>
      <c r="T998" s="33">
        <v>5</v>
      </c>
      <c r="U998" s="49"/>
    </row>
    <row r="999" spans="1:21">
      <c r="A999" s="50" t="s">
        <v>1328</v>
      </c>
      <c r="B999" s="33" t="s">
        <v>1618</v>
      </c>
      <c r="C999" s="33">
        <v>31</v>
      </c>
      <c r="D999" s="33">
        <v>619</v>
      </c>
      <c r="E999" s="33">
        <v>3.6</v>
      </c>
      <c r="F999" s="48">
        <v>14.1</v>
      </c>
      <c r="G999" s="48">
        <v>58.5</v>
      </c>
      <c r="H999" s="33">
        <v>12.4</v>
      </c>
      <c r="I999" s="48">
        <v>9</v>
      </c>
      <c r="J999" s="33">
        <v>5</v>
      </c>
      <c r="K999" s="32"/>
      <c r="L999" s="33">
        <v>0.11</v>
      </c>
      <c r="M999" s="33">
        <v>3.8</v>
      </c>
      <c r="N999" s="33">
        <v>25.2</v>
      </c>
      <c r="O999" s="33">
        <v>3</v>
      </c>
      <c r="P999" s="33">
        <v>161</v>
      </c>
      <c r="Q999" s="33">
        <v>5.2</v>
      </c>
      <c r="R999" s="33" t="s">
        <v>732</v>
      </c>
      <c r="S999" s="32"/>
      <c r="T999" s="33">
        <v>5</v>
      </c>
      <c r="U999" s="49"/>
    </row>
    <row r="1000" spans="1:21">
      <c r="A1000" s="50" t="s">
        <v>1329</v>
      </c>
      <c r="B1000" s="33" t="s">
        <v>1624</v>
      </c>
      <c r="C1000" s="33">
        <v>32</v>
      </c>
      <c r="D1000" s="33">
        <v>640</v>
      </c>
      <c r="E1000" s="33">
        <v>3</v>
      </c>
      <c r="F1000" s="48">
        <v>12.6</v>
      </c>
      <c r="G1000" s="48">
        <v>62.6</v>
      </c>
      <c r="H1000" s="33">
        <v>12.4</v>
      </c>
      <c r="I1000" s="48">
        <v>8.6</v>
      </c>
      <c r="J1000" s="33">
        <v>7</v>
      </c>
      <c r="K1000" s="33">
        <v>0.41</v>
      </c>
      <c r="L1000" s="33">
        <v>0.09</v>
      </c>
      <c r="M1000" s="33">
        <v>3.8</v>
      </c>
      <c r="N1000" s="33">
        <v>34.47</v>
      </c>
      <c r="O1000" s="32"/>
      <c r="P1000" s="33">
        <v>3</v>
      </c>
      <c r="Q1000" s="33">
        <v>5.9</v>
      </c>
      <c r="R1000" s="33" t="s">
        <v>732</v>
      </c>
      <c r="S1000" s="32"/>
      <c r="T1000" s="33">
        <v>5</v>
      </c>
      <c r="U1000" s="49"/>
    </row>
    <row r="1001" spans="1:21">
      <c r="A1001" s="50" t="s">
        <v>1330</v>
      </c>
      <c r="B1001" s="33" t="s">
        <v>1618</v>
      </c>
      <c r="C1001" s="33">
        <v>100</v>
      </c>
      <c r="D1001" s="33">
        <v>698</v>
      </c>
      <c r="E1001" s="33">
        <v>0.8</v>
      </c>
      <c r="F1001" s="48">
        <v>13.4</v>
      </c>
      <c r="G1001" s="48">
        <v>70.599999999999994</v>
      </c>
      <c r="H1001" s="33">
        <v>10</v>
      </c>
      <c r="I1001" s="48">
        <v>2.2000000000000002</v>
      </c>
      <c r="J1001" s="33">
        <v>2</v>
      </c>
      <c r="K1001" s="33">
        <v>0.19</v>
      </c>
      <c r="L1001" s="33">
        <v>0.25</v>
      </c>
      <c r="M1001" s="33">
        <v>4</v>
      </c>
      <c r="N1001" s="33">
        <v>32.79</v>
      </c>
      <c r="O1001" s="33">
        <v>10.1</v>
      </c>
      <c r="P1001" s="33">
        <v>78</v>
      </c>
      <c r="Q1001" s="33">
        <v>4.3</v>
      </c>
      <c r="R1001" s="33" t="s">
        <v>732</v>
      </c>
      <c r="S1001" s="32"/>
      <c r="T1001" s="33">
        <v>5</v>
      </c>
      <c r="U1001" s="49"/>
    </row>
    <row r="1002" spans="1:21">
      <c r="A1002" s="50" t="s">
        <v>1331</v>
      </c>
      <c r="B1002" s="33" t="s">
        <v>1637</v>
      </c>
      <c r="C1002" s="33">
        <v>38</v>
      </c>
      <c r="D1002" s="33">
        <v>541</v>
      </c>
      <c r="E1002" s="33">
        <v>5</v>
      </c>
      <c r="F1002" s="48">
        <v>30.3</v>
      </c>
      <c r="G1002" s="48">
        <v>46.5</v>
      </c>
      <c r="H1002" s="33">
        <v>13.2</v>
      </c>
      <c r="I1002" s="48">
        <v>0.2</v>
      </c>
      <c r="J1002" s="32"/>
      <c r="K1002" s="33">
        <v>0.03</v>
      </c>
      <c r="L1002" s="33">
        <v>0.05</v>
      </c>
      <c r="M1002" s="33">
        <v>3.2</v>
      </c>
      <c r="N1002" s="33">
        <v>2.71</v>
      </c>
      <c r="O1002" s="33">
        <v>133.69999999999999</v>
      </c>
      <c r="P1002" s="33">
        <v>392</v>
      </c>
      <c r="Q1002" s="33">
        <v>4.4000000000000004</v>
      </c>
      <c r="R1002" s="33" t="s">
        <v>732</v>
      </c>
      <c r="S1002" s="32"/>
      <c r="T1002" s="33">
        <v>5</v>
      </c>
      <c r="U1002" s="49"/>
    </row>
    <row r="1003" spans="1:21">
      <c r="A1003" s="50" t="s">
        <v>1332</v>
      </c>
      <c r="B1003" s="32"/>
      <c r="C1003" s="33">
        <v>43</v>
      </c>
      <c r="D1003" s="33">
        <v>573</v>
      </c>
      <c r="E1003" s="33">
        <v>4.3</v>
      </c>
      <c r="F1003" s="48">
        <v>32.700000000000003</v>
      </c>
      <c r="G1003" s="48">
        <v>44.8</v>
      </c>
      <c r="H1003" s="33">
        <v>4.5</v>
      </c>
      <c r="I1003" s="48">
        <v>9.6999999999999993</v>
      </c>
      <c r="J1003" s="32"/>
      <c r="K1003" s="33">
        <v>0.04</v>
      </c>
      <c r="L1003" s="33">
        <v>0.08</v>
      </c>
      <c r="M1003" s="33">
        <v>3.4</v>
      </c>
      <c r="N1003" s="33">
        <v>1.23</v>
      </c>
      <c r="O1003" s="33">
        <v>187.7</v>
      </c>
      <c r="P1003" s="33">
        <v>28</v>
      </c>
      <c r="Q1003" s="33">
        <v>8.1999999999999993</v>
      </c>
      <c r="R1003" s="33" t="s">
        <v>732</v>
      </c>
      <c r="S1003" s="32"/>
      <c r="T1003" s="33">
        <v>5</v>
      </c>
      <c r="U1003" s="49"/>
    </row>
    <row r="1004" spans="1:21">
      <c r="A1004" s="50" t="s">
        <v>1333</v>
      </c>
      <c r="B1004" s="33" t="s">
        <v>1627</v>
      </c>
      <c r="C1004" s="33">
        <v>100</v>
      </c>
      <c r="D1004" s="33">
        <v>555</v>
      </c>
      <c r="E1004" s="33">
        <v>9.1999999999999993</v>
      </c>
      <c r="F1004" s="48">
        <v>32.4</v>
      </c>
      <c r="G1004" s="48">
        <v>45.9</v>
      </c>
      <c r="H1004" s="33">
        <v>5.4</v>
      </c>
      <c r="I1004" s="48">
        <v>3.2</v>
      </c>
      <c r="J1004" s="32"/>
      <c r="K1004" s="33">
        <v>0.2</v>
      </c>
      <c r="L1004" s="33">
        <v>0.08</v>
      </c>
      <c r="M1004" s="33">
        <v>1.4</v>
      </c>
      <c r="N1004" s="33">
        <v>27.37</v>
      </c>
      <c r="O1004" s="33">
        <v>9.4</v>
      </c>
      <c r="P1004" s="32"/>
      <c r="Q1004" s="33">
        <v>4.7</v>
      </c>
      <c r="R1004" s="33" t="s">
        <v>732</v>
      </c>
      <c r="S1004" s="32"/>
      <c r="T1004" s="33">
        <v>5</v>
      </c>
      <c r="U1004" s="49"/>
    </row>
    <row r="1005" spans="1:21">
      <c r="A1005" s="50" t="s">
        <v>1334</v>
      </c>
      <c r="B1005" s="32"/>
      <c r="C1005" s="33">
        <v>100</v>
      </c>
      <c r="D1005" s="33">
        <v>514</v>
      </c>
      <c r="E1005" s="33">
        <v>5.6</v>
      </c>
      <c r="F1005" s="48">
        <v>24.7</v>
      </c>
      <c r="G1005" s="48">
        <v>44.8</v>
      </c>
      <c r="H1005" s="33">
        <v>19.2</v>
      </c>
      <c r="I1005" s="48">
        <v>2.9</v>
      </c>
      <c r="J1005" s="32"/>
      <c r="K1005" s="33">
        <v>0.08</v>
      </c>
      <c r="L1005" s="33">
        <v>1.25</v>
      </c>
      <c r="M1005" s="32"/>
      <c r="N1005" s="33">
        <v>18.53</v>
      </c>
      <c r="O1005" s="33">
        <v>7.1</v>
      </c>
      <c r="P1005" s="33">
        <v>71</v>
      </c>
      <c r="Q1005" s="33">
        <v>1.3</v>
      </c>
      <c r="R1005" s="33" t="s">
        <v>732</v>
      </c>
      <c r="S1005" s="33">
        <v>26</v>
      </c>
      <c r="T1005" s="33">
        <v>5</v>
      </c>
      <c r="U1005" s="49"/>
    </row>
    <row r="1006" spans="1:21">
      <c r="A1006" s="50" t="s">
        <v>1335</v>
      </c>
      <c r="B1006" s="33" t="s">
        <v>1624</v>
      </c>
      <c r="C1006" s="33">
        <v>27</v>
      </c>
      <c r="D1006" s="33">
        <v>542</v>
      </c>
      <c r="E1006" s="33">
        <v>7.4</v>
      </c>
      <c r="F1006" s="48">
        <v>20</v>
      </c>
      <c r="G1006" s="48">
        <v>44.8</v>
      </c>
      <c r="H1006" s="33">
        <v>9.6</v>
      </c>
      <c r="I1006" s="48">
        <v>14.7</v>
      </c>
      <c r="J1006" s="33">
        <v>8</v>
      </c>
      <c r="K1006" s="33">
        <v>0.62</v>
      </c>
      <c r="L1006" s="33">
        <v>0.14000000000000001</v>
      </c>
      <c r="M1006" s="33">
        <v>2.5</v>
      </c>
      <c r="N1006" s="33">
        <v>36.43</v>
      </c>
      <c r="O1006" s="33">
        <v>4.7</v>
      </c>
      <c r="P1006" s="33">
        <v>104</v>
      </c>
      <c r="Q1006" s="33">
        <v>6.4</v>
      </c>
      <c r="R1006" s="33" t="s">
        <v>732</v>
      </c>
      <c r="S1006" s="32"/>
      <c r="T1006" s="33">
        <v>5</v>
      </c>
      <c r="U1006" s="49"/>
    </row>
    <row r="1007" spans="1:21">
      <c r="A1007" s="50" t="s">
        <v>1336</v>
      </c>
      <c r="B1007" s="33" t="s">
        <v>1618</v>
      </c>
      <c r="C1007" s="33">
        <v>21</v>
      </c>
      <c r="D1007" s="33">
        <v>594</v>
      </c>
      <c r="E1007" s="33">
        <v>2.2999999999999998</v>
      </c>
      <c r="F1007" s="48">
        <v>30.5</v>
      </c>
      <c r="G1007" s="48">
        <v>50.3</v>
      </c>
      <c r="H1007" s="33">
        <v>8.1999999999999993</v>
      </c>
      <c r="I1007" s="48">
        <v>4.9000000000000004</v>
      </c>
      <c r="J1007" s="33">
        <v>12</v>
      </c>
      <c r="K1007" s="33">
        <v>0.21</v>
      </c>
      <c r="L1007" s="33">
        <v>0.22</v>
      </c>
      <c r="M1007" s="33">
        <v>9.8000000000000007</v>
      </c>
      <c r="N1007" s="33">
        <v>25.2</v>
      </c>
      <c r="O1007" s="33">
        <v>153</v>
      </c>
      <c r="P1007" s="33">
        <v>815</v>
      </c>
      <c r="Q1007" s="33">
        <v>5.0999999999999996</v>
      </c>
      <c r="R1007" s="33" t="s">
        <v>732</v>
      </c>
      <c r="S1007" s="32"/>
      <c r="T1007" s="33">
        <v>5</v>
      </c>
      <c r="U1007" s="49"/>
    </row>
    <row r="1008" spans="1:21">
      <c r="A1008" s="50" t="s">
        <v>1337</v>
      </c>
      <c r="B1008" s="32"/>
      <c r="C1008" s="33">
        <v>88</v>
      </c>
      <c r="D1008" s="33">
        <v>190</v>
      </c>
      <c r="E1008" s="33">
        <v>61.3</v>
      </c>
      <c r="F1008" s="48">
        <v>12.7</v>
      </c>
      <c r="G1008" s="48">
        <v>12.7</v>
      </c>
      <c r="H1008" s="32"/>
      <c r="I1008" s="48">
        <v>6.3</v>
      </c>
      <c r="J1008" s="33">
        <v>134</v>
      </c>
      <c r="K1008" s="33">
        <v>0.16</v>
      </c>
      <c r="L1008" s="33">
        <v>0.33</v>
      </c>
      <c r="M1008" s="33">
        <v>0.1</v>
      </c>
      <c r="N1008" s="33">
        <v>6.25</v>
      </c>
      <c r="O1008" s="33">
        <v>2706.1</v>
      </c>
      <c r="P1008" s="33">
        <v>118</v>
      </c>
      <c r="Q1008" s="33">
        <v>3.6</v>
      </c>
      <c r="R1008" s="33" t="s">
        <v>973</v>
      </c>
      <c r="S1008" s="32"/>
      <c r="T1008" s="33">
        <v>25</v>
      </c>
      <c r="U1008" s="35">
        <v>647</v>
      </c>
    </row>
    <row r="1009" spans="1:21">
      <c r="A1009" s="50" t="s">
        <v>1338</v>
      </c>
      <c r="B1009" s="33" t="s">
        <v>1728</v>
      </c>
      <c r="C1009" s="33">
        <v>100</v>
      </c>
      <c r="D1009" s="33">
        <v>47</v>
      </c>
      <c r="E1009" s="33">
        <v>87.7</v>
      </c>
      <c r="F1009" s="48">
        <v>9.9</v>
      </c>
      <c r="G1009" s="51"/>
      <c r="H1009" s="32"/>
      <c r="I1009" s="48">
        <v>1.8</v>
      </c>
      <c r="J1009" s="33">
        <v>23</v>
      </c>
      <c r="K1009" s="33">
        <v>0.01</v>
      </c>
      <c r="L1009" s="33">
        <v>7.0000000000000007E-2</v>
      </c>
      <c r="M1009" s="33">
        <v>0.1</v>
      </c>
      <c r="N1009" s="33">
        <v>0.16</v>
      </c>
      <c r="O1009" s="33">
        <v>71.2</v>
      </c>
      <c r="P1009" s="33">
        <v>18</v>
      </c>
      <c r="Q1009" s="33">
        <v>0.1</v>
      </c>
      <c r="R1009" s="33" t="s">
        <v>973</v>
      </c>
      <c r="S1009" s="32"/>
      <c r="T1009" s="33">
        <v>25</v>
      </c>
      <c r="U1009" s="49"/>
    </row>
    <row r="1010" spans="1:21">
      <c r="A1010" s="50" t="s">
        <v>1339</v>
      </c>
      <c r="B1010" s="33" t="s">
        <v>1728</v>
      </c>
      <c r="C1010" s="33">
        <v>100</v>
      </c>
      <c r="D1010" s="33">
        <v>378</v>
      </c>
      <c r="E1010" s="33">
        <v>44.9</v>
      </c>
      <c r="F1010" s="48">
        <v>14.5</v>
      </c>
      <c r="G1010" s="48">
        <v>33.799999999999997</v>
      </c>
      <c r="H1010" s="32"/>
      <c r="I1010" s="48">
        <v>4</v>
      </c>
      <c r="J1010" s="33">
        <v>1980</v>
      </c>
      <c r="K1010" s="33">
        <v>0.28000000000000003</v>
      </c>
      <c r="L1010" s="33">
        <v>0.62</v>
      </c>
      <c r="M1010" s="32"/>
      <c r="N1010" s="33">
        <v>12.72</v>
      </c>
      <c r="O1010" s="33">
        <v>30.1</v>
      </c>
      <c r="P1010" s="33">
        <v>123</v>
      </c>
      <c r="Q1010" s="33">
        <v>4.9000000000000004</v>
      </c>
      <c r="R1010" s="33" t="s">
        <v>973</v>
      </c>
      <c r="S1010" s="32"/>
      <c r="T1010" s="33">
        <v>25</v>
      </c>
      <c r="U1010" s="35">
        <v>1576</v>
      </c>
    </row>
    <row r="1011" spans="1:21">
      <c r="A1011" s="50" t="s">
        <v>1340</v>
      </c>
      <c r="B1011" s="33" t="s">
        <v>1637</v>
      </c>
      <c r="C1011" s="33">
        <v>67</v>
      </c>
      <c r="D1011" s="33">
        <v>150</v>
      </c>
      <c r="E1011" s="33">
        <v>71.5</v>
      </c>
      <c r="F1011" s="48">
        <v>19.100000000000001</v>
      </c>
      <c r="G1011" s="48">
        <v>8.1999999999999993</v>
      </c>
      <c r="H1011" s="32"/>
      <c r="I1011" s="48">
        <v>0</v>
      </c>
      <c r="J1011" s="32"/>
      <c r="K1011" s="33">
        <v>0.02</v>
      </c>
      <c r="L1011" s="33">
        <v>0.08</v>
      </c>
      <c r="M1011" s="33">
        <v>3.3</v>
      </c>
      <c r="N1011" s="33">
        <v>1.49</v>
      </c>
      <c r="O1011" s="33">
        <v>152.69999999999999</v>
      </c>
      <c r="P1011" s="33">
        <v>23</v>
      </c>
      <c r="Q1011" s="33">
        <v>0.3</v>
      </c>
      <c r="R1011" s="33" t="s">
        <v>1341</v>
      </c>
      <c r="S1011" s="32"/>
      <c r="T1011" s="33">
        <v>25</v>
      </c>
      <c r="U1011" s="49"/>
    </row>
    <row r="1012" spans="1:21">
      <c r="A1012" s="50" t="s">
        <v>1342</v>
      </c>
      <c r="B1012" s="32"/>
      <c r="C1012" s="33">
        <v>80</v>
      </c>
      <c r="D1012" s="33">
        <v>122</v>
      </c>
      <c r="E1012" s="33">
        <v>72.5</v>
      </c>
      <c r="F1012" s="48">
        <v>21.2</v>
      </c>
      <c r="G1012" s="48">
        <v>3.1</v>
      </c>
      <c r="H1012" s="32"/>
      <c r="I1012" s="48">
        <v>2.2000000000000002</v>
      </c>
      <c r="J1012" s="33">
        <v>19</v>
      </c>
      <c r="K1012" s="33">
        <v>0.03</v>
      </c>
      <c r="L1012" s="33">
        <v>0.04</v>
      </c>
      <c r="M1012" s="33">
        <v>2.1</v>
      </c>
      <c r="N1012" s="33">
        <v>0.71</v>
      </c>
      <c r="O1012" s="33">
        <v>74.2</v>
      </c>
      <c r="P1012" s="33">
        <v>35</v>
      </c>
      <c r="Q1012" s="33">
        <v>0.8</v>
      </c>
      <c r="R1012" s="33" t="s">
        <v>1341</v>
      </c>
      <c r="S1012" s="32"/>
      <c r="T1012" s="33">
        <v>25</v>
      </c>
      <c r="U1012" s="35">
        <v>75</v>
      </c>
    </row>
    <row r="1013" spans="1:21">
      <c r="A1013" s="50" t="s">
        <v>1343</v>
      </c>
      <c r="B1013" s="33" t="s">
        <v>1628</v>
      </c>
      <c r="C1013" s="33">
        <v>67</v>
      </c>
      <c r="D1013" s="33">
        <v>157</v>
      </c>
      <c r="E1013" s="33">
        <v>52.8</v>
      </c>
      <c r="F1013" s="48">
        <v>23.3</v>
      </c>
      <c r="G1013" s="48">
        <v>1.6</v>
      </c>
      <c r="H1013" s="32"/>
      <c r="I1013" s="48">
        <v>12.4</v>
      </c>
      <c r="J1013" s="32"/>
      <c r="K1013" s="33">
        <v>0.04</v>
      </c>
      <c r="L1013" s="32"/>
      <c r="M1013" s="33">
        <v>2.7</v>
      </c>
      <c r="N1013" s="33">
        <v>4.5999999999999996</v>
      </c>
      <c r="O1013" s="33">
        <v>5350</v>
      </c>
      <c r="P1013" s="32"/>
      <c r="Q1013" s="33">
        <v>6.2</v>
      </c>
      <c r="R1013" s="33" t="s">
        <v>1341</v>
      </c>
      <c r="S1013" s="32"/>
      <c r="T1013" s="33">
        <v>25</v>
      </c>
      <c r="U1013" s="49"/>
    </row>
    <row r="1014" spans="1:21">
      <c r="A1014" s="50" t="s">
        <v>1344</v>
      </c>
      <c r="B1014" s="33" t="s">
        <v>1637</v>
      </c>
      <c r="C1014" s="33">
        <v>78</v>
      </c>
      <c r="D1014" s="33">
        <v>135</v>
      </c>
      <c r="E1014" s="33">
        <v>65.400000000000006</v>
      </c>
      <c r="F1014" s="48">
        <v>18.899999999999999</v>
      </c>
      <c r="G1014" s="48">
        <v>0.4</v>
      </c>
      <c r="H1014" s="32"/>
      <c r="I1014" s="48">
        <v>14</v>
      </c>
      <c r="J1014" s="32"/>
      <c r="K1014" s="33">
        <v>0.04</v>
      </c>
      <c r="L1014" s="33">
        <v>0.06</v>
      </c>
      <c r="M1014" s="33">
        <v>5.4</v>
      </c>
      <c r="N1014" s="33">
        <v>1.34</v>
      </c>
      <c r="O1014" s="33">
        <v>65.400000000000006</v>
      </c>
      <c r="P1014" s="33">
        <v>21</v>
      </c>
      <c r="Q1014" s="33">
        <v>0.6</v>
      </c>
      <c r="R1014" s="33" t="s">
        <v>1341</v>
      </c>
      <c r="S1014" s="32"/>
      <c r="T1014" s="33">
        <v>25</v>
      </c>
      <c r="U1014" s="49"/>
    </row>
    <row r="1015" spans="1:21">
      <c r="A1015" s="50" t="s">
        <v>1345</v>
      </c>
      <c r="B1015" s="32"/>
      <c r="C1015" s="33">
        <v>59</v>
      </c>
      <c r="D1015" s="33">
        <v>135</v>
      </c>
      <c r="E1015" s="33">
        <v>73.099999999999994</v>
      </c>
      <c r="F1015" s="48">
        <v>18.3</v>
      </c>
      <c r="G1015" s="48">
        <v>6.3</v>
      </c>
      <c r="H1015" s="32"/>
      <c r="I1015" s="48">
        <v>1.2</v>
      </c>
      <c r="J1015" s="33">
        <v>28</v>
      </c>
      <c r="K1015" s="33">
        <v>0.02</v>
      </c>
      <c r="L1015" s="33">
        <v>7.0000000000000007E-2</v>
      </c>
      <c r="M1015" s="33">
        <v>1.7</v>
      </c>
      <c r="N1015" s="33">
        <v>0.52</v>
      </c>
      <c r="O1015" s="33">
        <v>41.1</v>
      </c>
      <c r="P1015" s="33">
        <v>89</v>
      </c>
      <c r="Q1015" s="33">
        <v>0.7</v>
      </c>
      <c r="R1015" s="33" t="s">
        <v>1341</v>
      </c>
      <c r="S1015" s="32"/>
      <c r="T1015" s="33">
        <v>25</v>
      </c>
      <c r="U1015" s="35">
        <v>94</v>
      </c>
    </row>
    <row r="1016" spans="1:21">
      <c r="A1016" s="50" t="s">
        <v>1346</v>
      </c>
      <c r="B1016" s="33" t="s">
        <v>1687</v>
      </c>
      <c r="C1016" s="33">
        <v>78</v>
      </c>
      <c r="D1016" s="33">
        <v>165</v>
      </c>
      <c r="E1016" s="33">
        <v>72.7</v>
      </c>
      <c r="F1016" s="48">
        <v>18.3</v>
      </c>
      <c r="G1016" s="48">
        <v>10.199999999999999</v>
      </c>
      <c r="H1016" s="32"/>
      <c r="I1016" s="48">
        <v>0</v>
      </c>
      <c r="J1016" s="32"/>
      <c r="K1016" s="33">
        <v>7.0000000000000007E-2</v>
      </c>
      <c r="L1016" s="32"/>
      <c r="M1016" s="32"/>
      <c r="N1016" s="32"/>
      <c r="O1016" s="32"/>
      <c r="P1016" s="32"/>
      <c r="Q1016" s="32"/>
      <c r="R1016" s="33" t="s">
        <v>1341</v>
      </c>
      <c r="S1016" s="32"/>
      <c r="T1016" s="33">
        <v>25</v>
      </c>
      <c r="U1016" s="35">
        <v>103</v>
      </c>
    </row>
    <row r="1017" spans="1:21">
      <c r="A1017" s="50" t="s">
        <v>1347</v>
      </c>
      <c r="B1017" s="32"/>
      <c r="C1017" s="33">
        <v>58</v>
      </c>
      <c r="D1017" s="33">
        <v>112</v>
      </c>
      <c r="E1017" s="33">
        <v>77.3</v>
      </c>
      <c r="F1017" s="48">
        <v>16.600000000000001</v>
      </c>
      <c r="G1017" s="48">
        <v>5.2</v>
      </c>
      <c r="H1017" s="32"/>
      <c r="I1017" s="48">
        <v>0</v>
      </c>
      <c r="J1017" s="33">
        <v>11</v>
      </c>
      <c r="K1017" s="33">
        <v>0.04</v>
      </c>
      <c r="L1017" s="33">
        <v>0.11</v>
      </c>
      <c r="M1017" s="33">
        <v>2.8</v>
      </c>
      <c r="N1017" s="33">
        <v>2.0299999999999998</v>
      </c>
      <c r="O1017" s="33">
        <v>46</v>
      </c>
      <c r="P1017" s="33">
        <v>38</v>
      </c>
      <c r="Q1017" s="33">
        <v>0.8</v>
      </c>
      <c r="R1017" s="33" t="s">
        <v>1341</v>
      </c>
      <c r="S1017" s="32"/>
      <c r="T1017" s="33">
        <v>25</v>
      </c>
      <c r="U1017" s="35">
        <v>86</v>
      </c>
    </row>
    <row r="1018" spans="1:21">
      <c r="A1018" s="50" t="s">
        <v>1348</v>
      </c>
      <c r="B1018" s="32"/>
      <c r="C1018" s="33">
        <v>70</v>
      </c>
      <c r="D1018" s="33">
        <v>142</v>
      </c>
      <c r="E1018" s="33">
        <v>72.8</v>
      </c>
      <c r="F1018" s="48">
        <v>18.5</v>
      </c>
      <c r="G1018" s="48">
        <v>7.8</v>
      </c>
      <c r="H1018" s="32"/>
      <c r="I1018" s="48">
        <v>0</v>
      </c>
      <c r="J1018" s="33">
        <v>24</v>
      </c>
      <c r="K1018" s="33">
        <v>0.04</v>
      </c>
      <c r="L1018" s="33">
        <v>7.0000000000000007E-2</v>
      </c>
      <c r="M1018" s="33">
        <v>2.1</v>
      </c>
      <c r="N1018" s="33">
        <v>1.26</v>
      </c>
      <c r="O1018" s="33">
        <v>62.5</v>
      </c>
      <c r="P1018" s="33">
        <v>46</v>
      </c>
      <c r="Q1018" s="33">
        <v>1.1000000000000001</v>
      </c>
      <c r="R1018" s="33" t="s">
        <v>1341</v>
      </c>
      <c r="S1018" s="32"/>
      <c r="T1018" s="33">
        <v>25</v>
      </c>
      <c r="U1018" s="35">
        <v>77</v>
      </c>
    </row>
    <row r="1019" spans="1:21">
      <c r="A1019" s="50" t="s">
        <v>1349</v>
      </c>
      <c r="B1019" s="33" t="s">
        <v>1627</v>
      </c>
      <c r="C1019" s="33">
        <v>59</v>
      </c>
      <c r="D1019" s="33">
        <v>114</v>
      </c>
      <c r="E1019" s="33">
        <v>76.5</v>
      </c>
      <c r="F1019" s="48">
        <v>18.100000000000001</v>
      </c>
      <c r="G1019" s="48">
        <v>5</v>
      </c>
      <c r="H1019" s="32"/>
      <c r="I1019" s="48">
        <v>0</v>
      </c>
      <c r="J1019" s="33">
        <v>12</v>
      </c>
      <c r="K1019" s="33">
        <v>0.02</v>
      </c>
      <c r="L1019" s="33">
        <v>0.08</v>
      </c>
      <c r="M1019" s="33">
        <v>4.7</v>
      </c>
      <c r="N1019" s="33">
        <v>1.7</v>
      </c>
      <c r="O1019" s="33">
        <v>87</v>
      </c>
      <c r="P1019" s="33">
        <v>59</v>
      </c>
      <c r="Q1019" s="33">
        <v>6.4</v>
      </c>
      <c r="R1019" s="33" t="s">
        <v>1341</v>
      </c>
      <c r="S1019" s="32"/>
      <c r="T1019" s="33">
        <v>25</v>
      </c>
      <c r="U1019" s="35">
        <v>121</v>
      </c>
    </row>
    <row r="1020" spans="1:21">
      <c r="A1020" s="50" t="s">
        <v>1350</v>
      </c>
      <c r="B1020" s="32"/>
      <c r="C1020" s="33">
        <v>66</v>
      </c>
      <c r="D1020" s="33">
        <v>96</v>
      </c>
      <c r="E1020" s="33">
        <v>77.7</v>
      </c>
      <c r="F1020" s="48">
        <v>17.7</v>
      </c>
      <c r="G1020" s="48">
        <v>2.5</v>
      </c>
      <c r="H1020" s="32"/>
      <c r="I1020" s="48">
        <v>0.8</v>
      </c>
      <c r="J1020" s="33">
        <v>10</v>
      </c>
      <c r="K1020" s="33">
        <v>0.03</v>
      </c>
      <c r="L1020" s="33">
        <v>0.1</v>
      </c>
      <c r="M1020" s="33">
        <v>1.9</v>
      </c>
      <c r="N1020" s="33">
        <v>1.1299999999999999</v>
      </c>
      <c r="O1020" s="33">
        <v>120.3</v>
      </c>
      <c r="P1020" s="33">
        <v>53</v>
      </c>
      <c r="Q1020" s="33">
        <v>0.7</v>
      </c>
      <c r="R1020" s="33" t="s">
        <v>1341</v>
      </c>
      <c r="S1020" s="32"/>
      <c r="T1020" s="33">
        <v>25</v>
      </c>
      <c r="U1020" s="35">
        <v>86</v>
      </c>
    </row>
    <row r="1021" spans="1:21">
      <c r="A1021" s="50" t="s">
        <v>1351</v>
      </c>
      <c r="B1021" s="32"/>
      <c r="C1021" s="33">
        <v>76</v>
      </c>
      <c r="D1021" s="33">
        <v>127</v>
      </c>
      <c r="E1021" s="33">
        <v>73.3</v>
      </c>
      <c r="F1021" s="48">
        <v>17.7</v>
      </c>
      <c r="G1021" s="48">
        <v>4.9000000000000004</v>
      </c>
      <c r="H1021" s="32"/>
      <c r="I1021" s="48">
        <v>3.1</v>
      </c>
      <c r="J1021" s="33">
        <v>29</v>
      </c>
      <c r="K1021" s="33">
        <v>0.02</v>
      </c>
      <c r="L1021" s="33">
        <v>0.06</v>
      </c>
      <c r="M1021" s="33">
        <v>2.8</v>
      </c>
      <c r="N1021" s="33">
        <v>0.82</v>
      </c>
      <c r="O1021" s="33">
        <v>150.1</v>
      </c>
      <c r="P1021" s="33">
        <v>28</v>
      </c>
      <c r="Q1021" s="33">
        <v>1.2</v>
      </c>
      <c r="R1021" s="33" t="s">
        <v>1341</v>
      </c>
      <c r="S1021" s="32"/>
      <c r="T1021" s="33">
        <v>25</v>
      </c>
      <c r="U1021" s="35">
        <v>76</v>
      </c>
    </row>
    <row r="1022" spans="1:21">
      <c r="A1022" s="50" t="s">
        <v>1352</v>
      </c>
      <c r="B1022" s="33" t="s">
        <v>1624</v>
      </c>
      <c r="C1022" s="33">
        <v>72</v>
      </c>
      <c r="D1022" s="33">
        <v>143</v>
      </c>
      <c r="E1022" s="33">
        <v>74.099999999999994</v>
      </c>
      <c r="F1022" s="48">
        <v>17.2</v>
      </c>
      <c r="G1022" s="48">
        <v>8.6</v>
      </c>
      <c r="H1022" s="32"/>
      <c r="I1022" s="48">
        <v>0</v>
      </c>
      <c r="J1022" s="33">
        <v>45</v>
      </c>
      <c r="K1022" s="33">
        <v>7.0000000000000007E-2</v>
      </c>
      <c r="L1022" s="33">
        <v>0.18</v>
      </c>
      <c r="M1022" s="33">
        <v>4.4000000000000004</v>
      </c>
      <c r="N1022" s="33">
        <v>0.78</v>
      </c>
      <c r="O1022" s="32"/>
      <c r="P1022" s="33">
        <v>13</v>
      </c>
      <c r="Q1022" s="33">
        <v>0.3</v>
      </c>
      <c r="R1022" s="33" t="s">
        <v>1341</v>
      </c>
      <c r="S1022" s="32"/>
      <c r="T1022" s="33">
        <v>25</v>
      </c>
      <c r="U1022" s="35">
        <v>101</v>
      </c>
    </row>
    <row r="1023" spans="1:21">
      <c r="A1023" s="50" t="s">
        <v>1353</v>
      </c>
      <c r="B1023" s="32"/>
      <c r="C1023" s="33">
        <v>65</v>
      </c>
      <c r="D1023" s="33">
        <v>106</v>
      </c>
      <c r="E1023" s="33">
        <v>75.2</v>
      </c>
      <c r="F1023" s="48">
        <v>17.899999999999999</v>
      </c>
      <c r="G1023" s="48">
        <v>2.6</v>
      </c>
      <c r="H1023" s="32"/>
      <c r="I1023" s="48">
        <v>2.7</v>
      </c>
      <c r="J1023" s="33">
        <v>12</v>
      </c>
      <c r="K1023" s="33">
        <v>0.02</v>
      </c>
      <c r="L1023" s="33">
        <v>0.1</v>
      </c>
      <c r="M1023" s="33">
        <v>3.5</v>
      </c>
      <c r="N1023" s="33">
        <v>1.08</v>
      </c>
      <c r="O1023" s="33">
        <v>103.9</v>
      </c>
      <c r="P1023" s="33">
        <v>186</v>
      </c>
      <c r="Q1023" s="33">
        <v>2.2999999999999998</v>
      </c>
      <c r="R1023" s="33" t="s">
        <v>1341</v>
      </c>
      <c r="S1023" s="32"/>
      <c r="T1023" s="33">
        <v>25</v>
      </c>
      <c r="U1023" s="35">
        <v>65</v>
      </c>
    </row>
    <row r="1024" spans="1:21">
      <c r="A1024" s="50" t="s">
        <v>1354</v>
      </c>
      <c r="B1024" s="32"/>
      <c r="C1024" s="33">
        <v>72</v>
      </c>
      <c r="D1024" s="33">
        <v>107</v>
      </c>
      <c r="E1024" s="33">
        <v>74.599999999999994</v>
      </c>
      <c r="F1024" s="48">
        <v>21.1</v>
      </c>
      <c r="G1024" s="48">
        <v>2.2999999999999998</v>
      </c>
      <c r="H1024" s="32"/>
      <c r="I1024" s="48">
        <v>0.5</v>
      </c>
      <c r="J1024" s="33">
        <v>117</v>
      </c>
      <c r="K1024" s="33">
        <v>0.03</v>
      </c>
      <c r="L1024" s="33">
        <v>0.04</v>
      </c>
      <c r="M1024" s="33">
        <v>1.5</v>
      </c>
      <c r="N1024" s="33">
        <v>2.35</v>
      </c>
      <c r="O1024" s="33">
        <v>150.4</v>
      </c>
      <c r="P1024" s="33">
        <v>107</v>
      </c>
      <c r="Q1024" s="33">
        <v>0.4</v>
      </c>
      <c r="R1024" s="33" t="s">
        <v>1341</v>
      </c>
      <c r="S1024" s="32"/>
      <c r="T1024" s="33">
        <v>25</v>
      </c>
      <c r="U1024" s="35">
        <v>73</v>
      </c>
    </row>
    <row r="1025" spans="1:21">
      <c r="A1025" s="50" t="s">
        <v>1355</v>
      </c>
      <c r="B1025" s="33" t="s">
        <v>1635</v>
      </c>
      <c r="C1025" s="33">
        <v>100</v>
      </c>
      <c r="D1025" s="33">
        <v>196</v>
      </c>
      <c r="E1025" s="33">
        <v>36.299999999999997</v>
      </c>
      <c r="F1025" s="48">
        <v>37.5</v>
      </c>
      <c r="G1025" s="48">
        <v>3.1</v>
      </c>
      <c r="H1025" s="32"/>
      <c r="I1025" s="48">
        <v>4.5999999999999996</v>
      </c>
      <c r="J1025" s="33">
        <v>119</v>
      </c>
      <c r="K1025" s="33">
        <v>0.01</v>
      </c>
      <c r="L1025" s="33">
        <v>0.17</v>
      </c>
      <c r="M1025" s="33">
        <v>2</v>
      </c>
      <c r="N1025" s="33">
        <v>0.3</v>
      </c>
      <c r="O1025" s="33">
        <v>4375</v>
      </c>
      <c r="P1025" s="33">
        <v>590</v>
      </c>
      <c r="Q1025" s="33">
        <v>4.3</v>
      </c>
      <c r="R1025" s="33" t="s">
        <v>1341</v>
      </c>
      <c r="S1025" s="32"/>
      <c r="T1025" s="33">
        <v>25</v>
      </c>
      <c r="U1025" s="35">
        <v>379</v>
      </c>
    </row>
    <row r="1026" spans="1:21">
      <c r="A1026" s="50" t="s">
        <v>1356</v>
      </c>
      <c r="B1026" s="33" t="s">
        <v>1729</v>
      </c>
      <c r="C1026" s="33">
        <v>64</v>
      </c>
      <c r="D1026" s="33">
        <v>191</v>
      </c>
      <c r="E1026" s="33">
        <v>66.900000000000006</v>
      </c>
      <c r="F1026" s="48">
        <v>17.600000000000001</v>
      </c>
      <c r="G1026" s="48">
        <v>12.8</v>
      </c>
      <c r="H1026" s="32"/>
      <c r="I1026" s="48">
        <v>1.3</v>
      </c>
      <c r="J1026" s="33">
        <v>5</v>
      </c>
      <c r="K1026" s="33">
        <v>0.19</v>
      </c>
      <c r="L1026" s="33">
        <v>0.12</v>
      </c>
      <c r="M1026" s="33">
        <v>6.5</v>
      </c>
      <c r="N1026" s="33">
        <v>0.33</v>
      </c>
      <c r="O1026" s="33">
        <v>65</v>
      </c>
      <c r="P1026" s="33">
        <v>15</v>
      </c>
      <c r="Q1026" s="33">
        <v>2.2000000000000002</v>
      </c>
      <c r="R1026" s="33" t="s">
        <v>1341</v>
      </c>
      <c r="S1026" s="32"/>
      <c r="T1026" s="33">
        <v>25</v>
      </c>
      <c r="U1026" s="49"/>
    </row>
    <row r="1027" spans="1:21">
      <c r="A1027" s="50" t="s">
        <v>1357</v>
      </c>
      <c r="B1027" s="33" t="s">
        <v>1637</v>
      </c>
      <c r="C1027" s="33">
        <v>75</v>
      </c>
      <c r="D1027" s="33">
        <v>180</v>
      </c>
      <c r="E1027" s="33">
        <v>66.5</v>
      </c>
      <c r="F1027" s="48">
        <v>20.2</v>
      </c>
      <c r="G1027" s="48">
        <v>10.4</v>
      </c>
      <c r="H1027" s="32"/>
      <c r="I1027" s="48">
        <v>1.4</v>
      </c>
      <c r="J1027" s="32"/>
      <c r="K1027" s="33">
        <v>0.01</v>
      </c>
      <c r="L1027" s="33">
        <v>0.02</v>
      </c>
      <c r="M1027" s="32"/>
      <c r="N1027" s="33">
        <v>3.36</v>
      </c>
      <c r="O1027" s="33">
        <v>73.3</v>
      </c>
      <c r="P1027" s="33">
        <v>58</v>
      </c>
      <c r="Q1027" s="33">
        <v>1.2</v>
      </c>
      <c r="R1027" s="33" t="s">
        <v>1341</v>
      </c>
      <c r="S1027" s="32"/>
      <c r="T1027" s="33">
        <v>25</v>
      </c>
      <c r="U1027" s="35">
        <v>101</v>
      </c>
    </row>
    <row r="1028" spans="1:21">
      <c r="A1028" s="50" t="s">
        <v>1358</v>
      </c>
      <c r="B1028" s="33" t="s">
        <v>1729</v>
      </c>
      <c r="C1028" s="33">
        <v>67</v>
      </c>
      <c r="D1028" s="33">
        <v>100</v>
      </c>
      <c r="E1028" s="33">
        <v>76.5</v>
      </c>
      <c r="F1028" s="48">
        <v>16.7</v>
      </c>
      <c r="G1028" s="48">
        <v>2.2999999999999998</v>
      </c>
      <c r="H1028" s="32"/>
      <c r="I1028" s="48">
        <v>3</v>
      </c>
      <c r="J1028" s="33">
        <v>11</v>
      </c>
      <c r="K1028" s="33">
        <v>0.05</v>
      </c>
      <c r="L1028" s="33">
        <v>0.1</v>
      </c>
      <c r="M1028" s="33">
        <v>3.7</v>
      </c>
      <c r="N1028" s="33">
        <v>7.0000000000000007E-2</v>
      </c>
      <c r="O1028" s="33">
        <v>156.30000000000001</v>
      </c>
      <c r="P1028" s="33">
        <v>95</v>
      </c>
      <c r="Q1028" s="33">
        <v>2.2000000000000002</v>
      </c>
      <c r="R1028" s="33" t="s">
        <v>1341</v>
      </c>
      <c r="S1028" s="32"/>
      <c r="T1028" s="33">
        <v>25</v>
      </c>
      <c r="U1028" s="35">
        <v>71</v>
      </c>
    </row>
    <row r="1029" spans="1:21">
      <c r="A1029" s="50" t="s">
        <v>1359</v>
      </c>
      <c r="B1029" s="32"/>
      <c r="C1029" s="33">
        <v>61</v>
      </c>
      <c r="D1029" s="33">
        <v>117</v>
      </c>
      <c r="E1029" s="33">
        <v>74.5</v>
      </c>
      <c r="F1029" s="48">
        <v>19.899999999999999</v>
      </c>
      <c r="G1029" s="48">
        <v>4.2</v>
      </c>
      <c r="H1029" s="32"/>
      <c r="I1029" s="48">
        <v>0</v>
      </c>
      <c r="J1029" s="33">
        <v>12</v>
      </c>
      <c r="K1029" s="33">
        <v>0.02</v>
      </c>
      <c r="L1029" s="33">
        <v>7.0000000000000007E-2</v>
      </c>
      <c r="M1029" s="33">
        <v>5.9</v>
      </c>
      <c r="N1029" s="33">
        <v>0.87</v>
      </c>
      <c r="O1029" s="33">
        <v>68.599999999999994</v>
      </c>
      <c r="P1029" s="33">
        <v>63</v>
      </c>
      <c r="Q1029" s="33">
        <v>1</v>
      </c>
      <c r="R1029" s="33" t="s">
        <v>1341</v>
      </c>
      <c r="S1029" s="32"/>
      <c r="T1029" s="33">
        <v>25</v>
      </c>
      <c r="U1029" s="35">
        <v>124</v>
      </c>
    </row>
    <row r="1030" spans="1:21">
      <c r="A1030" s="50" t="s">
        <v>1360</v>
      </c>
      <c r="B1030" s="33" t="s">
        <v>1713</v>
      </c>
      <c r="C1030" s="33">
        <v>60</v>
      </c>
      <c r="D1030" s="33">
        <v>206</v>
      </c>
      <c r="E1030" s="33">
        <v>64.3</v>
      </c>
      <c r="F1030" s="48">
        <v>17</v>
      </c>
      <c r="G1030" s="48">
        <v>13.7</v>
      </c>
      <c r="H1030" s="32"/>
      <c r="I1030" s="48">
        <v>3.6</v>
      </c>
      <c r="J1030" s="32"/>
      <c r="K1030" s="33">
        <v>0.02</v>
      </c>
      <c r="L1030" s="33">
        <v>0.02</v>
      </c>
      <c r="M1030" s="33">
        <v>4.3</v>
      </c>
      <c r="N1030" s="33">
        <v>1.06</v>
      </c>
      <c r="O1030" s="33">
        <v>15.8</v>
      </c>
      <c r="P1030" s="33">
        <v>69</v>
      </c>
      <c r="Q1030" s="33">
        <v>1.9</v>
      </c>
      <c r="R1030" s="33" t="s">
        <v>1341</v>
      </c>
      <c r="S1030" s="32"/>
      <c r="T1030" s="33">
        <v>25</v>
      </c>
      <c r="U1030" s="35">
        <v>70</v>
      </c>
    </row>
    <row r="1031" spans="1:21">
      <c r="A1031" s="50" t="s">
        <v>1361</v>
      </c>
      <c r="B1031" s="32"/>
      <c r="C1031" s="33">
        <v>67</v>
      </c>
      <c r="D1031" s="33">
        <v>122</v>
      </c>
      <c r="E1031" s="33">
        <v>74.599999999999994</v>
      </c>
      <c r="F1031" s="48">
        <v>18.8</v>
      </c>
      <c r="G1031" s="48">
        <v>5</v>
      </c>
      <c r="H1031" s="32"/>
      <c r="I1031" s="48">
        <v>0.5</v>
      </c>
      <c r="J1031" s="33">
        <v>22</v>
      </c>
      <c r="K1031" s="33">
        <v>0.06</v>
      </c>
      <c r="L1031" s="33">
        <v>7.0000000000000007E-2</v>
      </c>
      <c r="M1031" s="33">
        <v>3</v>
      </c>
      <c r="N1031" s="33">
        <v>1.7</v>
      </c>
      <c r="O1031" s="33">
        <v>95.8</v>
      </c>
      <c r="P1031" s="33">
        <v>28</v>
      </c>
      <c r="Q1031" s="33">
        <v>0.7</v>
      </c>
      <c r="R1031" s="33" t="s">
        <v>1341</v>
      </c>
      <c r="S1031" s="32"/>
      <c r="T1031" s="33">
        <v>25</v>
      </c>
      <c r="U1031" s="35">
        <v>71</v>
      </c>
    </row>
    <row r="1032" spans="1:21">
      <c r="A1032" s="50" t="s">
        <v>1362</v>
      </c>
      <c r="B1032" s="32"/>
      <c r="C1032" s="33">
        <v>55</v>
      </c>
      <c r="D1032" s="33">
        <v>105</v>
      </c>
      <c r="E1032" s="33">
        <v>76.099999999999994</v>
      </c>
      <c r="F1032" s="48">
        <v>18</v>
      </c>
      <c r="G1032" s="48">
        <v>2.8</v>
      </c>
      <c r="H1032" s="32"/>
      <c r="I1032" s="48">
        <v>1.9</v>
      </c>
      <c r="J1032" s="33">
        <v>6</v>
      </c>
      <c r="K1032" s="33">
        <v>0.03</v>
      </c>
      <c r="L1032" s="33">
        <v>7.0000000000000007E-2</v>
      </c>
      <c r="M1032" s="33">
        <v>4.9000000000000004</v>
      </c>
      <c r="N1032" s="33">
        <v>0.7</v>
      </c>
      <c r="O1032" s="33">
        <v>163.9</v>
      </c>
      <c r="P1032" s="33">
        <v>160</v>
      </c>
      <c r="Q1032" s="33">
        <v>1.2</v>
      </c>
      <c r="R1032" s="33" t="s">
        <v>1341</v>
      </c>
      <c r="S1032" s="32"/>
      <c r="T1032" s="33">
        <v>25</v>
      </c>
      <c r="U1032" s="35">
        <v>120</v>
      </c>
    </row>
    <row r="1033" spans="1:21">
      <c r="A1033" s="50" t="s">
        <v>1363</v>
      </c>
      <c r="B1033" s="32"/>
      <c r="C1033" s="33">
        <v>63</v>
      </c>
      <c r="D1033" s="33">
        <v>133</v>
      </c>
      <c r="E1033" s="33">
        <v>74</v>
      </c>
      <c r="F1033" s="48">
        <v>18.399999999999999</v>
      </c>
      <c r="G1033" s="48">
        <v>7</v>
      </c>
      <c r="H1033" s="32"/>
      <c r="I1033" s="48">
        <v>0</v>
      </c>
      <c r="J1033" s="32"/>
      <c r="K1033" s="33">
        <v>0.04</v>
      </c>
      <c r="L1033" s="33">
        <v>0.09</v>
      </c>
      <c r="M1033" s="33">
        <v>3.6</v>
      </c>
      <c r="N1033" s="33">
        <v>1.0900000000000001</v>
      </c>
      <c r="O1033" s="33">
        <v>101.9</v>
      </c>
      <c r="P1033" s="33">
        <v>94</v>
      </c>
      <c r="Q1033" s="33">
        <v>0.9</v>
      </c>
      <c r="R1033" s="33" t="s">
        <v>1341</v>
      </c>
      <c r="S1033" s="32"/>
      <c r="T1033" s="33">
        <v>25</v>
      </c>
      <c r="U1033" s="35">
        <v>166</v>
      </c>
    </row>
    <row r="1034" spans="1:21">
      <c r="A1034" s="50" t="s">
        <v>1364</v>
      </c>
      <c r="B1034" s="33" t="s">
        <v>1725</v>
      </c>
      <c r="C1034" s="33">
        <v>52</v>
      </c>
      <c r="D1034" s="33">
        <v>124</v>
      </c>
      <c r="E1034" s="33">
        <v>71.599999999999994</v>
      </c>
      <c r="F1034" s="48">
        <v>17.8</v>
      </c>
      <c r="G1034" s="48">
        <v>2.7</v>
      </c>
      <c r="H1034" s="32"/>
      <c r="I1034" s="48">
        <v>7.1</v>
      </c>
      <c r="J1034" s="32"/>
      <c r="K1034" s="33">
        <v>0.01</v>
      </c>
      <c r="L1034" s="33">
        <v>0.06</v>
      </c>
      <c r="M1034" s="33">
        <v>3.7</v>
      </c>
      <c r="N1034" s="33">
        <v>1.48</v>
      </c>
      <c r="O1034" s="33">
        <v>250.4</v>
      </c>
      <c r="P1034" s="33">
        <v>59</v>
      </c>
      <c r="Q1034" s="33">
        <v>6.4</v>
      </c>
      <c r="R1034" s="33" t="s">
        <v>1341</v>
      </c>
      <c r="S1034" s="32"/>
      <c r="T1034" s="33">
        <v>25</v>
      </c>
      <c r="U1034" s="35">
        <v>90</v>
      </c>
    </row>
    <row r="1035" spans="1:21">
      <c r="A1035" s="50" t="s">
        <v>1365</v>
      </c>
      <c r="B1035" s="32"/>
      <c r="C1035" s="33">
        <v>67</v>
      </c>
      <c r="D1035" s="33">
        <v>89</v>
      </c>
      <c r="E1035" s="33">
        <v>78</v>
      </c>
      <c r="F1035" s="48">
        <v>18</v>
      </c>
      <c r="G1035" s="48">
        <v>1.4</v>
      </c>
      <c r="H1035" s="32"/>
      <c r="I1035" s="48">
        <v>1.2</v>
      </c>
      <c r="J1035" s="33">
        <v>50</v>
      </c>
      <c r="K1035" s="33">
        <v>0.06</v>
      </c>
      <c r="L1035" s="33">
        <v>0.98</v>
      </c>
      <c r="M1035" s="33">
        <v>3.7</v>
      </c>
      <c r="N1035" s="33">
        <v>1.34</v>
      </c>
      <c r="O1035" s="33">
        <v>70.2</v>
      </c>
      <c r="P1035" s="33">
        <v>42</v>
      </c>
      <c r="Q1035" s="33">
        <v>2.5</v>
      </c>
      <c r="R1035" s="33" t="s">
        <v>1341</v>
      </c>
      <c r="S1035" s="32"/>
      <c r="T1035" s="33">
        <v>25</v>
      </c>
      <c r="U1035" s="35">
        <v>126</v>
      </c>
    </row>
    <row r="1036" spans="1:21">
      <c r="A1036" s="50" t="s">
        <v>1366</v>
      </c>
      <c r="B1036" s="33" t="s">
        <v>1627</v>
      </c>
      <c r="C1036" s="33">
        <v>88</v>
      </c>
      <c r="D1036" s="33">
        <v>61</v>
      </c>
      <c r="E1036" s="33">
        <v>85.2</v>
      </c>
      <c r="F1036" s="48">
        <v>15.4</v>
      </c>
      <c r="G1036" s="48">
        <v>0.8</v>
      </c>
      <c r="H1036" s="32"/>
      <c r="I1036" s="48">
        <v>0</v>
      </c>
      <c r="J1036" s="32"/>
      <c r="K1036" s="33">
        <v>0.04</v>
      </c>
      <c r="L1036" s="33">
        <v>2.08</v>
      </c>
      <c r="M1036" s="33">
        <v>1.8</v>
      </c>
      <c r="N1036" s="33">
        <v>1.1000000000000001</v>
      </c>
      <c r="O1036" s="33">
        <v>131</v>
      </c>
      <c r="P1036" s="33">
        <v>57</v>
      </c>
      <c r="Q1036" s="33">
        <v>2.8</v>
      </c>
      <c r="R1036" s="33" t="s">
        <v>1341</v>
      </c>
      <c r="S1036" s="32"/>
      <c r="T1036" s="33">
        <v>25</v>
      </c>
      <c r="U1036" s="49"/>
    </row>
    <row r="1037" spans="1:21">
      <c r="A1037" s="50" t="s">
        <v>1367</v>
      </c>
      <c r="B1037" s="33" t="s">
        <v>1628</v>
      </c>
      <c r="C1037" s="33">
        <v>50</v>
      </c>
      <c r="D1037" s="33">
        <v>146</v>
      </c>
      <c r="E1037" s="33">
        <v>72.599999999999994</v>
      </c>
      <c r="F1037" s="48">
        <v>15.4</v>
      </c>
      <c r="G1037" s="48">
        <v>8</v>
      </c>
      <c r="H1037" s="32"/>
      <c r="I1037" s="48">
        <v>3.1</v>
      </c>
      <c r="J1037" s="33">
        <v>8</v>
      </c>
      <c r="K1037" s="33">
        <v>0.05</v>
      </c>
      <c r="L1037" s="33">
        <v>0.11</v>
      </c>
      <c r="M1037" s="33">
        <v>4.3</v>
      </c>
      <c r="N1037" s="33">
        <v>0.09</v>
      </c>
      <c r="O1037" s="33">
        <v>45.5</v>
      </c>
      <c r="P1037" s="33">
        <v>18</v>
      </c>
      <c r="Q1037" s="33">
        <v>0.6</v>
      </c>
      <c r="R1037" s="33" t="s">
        <v>1341</v>
      </c>
      <c r="S1037" s="32"/>
      <c r="T1037" s="33">
        <v>25</v>
      </c>
      <c r="U1037" s="35">
        <v>53</v>
      </c>
    </row>
    <row r="1038" spans="1:21">
      <c r="A1038" s="50" t="s">
        <v>1368</v>
      </c>
      <c r="B1038" s="33" t="s">
        <v>1643</v>
      </c>
      <c r="C1038" s="33">
        <v>80</v>
      </c>
      <c r="D1038" s="33">
        <v>137</v>
      </c>
      <c r="E1038" s="33">
        <v>68.599999999999994</v>
      </c>
      <c r="F1038" s="48">
        <v>22.7</v>
      </c>
      <c r="G1038" s="48">
        <v>3.3</v>
      </c>
      <c r="H1038" s="32"/>
      <c r="I1038" s="48">
        <v>4.0999999999999996</v>
      </c>
      <c r="J1038" s="32"/>
      <c r="K1038" s="33">
        <v>0.05</v>
      </c>
      <c r="L1038" s="33">
        <v>0.02</v>
      </c>
      <c r="M1038" s="32"/>
      <c r="N1038" s="33">
        <v>0.27</v>
      </c>
      <c r="O1038" s="33">
        <v>48.3</v>
      </c>
      <c r="P1038" s="33">
        <v>27</v>
      </c>
      <c r="Q1038" s="33">
        <v>0.6</v>
      </c>
      <c r="R1038" s="33" t="s">
        <v>1341</v>
      </c>
      <c r="S1038" s="32"/>
      <c r="T1038" s="33">
        <v>25</v>
      </c>
      <c r="U1038" s="35">
        <v>73</v>
      </c>
    </row>
    <row r="1039" spans="1:21">
      <c r="A1039" s="50" t="s">
        <v>1369</v>
      </c>
      <c r="B1039" s="33" t="s">
        <v>1624</v>
      </c>
      <c r="C1039" s="33">
        <v>63</v>
      </c>
      <c r="D1039" s="33">
        <v>117</v>
      </c>
      <c r="E1039" s="33">
        <v>79.900000000000006</v>
      </c>
      <c r="F1039" s="48">
        <v>15.6</v>
      </c>
      <c r="G1039" s="48">
        <v>6.1</v>
      </c>
      <c r="H1039" s="32"/>
      <c r="I1039" s="48">
        <v>0</v>
      </c>
      <c r="J1039" s="32"/>
      <c r="K1039" s="33">
        <v>0.01</v>
      </c>
      <c r="L1039" s="33">
        <v>0.25</v>
      </c>
      <c r="M1039" s="33">
        <v>0.9</v>
      </c>
      <c r="N1039" s="33">
        <v>2.5099999999999998</v>
      </c>
      <c r="O1039" s="32"/>
      <c r="P1039" s="32"/>
      <c r="Q1039" s="32"/>
      <c r="R1039" s="33" t="s">
        <v>1341</v>
      </c>
      <c r="S1039" s="32"/>
      <c r="T1039" s="33">
        <v>25</v>
      </c>
      <c r="U1039" s="35">
        <v>34</v>
      </c>
    </row>
    <row r="1040" spans="1:21">
      <c r="A1040" s="50" t="s">
        <v>1370</v>
      </c>
      <c r="B1040" s="33" t="s">
        <v>1730</v>
      </c>
      <c r="C1040" s="33">
        <v>80</v>
      </c>
      <c r="D1040" s="33">
        <v>126</v>
      </c>
      <c r="E1040" s="33">
        <v>73.900000000000006</v>
      </c>
      <c r="F1040" s="48">
        <v>19.5</v>
      </c>
      <c r="G1040" s="48">
        <v>6</v>
      </c>
      <c r="H1040" s="32"/>
      <c r="I1040" s="48">
        <v>0</v>
      </c>
      <c r="J1040" s="32"/>
      <c r="K1040" s="32"/>
      <c r="L1040" s="32"/>
      <c r="M1040" s="32"/>
      <c r="N1040" s="32"/>
      <c r="O1040" s="32"/>
      <c r="P1040" s="32"/>
      <c r="Q1040" s="32"/>
      <c r="R1040" s="33" t="s">
        <v>1341</v>
      </c>
      <c r="S1040" s="32"/>
      <c r="T1040" s="33">
        <v>25</v>
      </c>
      <c r="U1040" s="49"/>
    </row>
    <row r="1041" spans="1:21">
      <c r="A1041" s="50" t="s">
        <v>1371</v>
      </c>
      <c r="B1041" s="33" t="s">
        <v>1628</v>
      </c>
      <c r="C1041" s="33">
        <v>40</v>
      </c>
      <c r="D1041" s="33">
        <v>100</v>
      </c>
      <c r="E1041" s="33">
        <v>77.099999999999994</v>
      </c>
      <c r="F1041" s="48">
        <v>18.600000000000001</v>
      </c>
      <c r="G1041" s="48">
        <v>2.9</v>
      </c>
      <c r="H1041" s="32"/>
      <c r="I1041" s="48">
        <v>0</v>
      </c>
      <c r="J1041" s="33">
        <v>20</v>
      </c>
      <c r="K1041" s="33">
        <v>0.01</v>
      </c>
      <c r="L1041" s="33">
        <v>0.03</v>
      </c>
      <c r="M1041" s="33">
        <v>4.8</v>
      </c>
      <c r="N1041" s="33">
        <v>0.61</v>
      </c>
      <c r="O1041" s="33">
        <v>118</v>
      </c>
      <c r="P1041" s="33">
        <v>102</v>
      </c>
      <c r="Q1041" s="33">
        <v>1.4</v>
      </c>
      <c r="R1041" s="33" t="s">
        <v>1341</v>
      </c>
      <c r="S1041" s="32"/>
      <c r="T1041" s="33">
        <v>25</v>
      </c>
      <c r="U1041" s="35">
        <v>54</v>
      </c>
    </row>
    <row r="1042" spans="1:21">
      <c r="A1042" s="50" t="s">
        <v>1372</v>
      </c>
      <c r="B1042" s="33" t="s">
        <v>1627</v>
      </c>
      <c r="C1042" s="33">
        <v>79</v>
      </c>
      <c r="D1042" s="33">
        <v>106</v>
      </c>
      <c r="E1042" s="33">
        <v>77.5</v>
      </c>
      <c r="F1042" s="48">
        <v>13.2</v>
      </c>
      <c r="G1042" s="48">
        <v>5.5</v>
      </c>
      <c r="H1042" s="32"/>
      <c r="I1042" s="48">
        <v>0.8</v>
      </c>
      <c r="J1042" s="33">
        <v>15</v>
      </c>
      <c r="K1042" s="32"/>
      <c r="L1042" s="33">
        <v>0.08</v>
      </c>
      <c r="M1042" s="33">
        <v>1</v>
      </c>
      <c r="N1042" s="33">
        <v>0.84</v>
      </c>
      <c r="O1042" s="33">
        <v>53.1</v>
      </c>
      <c r="P1042" s="33">
        <v>114</v>
      </c>
      <c r="Q1042" s="33">
        <v>1.7</v>
      </c>
      <c r="R1042" s="33" t="s">
        <v>1341</v>
      </c>
      <c r="S1042" s="32"/>
      <c r="T1042" s="33">
        <v>25</v>
      </c>
      <c r="U1042" s="35">
        <v>93</v>
      </c>
    </row>
    <row r="1043" spans="1:21">
      <c r="A1043" s="50" t="s">
        <v>1373</v>
      </c>
      <c r="B1043" s="32"/>
      <c r="C1043" s="33">
        <v>90</v>
      </c>
      <c r="D1043" s="33">
        <v>124</v>
      </c>
      <c r="E1043" s="33">
        <v>72.7</v>
      </c>
      <c r="F1043" s="48">
        <v>15.5</v>
      </c>
      <c r="G1043" s="48">
        <v>5.0999999999999996</v>
      </c>
      <c r="H1043" s="32"/>
      <c r="I1043" s="48">
        <v>4</v>
      </c>
      <c r="J1043" s="33">
        <v>14</v>
      </c>
      <c r="K1043" s="33">
        <v>0.06</v>
      </c>
      <c r="L1043" s="33">
        <v>0.06</v>
      </c>
      <c r="M1043" s="33">
        <v>0.9</v>
      </c>
      <c r="N1043" s="33">
        <v>0.74</v>
      </c>
      <c r="O1043" s="33">
        <v>38.5</v>
      </c>
      <c r="P1043" s="33">
        <v>78</v>
      </c>
      <c r="Q1043" s="33">
        <v>1.6</v>
      </c>
      <c r="R1043" s="33" t="s">
        <v>1341</v>
      </c>
      <c r="S1043" s="32"/>
      <c r="T1043" s="33">
        <v>25</v>
      </c>
      <c r="U1043" s="49"/>
    </row>
    <row r="1044" spans="1:21">
      <c r="A1044" s="50" t="s">
        <v>1374</v>
      </c>
      <c r="B1044" s="32"/>
      <c r="C1044" s="33">
        <v>54</v>
      </c>
      <c r="D1044" s="33">
        <v>108</v>
      </c>
      <c r="E1044" s="33">
        <v>75.400000000000006</v>
      </c>
      <c r="F1044" s="48">
        <v>17.100000000000001</v>
      </c>
      <c r="G1044" s="48">
        <v>2.7</v>
      </c>
      <c r="H1044" s="32"/>
      <c r="I1044" s="48">
        <v>3.8</v>
      </c>
      <c r="J1044" s="33">
        <v>17</v>
      </c>
      <c r="K1044" s="33">
        <v>0.04</v>
      </c>
      <c r="L1044" s="33">
        <v>0.09</v>
      </c>
      <c r="M1044" s="33">
        <v>2.5</v>
      </c>
      <c r="N1044" s="33">
        <v>0.68</v>
      </c>
      <c r="O1044" s="33">
        <v>41.2</v>
      </c>
      <c r="P1044" s="33">
        <v>79</v>
      </c>
      <c r="Q1044" s="33">
        <v>1.3</v>
      </c>
      <c r="R1044" s="33" t="s">
        <v>1341</v>
      </c>
      <c r="S1044" s="32"/>
      <c r="T1044" s="33">
        <v>25</v>
      </c>
      <c r="U1044" s="35">
        <v>130</v>
      </c>
    </row>
    <row r="1045" spans="1:21">
      <c r="A1045" s="50" t="s">
        <v>1375</v>
      </c>
      <c r="B1045" s="33" t="s">
        <v>1655</v>
      </c>
      <c r="C1045" s="33">
        <v>56</v>
      </c>
      <c r="D1045" s="33">
        <v>134</v>
      </c>
      <c r="E1045" s="33">
        <v>70.3</v>
      </c>
      <c r="F1045" s="48">
        <v>19.600000000000001</v>
      </c>
      <c r="G1045" s="48">
        <v>4.2</v>
      </c>
      <c r="H1045" s="32"/>
      <c r="I1045" s="48">
        <v>4.5</v>
      </c>
      <c r="J1045" s="32"/>
      <c r="K1045" s="33">
        <v>0.01</v>
      </c>
      <c r="L1045" s="33">
        <v>0.04</v>
      </c>
      <c r="M1045" s="33">
        <v>2.4</v>
      </c>
      <c r="N1045" s="32"/>
      <c r="O1045" s="33">
        <v>47.7</v>
      </c>
      <c r="P1045" s="33">
        <v>103</v>
      </c>
      <c r="Q1045" s="33">
        <v>2</v>
      </c>
      <c r="R1045" s="33" t="s">
        <v>1341</v>
      </c>
      <c r="S1045" s="32"/>
      <c r="T1045" s="33">
        <v>25</v>
      </c>
      <c r="U1045" s="49"/>
    </row>
    <row r="1046" spans="1:21">
      <c r="A1046" s="50" t="s">
        <v>1376</v>
      </c>
      <c r="B1046" s="32"/>
      <c r="C1046" s="33">
        <v>71</v>
      </c>
      <c r="D1046" s="33">
        <v>159</v>
      </c>
      <c r="E1046" s="33">
        <v>71.900000000000006</v>
      </c>
      <c r="F1046" s="48">
        <v>20.7</v>
      </c>
      <c r="G1046" s="48">
        <v>8.5</v>
      </c>
      <c r="H1046" s="32"/>
      <c r="I1046" s="48">
        <v>0</v>
      </c>
      <c r="J1046" s="32"/>
      <c r="K1046" s="32"/>
      <c r="L1046" s="33">
        <v>0.02</v>
      </c>
      <c r="M1046" s="32"/>
      <c r="N1046" s="33">
        <v>1.83</v>
      </c>
      <c r="O1046" s="33">
        <v>47.8</v>
      </c>
      <c r="P1046" s="33">
        <v>39</v>
      </c>
      <c r="Q1046" s="33">
        <v>1.3</v>
      </c>
      <c r="R1046" s="33" t="s">
        <v>1341</v>
      </c>
      <c r="S1046" s="32"/>
      <c r="T1046" s="33">
        <v>25</v>
      </c>
      <c r="U1046" s="35">
        <v>76</v>
      </c>
    </row>
    <row r="1047" spans="1:21">
      <c r="A1047" s="50" t="s">
        <v>1377</v>
      </c>
      <c r="B1047" s="32"/>
      <c r="C1047" s="33">
        <v>61</v>
      </c>
      <c r="D1047" s="33">
        <v>102</v>
      </c>
      <c r="E1047" s="33">
        <v>77.8</v>
      </c>
      <c r="F1047" s="48">
        <v>17.8</v>
      </c>
      <c r="G1047" s="48">
        <v>3.6</v>
      </c>
      <c r="H1047" s="32"/>
      <c r="I1047" s="48">
        <v>0</v>
      </c>
      <c r="J1047" s="33">
        <v>20</v>
      </c>
      <c r="K1047" s="33">
        <v>0.03</v>
      </c>
      <c r="L1047" s="33">
        <v>7.0000000000000007E-2</v>
      </c>
      <c r="M1047" s="33">
        <v>2.5</v>
      </c>
      <c r="N1047" s="33">
        <v>1.23</v>
      </c>
      <c r="O1047" s="33">
        <v>57.5</v>
      </c>
      <c r="P1047" s="33">
        <v>53</v>
      </c>
      <c r="Q1047" s="33">
        <v>1.4</v>
      </c>
      <c r="R1047" s="33" t="s">
        <v>1341</v>
      </c>
      <c r="S1047" s="32"/>
      <c r="T1047" s="33">
        <v>25</v>
      </c>
      <c r="U1047" s="35">
        <v>99</v>
      </c>
    </row>
    <row r="1048" spans="1:21">
      <c r="A1048" s="50" t="s">
        <v>1378</v>
      </c>
      <c r="B1048" s="32"/>
      <c r="C1048" s="33">
        <v>57</v>
      </c>
      <c r="D1048" s="33">
        <v>95</v>
      </c>
      <c r="E1048" s="33">
        <v>77.7</v>
      </c>
      <c r="F1048" s="48">
        <v>18.399999999999999</v>
      </c>
      <c r="G1048" s="48">
        <v>2.1</v>
      </c>
      <c r="H1048" s="32"/>
      <c r="I1048" s="48">
        <v>0.7</v>
      </c>
      <c r="J1048" s="33">
        <v>125</v>
      </c>
      <c r="K1048" s="33">
        <v>0.01</v>
      </c>
      <c r="L1048" s="33">
        <v>0.04</v>
      </c>
      <c r="M1048" s="33">
        <v>3</v>
      </c>
      <c r="N1048" s="33">
        <v>1.54</v>
      </c>
      <c r="O1048" s="33">
        <v>40.1</v>
      </c>
      <c r="P1048" s="33">
        <v>31</v>
      </c>
      <c r="Q1048" s="33">
        <v>0.9</v>
      </c>
      <c r="R1048" s="33" t="s">
        <v>1341</v>
      </c>
      <c r="S1048" s="32"/>
      <c r="T1048" s="33">
        <v>25</v>
      </c>
      <c r="U1048" s="35">
        <v>86</v>
      </c>
    </row>
    <row r="1049" spans="1:21">
      <c r="A1049" s="50" t="s">
        <v>1379</v>
      </c>
      <c r="B1049" s="33" t="s">
        <v>1628</v>
      </c>
      <c r="C1049" s="33">
        <v>100</v>
      </c>
      <c r="D1049" s="33">
        <v>399</v>
      </c>
      <c r="E1049" s="33">
        <v>27</v>
      </c>
      <c r="F1049" s="48">
        <v>30.7</v>
      </c>
      <c r="G1049" s="48">
        <v>26.9</v>
      </c>
      <c r="H1049" s="32"/>
      <c r="I1049" s="48">
        <v>8.5</v>
      </c>
      <c r="J1049" s="32"/>
      <c r="K1049" s="33">
        <v>0.04</v>
      </c>
      <c r="L1049" s="33">
        <v>0.09</v>
      </c>
      <c r="M1049" s="33">
        <v>2.2999999999999998</v>
      </c>
      <c r="N1049" s="33">
        <v>5.56</v>
      </c>
      <c r="O1049" s="33">
        <v>2310</v>
      </c>
      <c r="P1049" s="33">
        <v>598</v>
      </c>
      <c r="Q1049" s="33">
        <v>6.1</v>
      </c>
      <c r="R1049" s="33" t="s">
        <v>1341</v>
      </c>
      <c r="S1049" s="32"/>
      <c r="T1049" s="33">
        <v>25</v>
      </c>
      <c r="U1049" s="35">
        <v>162</v>
      </c>
    </row>
    <row r="1050" spans="1:21">
      <c r="A1050" s="50" t="s">
        <v>1380</v>
      </c>
      <c r="B1050" s="32"/>
      <c r="C1050" s="33">
        <v>54</v>
      </c>
      <c r="D1050" s="33">
        <v>109</v>
      </c>
      <c r="E1050" s="33">
        <v>76.7</v>
      </c>
      <c r="F1050" s="48">
        <v>17.600000000000001</v>
      </c>
      <c r="G1050" s="48">
        <v>4.0999999999999996</v>
      </c>
      <c r="H1050" s="32"/>
      <c r="I1050" s="48">
        <v>0.5</v>
      </c>
      <c r="J1050" s="33">
        <v>25</v>
      </c>
      <c r="K1050" s="33">
        <v>0.03</v>
      </c>
      <c r="L1050" s="33">
        <v>0.09</v>
      </c>
      <c r="M1050" s="33">
        <v>2.7</v>
      </c>
      <c r="N1050" s="33">
        <v>1.27</v>
      </c>
      <c r="O1050" s="33">
        <v>53.7</v>
      </c>
      <c r="P1050" s="33">
        <v>50</v>
      </c>
      <c r="Q1050" s="33">
        <v>1</v>
      </c>
      <c r="R1050" s="33" t="s">
        <v>1341</v>
      </c>
      <c r="S1050" s="32"/>
      <c r="T1050" s="33">
        <v>25</v>
      </c>
      <c r="U1050" s="35">
        <v>84</v>
      </c>
    </row>
    <row r="1051" spans="1:21">
      <c r="A1051" s="50" t="s">
        <v>1381</v>
      </c>
      <c r="B1051" s="33" t="s">
        <v>1635</v>
      </c>
      <c r="C1051" s="33">
        <v>53</v>
      </c>
      <c r="D1051" s="33">
        <v>77</v>
      </c>
      <c r="E1051" s="33">
        <v>80.900000000000006</v>
      </c>
      <c r="F1051" s="48">
        <v>16</v>
      </c>
      <c r="G1051" s="48">
        <v>1</v>
      </c>
      <c r="H1051" s="32"/>
      <c r="I1051" s="48">
        <v>1</v>
      </c>
      <c r="J1051" s="33">
        <v>7</v>
      </c>
      <c r="K1051" s="32"/>
      <c r="L1051" s="33">
        <v>0.28000000000000003</v>
      </c>
      <c r="M1051" s="33">
        <v>2.5</v>
      </c>
      <c r="N1051" s="33">
        <v>0.1</v>
      </c>
      <c r="O1051" s="33">
        <v>66.8</v>
      </c>
      <c r="P1051" s="33">
        <v>24</v>
      </c>
      <c r="Q1051" s="33">
        <v>1.1000000000000001</v>
      </c>
      <c r="R1051" s="33" t="s">
        <v>1341</v>
      </c>
      <c r="S1051" s="32"/>
      <c r="T1051" s="33">
        <v>25</v>
      </c>
      <c r="U1051" s="35">
        <v>54</v>
      </c>
    </row>
    <row r="1052" spans="1:21">
      <c r="A1052" s="50" t="s">
        <v>1382</v>
      </c>
      <c r="B1052" s="33" t="s">
        <v>1663</v>
      </c>
      <c r="C1052" s="33">
        <v>55</v>
      </c>
      <c r="D1052" s="33">
        <v>98</v>
      </c>
      <c r="E1052" s="33">
        <v>76</v>
      </c>
      <c r="F1052" s="48">
        <v>18.399999999999999</v>
      </c>
      <c r="G1052" s="48">
        <v>1.5</v>
      </c>
      <c r="H1052" s="32"/>
      <c r="I1052" s="48">
        <v>2.8</v>
      </c>
      <c r="J1052" s="32"/>
      <c r="K1052" s="33">
        <v>0.11</v>
      </c>
      <c r="L1052" s="33">
        <v>0.17</v>
      </c>
      <c r="M1052" s="33">
        <v>3.3</v>
      </c>
      <c r="N1052" s="33">
        <v>1.91</v>
      </c>
      <c r="O1052" s="33">
        <v>19.8</v>
      </c>
      <c r="P1052" s="33">
        <v>12</v>
      </c>
      <c r="Q1052" s="33">
        <v>0.9</v>
      </c>
      <c r="R1052" s="33" t="s">
        <v>1341</v>
      </c>
      <c r="S1052" s="32"/>
      <c r="T1052" s="33">
        <v>25</v>
      </c>
      <c r="U1052" s="35">
        <v>78</v>
      </c>
    </row>
    <row r="1053" spans="1:21">
      <c r="A1053" s="50" t="s">
        <v>1383</v>
      </c>
      <c r="B1053" s="32"/>
      <c r="C1053" s="33">
        <v>58</v>
      </c>
      <c r="D1053" s="33">
        <v>100</v>
      </c>
      <c r="E1053" s="33">
        <v>77.7</v>
      </c>
      <c r="F1053" s="48">
        <v>18.600000000000001</v>
      </c>
      <c r="G1053" s="48">
        <v>3.4</v>
      </c>
      <c r="H1053" s="32"/>
      <c r="I1053" s="48">
        <v>0</v>
      </c>
      <c r="J1053" s="33">
        <v>19</v>
      </c>
      <c r="K1053" s="33">
        <v>0.03</v>
      </c>
      <c r="L1053" s="33">
        <v>0.17</v>
      </c>
      <c r="M1053" s="33">
        <v>3.1</v>
      </c>
      <c r="N1053" s="33">
        <v>0.75</v>
      </c>
      <c r="O1053" s="33">
        <v>144.1</v>
      </c>
      <c r="P1053" s="33">
        <v>138</v>
      </c>
      <c r="Q1053" s="33">
        <v>2</v>
      </c>
      <c r="R1053" s="33" t="s">
        <v>1341</v>
      </c>
      <c r="S1053" s="32"/>
      <c r="T1053" s="33">
        <v>25</v>
      </c>
      <c r="U1053" s="35">
        <v>86</v>
      </c>
    </row>
    <row r="1054" spans="1:21">
      <c r="A1054" s="50" t="s">
        <v>1384</v>
      </c>
      <c r="B1054" s="32"/>
      <c r="C1054" s="33">
        <v>84</v>
      </c>
      <c r="D1054" s="33">
        <v>181</v>
      </c>
      <c r="E1054" s="33">
        <v>67.099999999999994</v>
      </c>
      <c r="F1054" s="48">
        <v>18.600000000000001</v>
      </c>
      <c r="G1054" s="48">
        <v>10.8</v>
      </c>
      <c r="H1054" s="32"/>
      <c r="I1054" s="48">
        <v>2.2999999999999998</v>
      </c>
      <c r="J1054" s="32"/>
      <c r="K1054" s="33">
        <v>0.02</v>
      </c>
      <c r="L1054" s="33">
        <v>0.02</v>
      </c>
      <c r="M1054" s="33">
        <v>3.8</v>
      </c>
      <c r="N1054" s="33">
        <v>3.6</v>
      </c>
      <c r="O1054" s="33">
        <v>58.8</v>
      </c>
      <c r="P1054" s="33">
        <v>42</v>
      </c>
      <c r="Q1054" s="33">
        <v>1.5</v>
      </c>
      <c r="R1054" s="33" t="s">
        <v>1341</v>
      </c>
      <c r="S1054" s="32"/>
      <c r="T1054" s="33">
        <v>25</v>
      </c>
      <c r="U1054" s="35">
        <v>177</v>
      </c>
    </row>
    <row r="1055" spans="1:21">
      <c r="A1055" s="50" t="s">
        <v>1385</v>
      </c>
      <c r="B1055" s="32"/>
      <c r="C1055" s="33">
        <v>63</v>
      </c>
      <c r="D1055" s="33">
        <v>113</v>
      </c>
      <c r="E1055" s="33">
        <v>76.7</v>
      </c>
      <c r="F1055" s="48">
        <v>18.899999999999999</v>
      </c>
      <c r="G1055" s="48">
        <v>5</v>
      </c>
      <c r="H1055" s="32"/>
      <c r="I1055" s="48">
        <v>0</v>
      </c>
      <c r="J1055" s="33">
        <v>25</v>
      </c>
      <c r="K1055" s="33">
        <v>0.02</v>
      </c>
      <c r="L1055" s="33">
        <v>0.06</v>
      </c>
      <c r="M1055" s="33">
        <v>2.1</v>
      </c>
      <c r="N1055" s="33">
        <v>0.81</v>
      </c>
      <c r="O1055" s="33">
        <v>106.1</v>
      </c>
      <c r="P1055" s="33">
        <v>34</v>
      </c>
      <c r="Q1055" s="33">
        <v>1.8</v>
      </c>
      <c r="R1055" s="33" t="s">
        <v>1341</v>
      </c>
      <c r="S1055" s="32"/>
      <c r="T1055" s="33">
        <v>25</v>
      </c>
      <c r="U1055" s="35">
        <v>88</v>
      </c>
    </row>
    <row r="1056" spans="1:21">
      <c r="A1056" s="50" t="s">
        <v>1386</v>
      </c>
      <c r="B1056" s="32"/>
      <c r="C1056" s="33">
        <v>76</v>
      </c>
      <c r="D1056" s="33">
        <v>82</v>
      </c>
      <c r="E1056" s="33">
        <v>79.3</v>
      </c>
      <c r="F1056" s="48">
        <v>20.2</v>
      </c>
      <c r="G1056" s="48">
        <v>0.9</v>
      </c>
      <c r="H1056" s="32"/>
      <c r="I1056" s="48">
        <v>0</v>
      </c>
      <c r="J1056" s="33">
        <v>33</v>
      </c>
      <c r="K1056" s="33">
        <v>0.01</v>
      </c>
      <c r="L1056" s="33">
        <v>0.05</v>
      </c>
      <c r="M1056" s="33">
        <v>3</v>
      </c>
      <c r="N1056" s="32"/>
      <c r="O1056" s="33">
        <v>54.8</v>
      </c>
      <c r="P1056" s="33">
        <v>21</v>
      </c>
      <c r="Q1056" s="33">
        <v>1.1000000000000001</v>
      </c>
      <c r="R1056" s="33" t="s">
        <v>1341</v>
      </c>
      <c r="S1056" s="32"/>
      <c r="T1056" s="33">
        <v>25</v>
      </c>
      <c r="U1056" s="35">
        <v>62</v>
      </c>
    </row>
    <row r="1057" spans="1:21">
      <c r="A1057" s="50" t="s">
        <v>1387</v>
      </c>
      <c r="B1057" s="32"/>
      <c r="C1057" s="33">
        <v>65</v>
      </c>
      <c r="D1057" s="33">
        <v>102</v>
      </c>
      <c r="E1057" s="33">
        <v>78</v>
      </c>
      <c r="F1057" s="48">
        <v>17.3</v>
      </c>
      <c r="G1057" s="48">
        <v>3.7</v>
      </c>
      <c r="H1057" s="32"/>
      <c r="I1057" s="48">
        <v>0</v>
      </c>
      <c r="J1057" s="32"/>
      <c r="K1057" s="33">
        <v>0.03</v>
      </c>
      <c r="L1057" s="33">
        <v>0.1</v>
      </c>
      <c r="M1057" s="33">
        <v>2.5</v>
      </c>
      <c r="N1057" s="33">
        <v>0.54</v>
      </c>
      <c r="O1057" s="33">
        <v>49.6</v>
      </c>
      <c r="P1057" s="33">
        <v>42</v>
      </c>
      <c r="Q1057" s="33">
        <v>2.1</v>
      </c>
      <c r="R1057" s="33" t="s">
        <v>1341</v>
      </c>
      <c r="S1057" s="32"/>
      <c r="T1057" s="33">
        <v>25</v>
      </c>
      <c r="U1057" s="35">
        <v>163</v>
      </c>
    </row>
    <row r="1058" spans="1:21">
      <c r="A1058" s="50" t="s">
        <v>1388</v>
      </c>
      <c r="B1058" s="32"/>
      <c r="C1058" s="33">
        <v>60</v>
      </c>
      <c r="D1058" s="33">
        <v>96</v>
      </c>
      <c r="E1058" s="33">
        <v>76.599999999999994</v>
      </c>
      <c r="F1058" s="48">
        <v>17.899999999999999</v>
      </c>
      <c r="G1058" s="48">
        <v>2</v>
      </c>
      <c r="H1058" s="32"/>
      <c r="I1058" s="48">
        <v>1.7</v>
      </c>
      <c r="J1058" s="33">
        <v>14</v>
      </c>
      <c r="K1058" s="33">
        <v>0.1</v>
      </c>
      <c r="L1058" s="33">
        <v>0.33</v>
      </c>
      <c r="M1058" s="33">
        <v>6.2</v>
      </c>
      <c r="N1058" s="33">
        <v>0.79</v>
      </c>
      <c r="O1058" s="33">
        <v>74.8</v>
      </c>
      <c r="P1058" s="33">
        <v>299</v>
      </c>
      <c r="Q1058" s="33">
        <v>2.9</v>
      </c>
      <c r="R1058" s="33" t="s">
        <v>1341</v>
      </c>
      <c r="S1058" s="32"/>
      <c r="T1058" s="33">
        <v>25</v>
      </c>
      <c r="U1058" s="35">
        <v>136</v>
      </c>
    </row>
    <row r="1059" spans="1:21">
      <c r="A1059" s="50" t="s">
        <v>1389</v>
      </c>
      <c r="B1059" s="33" t="s">
        <v>1637</v>
      </c>
      <c r="C1059" s="33">
        <v>68</v>
      </c>
      <c r="D1059" s="33">
        <v>105</v>
      </c>
      <c r="E1059" s="33">
        <v>75.900000000000006</v>
      </c>
      <c r="F1059" s="48">
        <v>20.8</v>
      </c>
      <c r="G1059" s="48">
        <v>3.2</v>
      </c>
      <c r="H1059" s="32"/>
      <c r="I1059" s="48">
        <v>0</v>
      </c>
      <c r="J1059" s="32"/>
      <c r="K1059" s="33">
        <v>0.11</v>
      </c>
      <c r="L1059" s="32"/>
      <c r="M1059" s="33">
        <v>4.5</v>
      </c>
      <c r="N1059" s="33">
        <v>0.5</v>
      </c>
      <c r="O1059" s="33">
        <v>66.7</v>
      </c>
      <c r="P1059" s="33">
        <v>55</v>
      </c>
      <c r="Q1059" s="33">
        <v>1</v>
      </c>
      <c r="R1059" s="33" t="s">
        <v>1341</v>
      </c>
      <c r="S1059" s="32"/>
      <c r="T1059" s="33">
        <v>25</v>
      </c>
      <c r="U1059" s="49"/>
    </row>
    <row r="1060" spans="1:21">
      <c r="A1060" s="50" t="s">
        <v>1390</v>
      </c>
      <c r="B1060" s="32"/>
      <c r="C1060" s="33">
        <v>63</v>
      </c>
      <c r="D1060" s="33">
        <v>116</v>
      </c>
      <c r="E1060" s="33">
        <v>73.900000000000006</v>
      </c>
      <c r="F1060" s="48">
        <v>20.100000000000001</v>
      </c>
      <c r="G1060" s="48">
        <v>4.2</v>
      </c>
      <c r="H1060" s="32"/>
      <c r="I1060" s="48">
        <v>0.2</v>
      </c>
      <c r="J1060" s="33">
        <v>42</v>
      </c>
      <c r="K1060" s="33">
        <v>0.03</v>
      </c>
      <c r="L1060" s="33">
        <v>7.0000000000000007E-2</v>
      </c>
      <c r="M1060" s="33">
        <v>2.9</v>
      </c>
      <c r="N1060" s="33">
        <v>0.81</v>
      </c>
      <c r="O1060" s="33">
        <v>47.4</v>
      </c>
      <c r="P1060" s="33">
        <v>31</v>
      </c>
      <c r="Q1060" s="33">
        <v>0.9</v>
      </c>
      <c r="R1060" s="33" t="s">
        <v>1341</v>
      </c>
      <c r="S1060" s="32"/>
      <c r="T1060" s="33">
        <v>25</v>
      </c>
      <c r="U1060" s="35">
        <v>108</v>
      </c>
    </row>
    <row r="1061" spans="1:21">
      <c r="A1061" s="50" t="s">
        <v>1391</v>
      </c>
      <c r="B1061" s="32"/>
      <c r="C1061" s="33">
        <v>56</v>
      </c>
      <c r="D1061" s="33">
        <v>110</v>
      </c>
      <c r="E1061" s="33">
        <v>75.099999999999994</v>
      </c>
      <c r="F1061" s="48">
        <v>22.2</v>
      </c>
      <c r="G1061" s="48">
        <v>3.2</v>
      </c>
      <c r="H1061" s="32"/>
      <c r="I1061" s="48">
        <v>0</v>
      </c>
      <c r="J1061" s="33">
        <v>21</v>
      </c>
      <c r="K1061" s="33">
        <v>0.01</v>
      </c>
      <c r="L1061" s="33">
        <v>0.05</v>
      </c>
      <c r="M1061" s="33">
        <v>3.1</v>
      </c>
      <c r="N1061" s="33">
        <v>0.57999999999999996</v>
      </c>
      <c r="O1061" s="33">
        <v>102.2</v>
      </c>
      <c r="P1061" s="33">
        <v>41</v>
      </c>
      <c r="Q1061" s="33">
        <v>0.9</v>
      </c>
      <c r="R1061" s="33" t="s">
        <v>1341</v>
      </c>
      <c r="S1061" s="32"/>
      <c r="T1061" s="33">
        <v>25</v>
      </c>
      <c r="U1061" s="35">
        <v>70</v>
      </c>
    </row>
    <row r="1062" spans="1:21">
      <c r="A1062" s="50" t="s">
        <v>1392</v>
      </c>
      <c r="B1062" s="32"/>
      <c r="C1062" s="33">
        <v>68</v>
      </c>
      <c r="D1062" s="33">
        <v>83</v>
      </c>
      <c r="E1062" s="33">
        <v>79.8</v>
      </c>
      <c r="F1062" s="48">
        <v>17.7</v>
      </c>
      <c r="G1062" s="48">
        <v>1.4</v>
      </c>
      <c r="H1062" s="32"/>
      <c r="I1062" s="48">
        <v>0.1</v>
      </c>
      <c r="J1062" s="33">
        <v>6</v>
      </c>
      <c r="K1062" s="33">
        <v>0.03</v>
      </c>
      <c r="L1062" s="33">
        <v>0.05</v>
      </c>
      <c r="M1062" s="33">
        <v>2.1</v>
      </c>
      <c r="N1062" s="33">
        <v>0.64</v>
      </c>
      <c r="O1062" s="33">
        <v>138.80000000000001</v>
      </c>
      <c r="P1062" s="33">
        <v>57</v>
      </c>
      <c r="Q1062" s="33">
        <v>1.5</v>
      </c>
      <c r="R1062" s="33" t="s">
        <v>1341</v>
      </c>
      <c r="S1062" s="32"/>
      <c r="T1062" s="33">
        <v>25</v>
      </c>
      <c r="U1062" s="35">
        <v>82</v>
      </c>
    </row>
    <row r="1063" spans="1:21">
      <c r="A1063" s="50" t="s">
        <v>1393</v>
      </c>
      <c r="B1063" s="33" t="s">
        <v>1713</v>
      </c>
      <c r="C1063" s="33">
        <v>67</v>
      </c>
      <c r="D1063" s="33">
        <v>88</v>
      </c>
      <c r="E1063" s="33">
        <v>78</v>
      </c>
      <c r="F1063" s="48">
        <v>19.8</v>
      </c>
      <c r="G1063" s="48">
        <v>1.1000000000000001</v>
      </c>
      <c r="H1063" s="32"/>
      <c r="I1063" s="48">
        <v>0</v>
      </c>
      <c r="J1063" s="32"/>
      <c r="K1063" s="33">
        <v>0.01</v>
      </c>
      <c r="L1063" s="33">
        <v>0.03</v>
      </c>
      <c r="M1063" s="33">
        <v>2</v>
      </c>
      <c r="N1063" s="33">
        <v>0.26</v>
      </c>
      <c r="O1063" s="33">
        <v>91.5</v>
      </c>
      <c r="P1063" s="33">
        <v>184</v>
      </c>
      <c r="Q1063" s="33">
        <v>1.4</v>
      </c>
      <c r="R1063" s="33" t="s">
        <v>1341</v>
      </c>
      <c r="S1063" s="32"/>
      <c r="T1063" s="33">
        <v>25</v>
      </c>
      <c r="U1063" s="35">
        <v>86</v>
      </c>
    </row>
    <row r="1064" spans="1:21">
      <c r="A1064" s="50" t="s">
        <v>1394</v>
      </c>
      <c r="B1064" s="33" t="s">
        <v>1637</v>
      </c>
      <c r="C1064" s="33">
        <v>72</v>
      </c>
      <c r="D1064" s="33">
        <v>122</v>
      </c>
      <c r="E1064" s="33">
        <v>73.5</v>
      </c>
      <c r="F1064" s="48">
        <v>20.8</v>
      </c>
      <c r="G1064" s="48">
        <v>4.2</v>
      </c>
      <c r="H1064" s="32"/>
      <c r="I1064" s="48">
        <v>0.4</v>
      </c>
      <c r="J1064" s="32"/>
      <c r="K1064" s="33">
        <v>0.04</v>
      </c>
      <c r="L1064" s="33">
        <v>0.05</v>
      </c>
      <c r="M1064" s="33">
        <v>2</v>
      </c>
      <c r="N1064" s="33">
        <v>0.91</v>
      </c>
      <c r="O1064" s="33">
        <v>118.4</v>
      </c>
      <c r="P1064" s="33">
        <v>117</v>
      </c>
      <c r="Q1064" s="33">
        <v>0.3</v>
      </c>
      <c r="R1064" s="33" t="s">
        <v>1341</v>
      </c>
      <c r="S1064" s="32"/>
      <c r="T1064" s="33">
        <v>25</v>
      </c>
      <c r="U1064" s="35">
        <v>86</v>
      </c>
    </row>
    <row r="1065" spans="1:21">
      <c r="A1065" s="50" t="s">
        <v>1395</v>
      </c>
      <c r="B1065" s="32"/>
      <c r="C1065" s="33">
        <v>66</v>
      </c>
      <c r="D1065" s="33">
        <v>155</v>
      </c>
      <c r="E1065" s="33">
        <v>69.099999999999994</v>
      </c>
      <c r="F1065" s="48">
        <v>19.899999999999999</v>
      </c>
      <c r="G1065" s="48">
        <v>7.4</v>
      </c>
      <c r="H1065" s="32"/>
      <c r="I1065" s="48">
        <v>2.2000000000000002</v>
      </c>
      <c r="J1065" s="33">
        <v>38</v>
      </c>
      <c r="K1065" s="33">
        <v>0.08</v>
      </c>
      <c r="L1065" s="33">
        <v>0.12</v>
      </c>
      <c r="M1065" s="33">
        <v>8.8000000000000007</v>
      </c>
      <c r="N1065" s="33">
        <v>0.55000000000000004</v>
      </c>
      <c r="O1065" s="33">
        <v>87.7</v>
      </c>
      <c r="P1065" s="33">
        <v>50</v>
      </c>
      <c r="Q1065" s="33">
        <v>1.5</v>
      </c>
      <c r="R1065" s="33" t="s">
        <v>1341</v>
      </c>
      <c r="S1065" s="32"/>
      <c r="T1065" s="33">
        <v>25</v>
      </c>
      <c r="U1065" s="35">
        <v>77</v>
      </c>
    </row>
    <row r="1066" spans="1:21">
      <c r="A1066" s="50" t="s">
        <v>1396</v>
      </c>
      <c r="B1066" s="32"/>
      <c r="C1066" s="33">
        <v>52</v>
      </c>
      <c r="D1066" s="33">
        <v>83</v>
      </c>
      <c r="E1066" s="33">
        <v>78.900000000000006</v>
      </c>
      <c r="F1066" s="48">
        <v>18.100000000000001</v>
      </c>
      <c r="G1066" s="48">
        <v>0.6</v>
      </c>
      <c r="H1066" s="32"/>
      <c r="I1066" s="48">
        <v>1.2</v>
      </c>
      <c r="J1066" s="33">
        <v>15</v>
      </c>
      <c r="K1066" s="33">
        <v>0.02</v>
      </c>
      <c r="L1066" s="33">
        <v>0.05</v>
      </c>
      <c r="M1066" s="33">
        <v>3</v>
      </c>
      <c r="N1066" s="33">
        <v>1.03</v>
      </c>
      <c r="O1066" s="33">
        <v>80.5</v>
      </c>
      <c r="P1066" s="33">
        <v>5.4</v>
      </c>
      <c r="Q1066" s="33">
        <v>0.9</v>
      </c>
      <c r="R1066" s="33" t="s">
        <v>1341</v>
      </c>
      <c r="S1066" s="32"/>
      <c r="T1066" s="33">
        <v>25</v>
      </c>
      <c r="U1066" s="35">
        <v>45</v>
      </c>
    </row>
    <row r="1067" spans="1:21">
      <c r="A1067" s="50" t="s">
        <v>1397</v>
      </c>
      <c r="B1067" s="32"/>
      <c r="C1067" s="33">
        <v>57</v>
      </c>
      <c r="D1067" s="33">
        <v>85</v>
      </c>
      <c r="E1067" s="33">
        <v>78.7</v>
      </c>
      <c r="F1067" s="48">
        <v>19.5</v>
      </c>
      <c r="G1067" s="48">
        <v>1.2</v>
      </c>
      <c r="H1067" s="32"/>
      <c r="I1067" s="48">
        <v>0</v>
      </c>
      <c r="J1067" s="33">
        <v>26</v>
      </c>
      <c r="K1067" s="33">
        <v>0.02</v>
      </c>
      <c r="L1067" s="33">
        <v>0.14000000000000001</v>
      </c>
      <c r="M1067" s="33">
        <v>2.5</v>
      </c>
      <c r="N1067" s="33">
        <v>0.97</v>
      </c>
      <c r="O1067" s="33">
        <v>48.8</v>
      </c>
      <c r="P1067" s="33">
        <v>152</v>
      </c>
      <c r="Q1067" s="33">
        <v>0.7</v>
      </c>
      <c r="R1067" s="33" t="s">
        <v>1341</v>
      </c>
      <c r="S1067" s="32"/>
      <c r="T1067" s="33">
        <v>25</v>
      </c>
      <c r="U1067" s="35">
        <v>91</v>
      </c>
    </row>
    <row r="1068" spans="1:21">
      <c r="A1068" s="50" t="s">
        <v>1398</v>
      </c>
      <c r="B1068" s="32"/>
      <c r="C1068" s="33">
        <v>63</v>
      </c>
      <c r="D1068" s="33">
        <v>99</v>
      </c>
      <c r="E1068" s="33">
        <v>77.900000000000006</v>
      </c>
      <c r="F1068" s="48">
        <v>17.899999999999999</v>
      </c>
      <c r="G1068" s="48">
        <v>3</v>
      </c>
      <c r="H1068" s="32"/>
      <c r="I1068" s="48">
        <v>0.1</v>
      </c>
      <c r="J1068" s="32"/>
      <c r="K1068" s="33">
        <v>0.04</v>
      </c>
      <c r="L1068" s="33">
        <v>0.04</v>
      </c>
      <c r="M1068" s="33">
        <v>2.2999999999999998</v>
      </c>
      <c r="N1068" s="33">
        <v>1.19</v>
      </c>
      <c r="O1068" s="33">
        <v>103</v>
      </c>
      <c r="P1068" s="33">
        <v>78</v>
      </c>
      <c r="Q1068" s="33">
        <v>0.9</v>
      </c>
      <c r="R1068" s="33" t="s">
        <v>1341</v>
      </c>
      <c r="S1068" s="32"/>
      <c r="T1068" s="33">
        <v>25</v>
      </c>
      <c r="U1068" s="35">
        <v>74</v>
      </c>
    </row>
    <row r="1069" spans="1:21">
      <c r="A1069" s="50" t="s">
        <v>1399</v>
      </c>
      <c r="B1069" s="33" t="s">
        <v>1618</v>
      </c>
      <c r="C1069" s="33">
        <v>45</v>
      </c>
      <c r="D1069" s="33">
        <v>88</v>
      </c>
      <c r="E1069" s="33">
        <v>77.400000000000006</v>
      </c>
      <c r="F1069" s="48">
        <v>20.399999999999999</v>
      </c>
      <c r="G1069" s="48">
        <v>0.5</v>
      </c>
      <c r="H1069" s="32"/>
      <c r="I1069" s="48">
        <v>0.5</v>
      </c>
      <c r="J1069" s="33">
        <v>14</v>
      </c>
      <c r="K1069" s="33">
        <v>0.04</v>
      </c>
      <c r="L1069" s="33">
        <v>0.13</v>
      </c>
      <c r="M1069" s="33">
        <v>2.7</v>
      </c>
      <c r="N1069" s="32"/>
      <c r="O1069" s="33">
        <v>130.30000000000001</v>
      </c>
      <c r="P1069" s="33">
        <v>42</v>
      </c>
      <c r="Q1069" s="33">
        <v>0.5</v>
      </c>
      <c r="R1069" s="33" t="s">
        <v>1341</v>
      </c>
      <c r="S1069" s="32"/>
      <c r="T1069" s="33">
        <v>25</v>
      </c>
      <c r="U1069" s="35">
        <v>114</v>
      </c>
    </row>
    <row r="1070" spans="1:21">
      <c r="A1070" s="50" t="s">
        <v>1400</v>
      </c>
      <c r="B1070" s="33" t="s">
        <v>1627</v>
      </c>
      <c r="C1070" s="33">
        <v>59</v>
      </c>
      <c r="D1070" s="33">
        <v>90</v>
      </c>
      <c r="E1070" s="33">
        <v>81.099999999999994</v>
      </c>
      <c r="F1070" s="48">
        <v>20.8</v>
      </c>
      <c r="G1070" s="48">
        <v>0.7</v>
      </c>
      <c r="H1070" s="32"/>
      <c r="I1070" s="48">
        <v>0</v>
      </c>
      <c r="J1070" s="33">
        <v>27</v>
      </c>
      <c r="K1070" s="33">
        <v>0.01</v>
      </c>
      <c r="L1070" s="33">
        <v>0.11</v>
      </c>
      <c r="M1070" s="33">
        <v>3.6</v>
      </c>
      <c r="N1070" s="33">
        <v>0.79</v>
      </c>
      <c r="O1070" s="33">
        <v>130</v>
      </c>
      <c r="P1070" s="33">
        <v>22</v>
      </c>
      <c r="Q1070" s="33">
        <v>0.6</v>
      </c>
      <c r="R1070" s="33" t="s">
        <v>1341</v>
      </c>
      <c r="S1070" s="32"/>
      <c r="T1070" s="33">
        <v>25</v>
      </c>
      <c r="U1070" s="35">
        <v>48</v>
      </c>
    </row>
    <row r="1071" spans="1:21">
      <c r="A1071" s="50" t="s">
        <v>1401</v>
      </c>
      <c r="B1071" s="33" t="s">
        <v>1637</v>
      </c>
      <c r="C1071" s="33">
        <v>100</v>
      </c>
      <c r="D1071" s="33">
        <v>119</v>
      </c>
      <c r="E1071" s="33">
        <v>76.2</v>
      </c>
      <c r="F1071" s="48">
        <v>17.2</v>
      </c>
      <c r="G1071" s="48">
        <v>5.6</v>
      </c>
      <c r="H1071" s="32"/>
      <c r="I1071" s="48">
        <v>0</v>
      </c>
      <c r="J1071" s="32"/>
      <c r="K1071" s="33">
        <v>0.03</v>
      </c>
      <c r="L1071" s="33">
        <v>0.05</v>
      </c>
      <c r="M1071" s="33">
        <v>0.2</v>
      </c>
      <c r="N1071" s="33">
        <v>1.86</v>
      </c>
      <c r="O1071" s="33">
        <v>8.6</v>
      </c>
      <c r="P1071" s="33">
        <v>46</v>
      </c>
      <c r="Q1071" s="33">
        <v>0.9</v>
      </c>
      <c r="R1071" s="33" t="s">
        <v>1341</v>
      </c>
      <c r="S1071" s="32"/>
      <c r="T1071" s="33">
        <v>25</v>
      </c>
      <c r="U1071" s="35">
        <v>361</v>
      </c>
    </row>
    <row r="1072" spans="1:21">
      <c r="A1072" s="50" t="s">
        <v>1402</v>
      </c>
      <c r="B1072" s="32"/>
      <c r="C1072" s="33">
        <v>61</v>
      </c>
      <c r="D1072" s="33">
        <v>100</v>
      </c>
      <c r="E1072" s="33">
        <v>76.5</v>
      </c>
      <c r="F1072" s="48">
        <v>15.3</v>
      </c>
      <c r="G1072" s="48">
        <v>2.2000000000000002</v>
      </c>
      <c r="H1072" s="32"/>
      <c r="I1072" s="48">
        <v>4.7</v>
      </c>
      <c r="J1072" s="33">
        <v>34</v>
      </c>
      <c r="K1072" s="33">
        <v>0.04</v>
      </c>
      <c r="L1072" s="33">
        <v>0.11</v>
      </c>
      <c r="M1072" s="33">
        <v>2.8</v>
      </c>
      <c r="N1072" s="33">
        <v>2.65</v>
      </c>
      <c r="O1072" s="33">
        <v>60.6</v>
      </c>
      <c r="P1072" s="33">
        <v>82</v>
      </c>
      <c r="Q1072" s="33">
        <v>0.8</v>
      </c>
      <c r="R1072" s="33" t="s">
        <v>1341</v>
      </c>
      <c r="S1072" s="32"/>
      <c r="T1072" s="33">
        <v>25</v>
      </c>
      <c r="U1072" s="35">
        <v>112</v>
      </c>
    </row>
    <row r="1073" spans="1:21">
      <c r="A1073" s="50" t="s">
        <v>1403</v>
      </c>
      <c r="B1073" s="32"/>
      <c r="C1073" s="33">
        <v>100</v>
      </c>
      <c r="D1073" s="33">
        <v>303</v>
      </c>
      <c r="E1073" s="33">
        <v>20.2</v>
      </c>
      <c r="F1073" s="48">
        <v>46.1</v>
      </c>
      <c r="G1073" s="48">
        <v>3.4</v>
      </c>
      <c r="H1073" s="32"/>
      <c r="I1073" s="48">
        <v>22</v>
      </c>
      <c r="J1073" s="32"/>
      <c r="K1073" s="33">
        <v>0.11</v>
      </c>
      <c r="L1073" s="33">
        <v>0.39</v>
      </c>
      <c r="M1073" s="33">
        <v>5</v>
      </c>
      <c r="N1073" s="33">
        <v>0.88</v>
      </c>
      <c r="O1073" s="33">
        <v>2320.6</v>
      </c>
      <c r="P1073" s="33">
        <v>106</v>
      </c>
      <c r="Q1073" s="33">
        <v>4.4000000000000004</v>
      </c>
      <c r="R1073" s="33" t="s">
        <v>1341</v>
      </c>
      <c r="S1073" s="32"/>
      <c r="T1073" s="33">
        <v>25</v>
      </c>
      <c r="U1073" s="35">
        <v>307</v>
      </c>
    </row>
    <row r="1074" spans="1:21">
      <c r="A1074" s="50" t="s">
        <v>1404</v>
      </c>
      <c r="B1074" s="33" t="s">
        <v>1624</v>
      </c>
      <c r="C1074" s="33">
        <v>100</v>
      </c>
      <c r="D1074" s="33">
        <v>252</v>
      </c>
      <c r="E1074" s="33">
        <v>49.4</v>
      </c>
      <c r="F1074" s="48">
        <v>10.9</v>
      </c>
      <c r="G1074" s="48">
        <v>16.8</v>
      </c>
      <c r="H1074" s="32"/>
      <c r="I1074" s="48">
        <v>14.4</v>
      </c>
      <c r="J1074" s="33">
        <v>111</v>
      </c>
      <c r="K1074" s="33">
        <v>0.33</v>
      </c>
      <c r="L1074" s="33">
        <v>0.19</v>
      </c>
      <c r="M1074" s="33">
        <v>0.5</v>
      </c>
      <c r="N1074" s="33">
        <v>12.25</v>
      </c>
      <c r="O1074" s="32"/>
      <c r="P1074" s="33">
        <v>23</v>
      </c>
      <c r="Q1074" s="33">
        <v>2.8</v>
      </c>
      <c r="R1074" s="33" t="s">
        <v>1341</v>
      </c>
      <c r="S1074" s="32"/>
      <c r="T1074" s="33">
        <v>25</v>
      </c>
      <c r="U1074" s="35">
        <v>486</v>
      </c>
    </row>
    <row r="1075" spans="1:21">
      <c r="A1075" s="50" t="s">
        <v>1405</v>
      </c>
      <c r="B1075" s="33" t="s">
        <v>1713</v>
      </c>
      <c r="C1075" s="33">
        <v>57</v>
      </c>
      <c r="D1075" s="33">
        <v>118</v>
      </c>
      <c r="E1075" s="33">
        <v>75.3</v>
      </c>
      <c r="F1075" s="48">
        <v>18.899999999999999</v>
      </c>
      <c r="G1075" s="48">
        <v>4.8</v>
      </c>
      <c r="H1075" s="32"/>
      <c r="I1075" s="48">
        <v>0</v>
      </c>
      <c r="J1075" s="32"/>
      <c r="K1075" s="33">
        <v>0.02</v>
      </c>
      <c r="L1075" s="33">
        <v>0.13</v>
      </c>
      <c r="M1075" s="33">
        <v>2.2999999999999998</v>
      </c>
      <c r="N1075" s="33">
        <v>3.34</v>
      </c>
      <c r="O1075" s="33">
        <v>71.400000000000006</v>
      </c>
      <c r="P1075" s="33">
        <v>19</v>
      </c>
      <c r="Q1075" s="33">
        <v>0.5</v>
      </c>
      <c r="R1075" s="33" t="s">
        <v>1341</v>
      </c>
      <c r="S1075" s="32"/>
      <c r="T1075" s="33">
        <v>25</v>
      </c>
      <c r="U1075" s="35">
        <v>99</v>
      </c>
    </row>
    <row r="1076" spans="1:21">
      <c r="A1076" s="50" t="s">
        <v>1406</v>
      </c>
      <c r="B1076" s="32"/>
      <c r="C1076" s="33">
        <v>57</v>
      </c>
      <c r="D1076" s="33">
        <v>99</v>
      </c>
      <c r="E1076" s="33">
        <v>77</v>
      </c>
      <c r="F1076" s="48">
        <v>18.600000000000001</v>
      </c>
      <c r="G1076" s="48">
        <v>2.6</v>
      </c>
      <c r="H1076" s="32"/>
      <c r="I1076" s="48">
        <v>0.2</v>
      </c>
      <c r="J1076" s="33">
        <v>206</v>
      </c>
      <c r="K1076" s="33">
        <v>0.08</v>
      </c>
      <c r="L1076" s="32"/>
      <c r="M1076" s="32"/>
      <c r="N1076" s="33">
        <v>3.55</v>
      </c>
      <c r="O1076" s="33">
        <v>110</v>
      </c>
      <c r="P1076" s="33">
        <v>34</v>
      </c>
      <c r="Q1076" s="32"/>
      <c r="R1076" s="33" t="s">
        <v>1341</v>
      </c>
      <c r="S1076" s="32"/>
      <c r="T1076" s="33">
        <v>25</v>
      </c>
      <c r="U1076" s="35">
        <v>102</v>
      </c>
    </row>
    <row r="1077" spans="1:21">
      <c r="A1077" s="50" t="s">
        <v>1407</v>
      </c>
      <c r="B1077" s="33" t="s">
        <v>1628</v>
      </c>
      <c r="C1077" s="33">
        <v>63</v>
      </c>
      <c r="D1077" s="33">
        <v>71</v>
      </c>
      <c r="E1077" s="33">
        <v>80.8</v>
      </c>
      <c r="F1077" s="48">
        <v>15</v>
      </c>
      <c r="G1077" s="48">
        <v>0.9</v>
      </c>
      <c r="H1077" s="32"/>
      <c r="I1077" s="48">
        <v>0.8</v>
      </c>
      <c r="J1077" s="33">
        <v>283</v>
      </c>
      <c r="K1077" s="33">
        <v>0.01</v>
      </c>
      <c r="L1077" s="33">
        <v>0.22</v>
      </c>
      <c r="M1077" s="33">
        <v>0.4</v>
      </c>
      <c r="N1077" s="32"/>
      <c r="O1077" s="33">
        <v>6.1</v>
      </c>
      <c r="P1077" s="33">
        <v>190</v>
      </c>
      <c r="Q1077" s="33">
        <v>50</v>
      </c>
      <c r="R1077" s="33" t="s">
        <v>991</v>
      </c>
      <c r="S1077" s="32"/>
      <c r="T1077" s="33">
        <v>25</v>
      </c>
      <c r="U1077" s="35">
        <v>148</v>
      </c>
    </row>
    <row r="1078" spans="1:21">
      <c r="A1078" s="50" t="s">
        <v>1408</v>
      </c>
      <c r="B1078" s="32"/>
      <c r="C1078" s="33">
        <v>86</v>
      </c>
      <c r="D1078" s="33">
        <v>84</v>
      </c>
      <c r="E1078" s="33">
        <v>78.099999999999994</v>
      </c>
      <c r="F1078" s="48">
        <v>16.399999999999999</v>
      </c>
      <c r="G1078" s="48">
        <v>2.4</v>
      </c>
      <c r="H1078" s="32"/>
      <c r="I1078" s="48">
        <v>0</v>
      </c>
      <c r="J1078" s="33">
        <v>48</v>
      </c>
      <c r="K1078" s="33">
        <v>0.04</v>
      </c>
      <c r="L1078" s="33">
        <v>0.03</v>
      </c>
      <c r="M1078" s="32"/>
      <c r="N1078" s="33">
        <v>5.33</v>
      </c>
      <c r="O1078" s="33">
        <v>138.80000000000001</v>
      </c>
      <c r="P1078" s="33">
        <v>325</v>
      </c>
      <c r="Q1078" s="33">
        <v>4</v>
      </c>
      <c r="R1078" s="33" t="s">
        <v>1033</v>
      </c>
      <c r="S1078" s="32"/>
      <c r="T1078" s="33">
        <v>10</v>
      </c>
      <c r="U1078" s="35">
        <v>240</v>
      </c>
    </row>
    <row r="1079" spans="1:21">
      <c r="A1079" s="50" t="s">
        <v>1409</v>
      </c>
      <c r="B1079" s="33" t="s">
        <v>1624</v>
      </c>
      <c r="C1079" s="33">
        <v>100</v>
      </c>
      <c r="D1079" s="33">
        <v>87</v>
      </c>
      <c r="E1079" s="33">
        <v>77</v>
      </c>
      <c r="F1079" s="48">
        <v>10.3</v>
      </c>
      <c r="G1079" s="48">
        <v>0.9</v>
      </c>
      <c r="H1079" s="32"/>
      <c r="I1079" s="48">
        <v>9.3000000000000007</v>
      </c>
      <c r="J1079" s="33">
        <v>102</v>
      </c>
      <c r="K1079" s="33">
        <v>0.04</v>
      </c>
      <c r="L1079" s="33">
        <v>0.12</v>
      </c>
      <c r="M1079" s="33">
        <v>2.2000000000000002</v>
      </c>
      <c r="N1079" s="33">
        <v>11.3</v>
      </c>
      <c r="O1079" s="32"/>
      <c r="P1079" s="33">
        <v>78</v>
      </c>
      <c r="Q1079" s="33">
        <v>8.8000000000000007</v>
      </c>
      <c r="R1079" s="33" t="s">
        <v>1033</v>
      </c>
      <c r="S1079" s="32"/>
      <c r="T1079" s="33">
        <v>10</v>
      </c>
      <c r="U1079" s="35">
        <v>116</v>
      </c>
    </row>
    <row r="1080" spans="1:21">
      <c r="A1080" s="50" t="s">
        <v>1410</v>
      </c>
      <c r="B1080" s="33" t="s">
        <v>1628</v>
      </c>
      <c r="C1080" s="33">
        <v>60</v>
      </c>
      <c r="D1080" s="33">
        <v>101</v>
      </c>
      <c r="E1080" s="33">
        <v>75.2</v>
      </c>
      <c r="F1080" s="48">
        <v>18.2</v>
      </c>
      <c r="G1080" s="48">
        <v>1.4</v>
      </c>
      <c r="H1080" s="32"/>
      <c r="I1080" s="48">
        <v>3.9</v>
      </c>
      <c r="J1080" s="32"/>
      <c r="K1080" s="33">
        <v>0.02</v>
      </c>
      <c r="L1080" s="33">
        <v>7.0000000000000007E-2</v>
      </c>
      <c r="M1080" s="33">
        <v>2.9</v>
      </c>
      <c r="N1080" s="33">
        <v>1.69</v>
      </c>
      <c r="O1080" s="33">
        <v>172</v>
      </c>
      <c r="P1080" s="33">
        <v>83</v>
      </c>
      <c r="Q1080" s="33">
        <v>2</v>
      </c>
      <c r="R1080" s="33" t="s">
        <v>1033</v>
      </c>
      <c r="S1080" s="32"/>
      <c r="T1080" s="33">
        <v>10</v>
      </c>
      <c r="U1080" s="35">
        <v>181</v>
      </c>
    </row>
    <row r="1081" spans="1:21">
      <c r="A1081" s="50" t="s">
        <v>1411</v>
      </c>
      <c r="B1081" s="33" t="s">
        <v>1618</v>
      </c>
      <c r="C1081" s="33">
        <v>46</v>
      </c>
      <c r="D1081" s="33">
        <v>90</v>
      </c>
      <c r="E1081" s="33">
        <v>77.599999999999994</v>
      </c>
      <c r="F1081" s="48">
        <v>18.899999999999999</v>
      </c>
      <c r="G1081" s="48">
        <v>1.1000000000000001</v>
      </c>
      <c r="H1081" s="32"/>
      <c r="I1081" s="48">
        <v>1</v>
      </c>
      <c r="J1081" s="32"/>
      <c r="K1081" s="32"/>
      <c r="L1081" s="33">
        <v>0.03</v>
      </c>
      <c r="M1081" s="33">
        <v>4.3</v>
      </c>
      <c r="N1081" s="33">
        <v>3.58</v>
      </c>
      <c r="O1081" s="33">
        <v>190</v>
      </c>
      <c r="P1081" s="33">
        <v>21</v>
      </c>
      <c r="Q1081" s="33">
        <v>1.3</v>
      </c>
      <c r="R1081" s="33" t="s">
        <v>1033</v>
      </c>
      <c r="S1081" s="32"/>
      <c r="T1081" s="33">
        <v>10</v>
      </c>
      <c r="U1081" s="35">
        <v>121</v>
      </c>
    </row>
    <row r="1082" spans="1:21">
      <c r="A1082" s="50" t="s">
        <v>1412</v>
      </c>
      <c r="B1082" s="33" t="s">
        <v>1713</v>
      </c>
      <c r="C1082" s="33">
        <v>57</v>
      </c>
      <c r="D1082" s="33">
        <v>85</v>
      </c>
      <c r="E1082" s="33">
        <v>79.8</v>
      </c>
      <c r="F1082" s="48">
        <v>13.4</v>
      </c>
      <c r="G1082" s="48">
        <v>1.8</v>
      </c>
      <c r="H1082" s="32"/>
      <c r="I1082" s="48">
        <v>3.8</v>
      </c>
      <c r="J1082" s="32"/>
      <c r="K1082" s="33">
        <v>0.01</v>
      </c>
      <c r="L1082" s="33">
        <v>0.04</v>
      </c>
      <c r="M1082" s="33">
        <v>4</v>
      </c>
      <c r="N1082" s="33">
        <v>1.55</v>
      </c>
      <c r="O1082" s="33">
        <v>119</v>
      </c>
      <c r="P1082" s="33">
        <v>75</v>
      </c>
      <c r="Q1082" s="33">
        <v>0.6</v>
      </c>
      <c r="R1082" s="33" t="s">
        <v>1033</v>
      </c>
      <c r="S1082" s="32"/>
      <c r="T1082" s="33">
        <v>10</v>
      </c>
      <c r="U1082" s="35">
        <v>273</v>
      </c>
    </row>
    <row r="1083" spans="1:21">
      <c r="A1083" s="50" t="s">
        <v>1413</v>
      </c>
      <c r="B1083" s="33" t="s">
        <v>1643</v>
      </c>
      <c r="C1083" s="33">
        <v>57</v>
      </c>
      <c r="D1083" s="33">
        <v>96</v>
      </c>
      <c r="E1083" s="33">
        <v>74</v>
      </c>
      <c r="F1083" s="48">
        <v>21.2</v>
      </c>
      <c r="G1083" s="48">
        <v>1.2</v>
      </c>
      <c r="H1083" s="32"/>
      <c r="I1083" s="48">
        <v>0</v>
      </c>
      <c r="J1083" s="33">
        <v>44</v>
      </c>
      <c r="K1083" s="33">
        <v>0.05</v>
      </c>
      <c r="L1083" s="33">
        <v>0.03</v>
      </c>
      <c r="M1083" s="32"/>
      <c r="N1083" s="33">
        <v>4.82</v>
      </c>
      <c r="O1083" s="33">
        <v>109</v>
      </c>
      <c r="P1083" s="33">
        <v>403</v>
      </c>
      <c r="Q1083" s="33">
        <v>3.4</v>
      </c>
      <c r="R1083" s="33" t="s">
        <v>1033</v>
      </c>
      <c r="S1083" s="32"/>
      <c r="T1083" s="33">
        <v>10</v>
      </c>
      <c r="U1083" s="35">
        <v>264</v>
      </c>
    </row>
    <row r="1084" spans="1:21">
      <c r="A1084" s="50" t="s">
        <v>1414</v>
      </c>
      <c r="B1084" s="33" t="s">
        <v>1637</v>
      </c>
      <c r="C1084" s="33">
        <v>32</v>
      </c>
      <c r="D1084" s="33">
        <v>81</v>
      </c>
      <c r="E1084" s="33">
        <v>80.599999999999994</v>
      </c>
      <c r="F1084" s="48">
        <v>11.6</v>
      </c>
      <c r="G1084" s="48">
        <v>1.7</v>
      </c>
      <c r="H1084" s="32"/>
      <c r="I1084" s="48">
        <v>4.8</v>
      </c>
      <c r="J1084" s="32"/>
      <c r="K1084" s="33">
        <v>0.04</v>
      </c>
      <c r="L1084" s="33">
        <v>0.04</v>
      </c>
      <c r="M1084" s="33">
        <v>0.9</v>
      </c>
      <c r="N1084" s="33">
        <v>3.18</v>
      </c>
      <c r="O1084" s="33">
        <v>136.6</v>
      </c>
      <c r="P1084" s="33">
        <v>22</v>
      </c>
      <c r="Q1084" s="33">
        <v>1.7</v>
      </c>
      <c r="R1084" s="33" t="s">
        <v>1033</v>
      </c>
      <c r="S1084" s="32"/>
      <c r="T1084" s="33">
        <v>10</v>
      </c>
      <c r="U1084" s="35">
        <v>177</v>
      </c>
    </row>
    <row r="1085" spans="1:21">
      <c r="A1085" s="50" t="s">
        <v>1415</v>
      </c>
      <c r="B1085" s="32"/>
      <c r="C1085" s="33">
        <v>100</v>
      </c>
      <c r="D1085" s="33">
        <v>195</v>
      </c>
      <c r="E1085" s="33">
        <v>37.4</v>
      </c>
      <c r="F1085" s="48">
        <v>43.7</v>
      </c>
      <c r="G1085" s="48">
        <v>2.6</v>
      </c>
      <c r="H1085" s="32"/>
      <c r="I1085" s="48">
        <v>0</v>
      </c>
      <c r="J1085" s="33">
        <v>21</v>
      </c>
      <c r="K1085" s="33">
        <v>0.01</v>
      </c>
      <c r="L1085" s="33">
        <v>0.12</v>
      </c>
      <c r="M1085" s="33">
        <v>5</v>
      </c>
      <c r="N1085" s="33">
        <v>1.46</v>
      </c>
      <c r="O1085" s="33">
        <v>4891.8999999999996</v>
      </c>
      <c r="P1085" s="33">
        <v>555</v>
      </c>
      <c r="Q1085" s="33">
        <v>11</v>
      </c>
      <c r="R1085" s="33" t="s">
        <v>1033</v>
      </c>
      <c r="S1085" s="32"/>
      <c r="T1085" s="33">
        <v>10</v>
      </c>
      <c r="U1085" s="35">
        <v>525</v>
      </c>
    </row>
    <row r="1086" spans="1:21">
      <c r="A1086" s="50" t="s">
        <v>1416</v>
      </c>
      <c r="B1086" s="33" t="s">
        <v>1637</v>
      </c>
      <c r="C1086" s="33">
        <v>100</v>
      </c>
      <c r="D1086" s="33">
        <v>100</v>
      </c>
      <c r="E1086" s="33">
        <v>58.4</v>
      </c>
      <c r="F1086" s="48">
        <v>15.2</v>
      </c>
      <c r="G1086" s="48">
        <v>4.3</v>
      </c>
      <c r="H1086" s="32"/>
      <c r="I1086" s="48">
        <v>0</v>
      </c>
      <c r="J1086" s="32"/>
      <c r="K1086" s="32"/>
      <c r="L1086" s="33">
        <v>0.28999999999999998</v>
      </c>
      <c r="M1086" s="33">
        <v>3.8</v>
      </c>
      <c r="N1086" s="33">
        <v>1.78</v>
      </c>
      <c r="O1086" s="33">
        <v>1790</v>
      </c>
      <c r="P1086" s="33">
        <v>667</v>
      </c>
      <c r="Q1086" s="33">
        <v>8.6999999999999993</v>
      </c>
      <c r="R1086" s="33" t="s">
        <v>1033</v>
      </c>
      <c r="S1086" s="32"/>
      <c r="T1086" s="33">
        <v>10</v>
      </c>
      <c r="U1086" s="35">
        <v>249</v>
      </c>
    </row>
    <row r="1087" spans="1:21">
      <c r="A1087" s="50" t="s">
        <v>1417</v>
      </c>
      <c r="B1087" s="32"/>
      <c r="C1087" s="33">
        <v>100</v>
      </c>
      <c r="D1087" s="33">
        <v>153</v>
      </c>
      <c r="E1087" s="33">
        <v>42.4</v>
      </c>
      <c r="F1087" s="48">
        <v>30.7</v>
      </c>
      <c r="G1087" s="48">
        <v>2.2000000000000002</v>
      </c>
      <c r="H1087" s="32"/>
      <c r="I1087" s="48">
        <v>2.5</v>
      </c>
      <c r="J1087" s="33">
        <v>19</v>
      </c>
      <c r="K1087" s="33">
        <v>0.02</v>
      </c>
      <c r="L1087" s="33">
        <v>0.14000000000000001</v>
      </c>
      <c r="M1087" s="33">
        <v>3.1</v>
      </c>
      <c r="N1087" s="33">
        <v>0.92</v>
      </c>
      <c r="O1087" s="33">
        <v>5057.7</v>
      </c>
      <c r="P1087" s="33">
        <v>991</v>
      </c>
      <c r="Q1087" s="33">
        <v>6.7</v>
      </c>
      <c r="R1087" s="33" t="s">
        <v>1033</v>
      </c>
      <c r="S1087" s="32"/>
      <c r="T1087" s="33">
        <v>10</v>
      </c>
      <c r="U1087" s="35">
        <v>428</v>
      </c>
    </row>
    <row r="1088" spans="1:21">
      <c r="A1088" s="50" t="s">
        <v>1418</v>
      </c>
      <c r="B1088" s="32"/>
      <c r="C1088" s="33">
        <v>55</v>
      </c>
      <c r="D1088" s="33">
        <v>95</v>
      </c>
      <c r="E1088" s="33">
        <v>77.099999999999994</v>
      </c>
      <c r="F1088" s="48">
        <v>13.8</v>
      </c>
      <c r="G1088" s="48">
        <v>2.2999999999999998</v>
      </c>
      <c r="H1088" s="32"/>
      <c r="I1088" s="48">
        <v>4.7</v>
      </c>
      <c r="J1088" s="33">
        <v>30</v>
      </c>
      <c r="K1088" s="33">
        <v>0.01</v>
      </c>
      <c r="L1088" s="33">
        <v>0.1</v>
      </c>
      <c r="M1088" s="33">
        <v>2.5</v>
      </c>
      <c r="N1088" s="33">
        <v>2.99</v>
      </c>
      <c r="O1088" s="33">
        <v>260</v>
      </c>
      <c r="P1088" s="33">
        <v>208</v>
      </c>
      <c r="Q1088" s="33">
        <v>1.6</v>
      </c>
      <c r="R1088" s="33" t="s">
        <v>1033</v>
      </c>
      <c r="S1088" s="32"/>
      <c r="T1088" s="33">
        <v>10</v>
      </c>
      <c r="U1088" s="35">
        <v>125</v>
      </c>
    </row>
    <row r="1089" spans="1:21">
      <c r="A1089" s="50" t="s">
        <v>1419</v>
      </c>
      <c r="B1089" s="32"/>
      <c r="C1089" s="33">
        <v>42</v>
      </c>
      <c r="D1089" s="33">
        <v>103</v>
      </c>
      <c r="E1089" s="33">
        <v>75.8</v>
      </c>
      <c r="F1089" s="48">
        <v>17.5</v>
      </c>
      <c r="G1089" s="48">
        <v>2.6</v>
      </c>
      <c r="H1089" s="32"/>
      <c r="I1089" s="48">
        <v>2.2999999999999998</v>
      </c>
      <c r="J1089" s="33">
        <v>389</v>
      </c>
      <c r="K1089" s="33">
        <v>0.06</v>
      </c>
      <c r="L1089" s="33">
        <v>0.28000000000000003</v>
      </c>
      <c r="M1089" s="33">
        <v>1.7</v>
      </c>
      <c r="N1089" s="33">
        <v>6.09</v>
      </c>
      <c r="O1089" s="33">
        <v>193.5</v>
      </c>
      <c r="P1089" s="33">
        <v>126</v>
      </c>
      <c r="Q1089" s="33">
        <v>2.9</v>
      </c>
      <c r="R1089" s="33" t="s">
        <v>1033</v>
      </c>
      <c r="S1089" s="32"/>
      <c r="T1089" s="33">
        <v>10</v>
      </c>
      <c r="U1089" s="35">
        <v>267</v>
      </c>
    </row>
    <row r="1090" spans="1:21">
      <c r="A1090" s="50" t="s">
        <v>1420</v>
      </c>
      <c r="B1090" s="33" t="s">
        <v>1666</v>
      </c>
      <c r="C1090" s="33">
        <v>43</v>
      </c>
      <c r="D1090" s="33">
        <v>80</v>
      </c>
      <c r="E1090" s="33">
        <v>79.8</v>
      </c>
      <c r="F1090" s="48">
        <v>14.6</v>
      </c>
      <c r="G1090" s="48">
        <v>1.6</v>
      </c>
      <c r="H1090" s="32"/>
      <c r="I1090" s="48">
        <v>1.7</v>
      </c>
      <c r="J1090" s="33">
        <v>402</v>
      </c>
      <c r="K1090" s="33">
        <v>0.02</v>
      </c>
      <c r="L1090" s="33">
        <v>0.39</v>
      </c>
      <c r="M1090" s="33">
        <v>2.2999999999999998</v>
      </c>
      <c r="N1090" s="33">
        <v>2.79</v>
      </c>
      <c r="O1090" s="33">
        <v>192.9</v>
      </c>
      <c r="P1090" s="33">
        <v>228</v>
      </c>
      <c r="Q1090" s="33">
        <v>0.9</v>
      </c>
      <c r="R1090" s="33" t="s">
        <v>1033</v>
      </c>
      <c r="S1090" s="32"/>
      <c r="T1090" s="33">
        <v>10</v>
      </c>
      <c r="U1090" s="35">
        <v>119</v>
      </c>
    </row>
    <row r="1091" spans="1:21">
      <c r="A1091" s="50" t="s">
        <v>1421</v>
      </c>
      <c r="B1091" s="32"/>
      <c r="C1091" s="33">
        <v>49</v>
      </c>
      <c r="D1091" s="33">
        <v>95</v>
      </c>
      <c r="E1091" s="33">
        <v>77.5</v>
      </c>
      <c r="F1091" s="48">
        <v>15.9</v>
      </c>
      <c r="G1091" s="48">
        <v>3.1</v>
      </c>
      <c r="H1091" s="32"/>
      <c r="I1091" s="48">
        <v>0.9</v>
      </c>
      <c r="J1091" s="33">
        <v>121</v>
      </c>
      <c r="K1091" s="33">
        <v>0.03</v>
      </c>
      <c r="L1091" s="33">
        <v>0.3</v>
      </c>
      <c r="M1091" s="33">
        <v>1.9</v>
      </c>
      <c r="N1091" s="33">
        <v>4.5599999999999996</v>
      </c>
      <c r="O1091" s="33">
        <v>481.4</v>
      </c>
      <c r="P1091" s="33">
        <v>280</v>
      </c>
      <c r="Q1091" s="33">
        <v>2.5</v>
      </c>
      <c r="R1091" s="33" t="s">
        <v>1033</v>
      </c>
      <c r="S1091" s="32"/>
      <c r="T1091" s="33">
        <v>10</v>
      </c>
      <c r="U1091" s="35">
        <v>142</v>
      </c>
    </row>
    <row r="1092" spans="1:21">
      <c r="A1092" s="50" t="s">
        <v>1422</v>
      </c>
      <c r="B1092" s="33" t="s">
        <v>1628</v>
      </c>
      <c r="C1092" s="33">
        <v>100</v>
      </c>
      <c r="D1092" s="33">
        <v>62</v>
      </c>
      <c r="E1092" s="33">
        <v>84.4</v>
      </c>
      <c r="F1092" s="48">
        <v>11.6</v>
      </c>
      <c r="G1092" s="48">
        <v>1.2</v>
      </c>
      <c r="H1092" s="32"/>
      <c r="I1092" s="48">
        <v>1.1000000000000001</v>
      </c>
      <c r="J1092" s="32"/>
      <c r="K1092" s="33">
        <v>0.03</v>
      </c>
      <c r="L1092" s="33">
        <v>0.09</v>
      </c>
      <c r="M1092" s="33">
        <v>4.3</v>
      </c>
      <c r="N1092" s="33">
        <v>2.91</v>
      </c>
      <c r="O1092" s="33">
        <v>270</v>
      </c>
      <c r="P1092" s="33">
        <v>231</v>
      </c>
      <c r="Q1092" s="33">
        <v>1.8</v>
      </c>
      <c r="R1092" s="33" t="s">
        <v>1033</v>
      </c>
      <c r="S1092" s="32"/>
      <c r="T1092" s="33">
        <v>10</v>
      </c>
      <c r="U1092" s="35">
        <v>65</v>
      </c>
    </row>
    <row r="1093" spans="1:21">
      <c r="A1093" s="50" t="s">
        <v>1423</v>
      </c>
      <c r="B1093" s="32"/>
      <c r="C1093" s="33">
        <v>100</v>
      </c>
      <c r="D1093" s="33">
        <v>899</v>
      </c>
      <c r="E1093" s="33">
        <v>0.1</v>
      </c>
      <c r="F1093" s="51"/>
      <c r="G1093" s="48">
        <v>99.9</v>
      </c>
      <c r="H1093" s="32"/>
      <c r="I1093" s="48">
        <v>0</v>
      </c>
      <c r="J1093" s="32"/>
      <c r="K1093" s="32"/>
      <c r="L1093" s="32"/>
      <c r="M1093" s="32"/>
      <c r="N1093" s="33">
        <v>60.89</v>
      </c>
      <c r="O1093" s="33">
        <v>7</v>
      </c>
      <c r="P1093" s="33">
        <v>9</v>
      </c>
      <c r="Q1093" s="33">
        <v>3.7</v>
      </c>
      <c r="R1093" s="33" t="s">
        <v>1424</v>
      </c>
      <c r="S1093" s="32"/>
      <c r="T1093" s="33">
        <v>5</v>
      </c>
      <c r="U1093" s="49"/>
    </row>
    <row r="1094" spans="1:21">
      <c r="A1094" s="50" t="s">
        <v>1425</v>
      </c>
      <c r="B1094" s="32"/>
      <c r="C1094" s="33">
        <v>100</v>
      </c>
      <c r="D1094" s="33">
        <v>899</v>
      </c>
      <c r="E1094" s="33">
        <v>0.1</v>
      </c>
      <c r="F1094" s="51"/>
      <c r="G1094" s="48">
        <v>99.9</v>
      </c>
      <c r="H1094" s="32"/>
      <c r="I1094" s="48">
        <v>0</v>
      </c>
      <c r="J1094" s="32"/>
      <c r="K1094" s="32"/>
      <c r="L1094" s="32"/>
      <c r="M1094" s="32"/>
      <c r="N1094" s="33">
        <v>27.9</v>
      </c>
      <c r="O1094" s="33">
        <v>0.7</v>
      </c>
      <c r="P1094" s="33">
        <v>5</v>
      </c>
      <c r="Q1094" s="33">
        <v>1.1000000000000001</v>
      </c>
      <c r="R1094" s="33" t="s">
        <v>1424</v>
      </c>
      <c r="S1094" s="32"/>
      <c r="T1094" s="33">
        <v>5</v>
      </c>
      <c r="U1094" s="49"/>
    </row>
    <row r="1095" spans="1:21">
      <c r="A1095" s="50" t="s">
        <v>1426</v>
      </c>
      <c r="B1095" s="32"/>
      <c r="C1095" s="33">
        <v>100</v>
      </c>
      <c r="D1095" s="33">
        <v>897</v>
      </c>
      <c r="E1095" s="33">
        <v>0.3</v>
      </c>
      <c r="F1095" s="51"/>
      <c r="G1095" s="48">
        <v>99.9</v>
      </c>
      <c r="H1095" s="32"/>
      <c r="I1095" s="48">
        <v>0</v>
      </c>
      <c r="J1095" s="32"/>
      <c r="K1095" s="32"/>
      <c r="L1095" s="32"/>
      <c r="M1095" s="32"/>
      <c r="N1095" s="33">
        <v>8.5500000000000007</v>
      </c>
      <c r="O1095" s="33">
        <v>1.5</v>
      </c>
      <c r="P1095" s="33">
        <v>15</v>
      </c>
      <c r="Q1095" s="33">
        <v>3.1</v>
      </c>
      <c r="R1095" s="33" t="s">
        <v>1424</v>
      </c>
      <c r="S1095" s="32"/>
      <c r="T1095" s="33">
        <v>5</v>
      </c>
      <c r="U1095" s="49"/>
    </row>
    <row r="1096" spans="1:21">
      <c r="A1096" s="50" t="s">
        <v>1427</v>
      </c>
      <c r="B1096" s="32"/>
      <c r="C1096" s="33">
        <v>100</v>
      </c>
      <c r="D1096" s="33">
        <v>899</v>
      </c>
      <c r="E1096" s="33">
        <v>0.1</v>
      </c>
      <c r="F1096" s="51"/>
      <c r="G1096" s="48">
        <v>99.9</v>
      </c>
      <c r="H1096" s="32"/>
      <c r="I1096" s="48">
        <v>0</v>
      </c>
      <c r="J1096" s="32"/>
      <c r="K1096" s="32"/>
      <c r="L1096" s="32"/>
      <c r="M1096" s="32"/>
      <c r="N1096" s="33">
        <v>93.08</v>
      </c>
      <c r="O1096" s="33">
        <v>4.9000000000000004</v>
      </c>
      <c r="P1096" s="33">
        <v>13</v>
      </c>
      <c r="Q1096" s="33">
        <v>2</v>
      </c>
      <c r="R1096" s="33" t="s">
        <v>1424</v>
      </c>
      <c r="S1096" s="32"/>
      <c r="T1096" s="33">
        <v>5</v>
      </c>
      <c r="U1096" s="49"/>
    </row>
    <row r="1097" spans="1:21">
      <c r="A1097" s="50" t="s">
        <v>1428</v>
      </c>
      <c r="B1097" s="32"/>
      <c r="C1097" s="33">
        <v>100</v>
      </c>
      <c r="D1097" s="33">
        <v>899</v>
      </c>
      <c r="E1097" s="33">
        <v>0.1</v>
      </c>
      <c r="F1097" s="51"/>
      <c r="G1097" s="48">
        <v>99.9</v>
      </c>
      <c r="H1097" s="32"/>
      <c r="I1097" s="48">
        <v>0</v>
      </c>
      <c r="J1097" s="32"/>
      <c r="K1097" s="32"/>
      <c r="L1097" s="32"/>
      <c r="M1097" s="32"/>
      <c r="N1097" s="33">
        <v>42.06</v>
      </c>
      <c r="O1097" s="33">
        <v>3.5</v>
      </c>
      <c r="P1097" s="33">
        <v>12</v>
      </c>
      <c r="Q1097" s="33">
        <v>2.9</v>
      </c>
      <c r="R1097" s="33" t="s">
        <v>1424</v>
      </c>
      <c r="S1097" s="32"/>
      <c r="T1097" s="33">
        <v>5</v>
      </c>
      <c r="U1097" s="49"/>
    </row>
    <row r="1098" spans="1:21">
      <c r="A1098" s="50" t="s">
        <v>1429</v>
      </c>
      <c r="B1098" s="33" t="s">
        <v>1731</v>
      </c>
      <c r="C1098" s="33">
        <v>100</v>
      </c>
      <c r="D1098" s="33">
        <v>900</v>
      </c>
      <c r="E1098" s="32"/>
      <c r="F1098" s="51"/>
      <c r="G1098" s="48">
        <v>100</v>
      </c>
      <c r="H1098" s="32"/>
      <c r="I1098" s="48">
        <v>0</v>
      </c>
      <c r="J1098" s="32"/>
      <c r="K1098" s="32"/>
      <c r="L1098" s="32"/>
      <c r="M1098" s="32"/>
      <c r="N1098" s="33">
        <v>389.9</v>
      </c>
      <c r="O1098" s="33">
        <v>0.6</v>
      </c>
      <c r="P1098" s="33">
        <v>3</v>
      </c>
      <c r="Q1098" s="33">
        <v>0.2</v>
      </c>
      <c r="R1098" s="33" t="s">
        <v>1424</v>
      </c>
      <c r="S1098" s="32"/>
      <c r="T1098" s="33">
        <v>5</v>
      </c>
      <c r="U1098" s="49"/>
    </row>
    <row r="1099" spans="1:21">
      <c r="A1099" s="50" t="s">
        <v>1430</v>
      </c>
      <c r="B1099" s="33" t="s">
        <v>1655</v>
      </c>
      <c r="C1099" s="33">
        <v>100</v>
      </c>
      <c r="D1099" s="33">
        <v>895</v>
      </c>
      <c r="E1099" s="32"/>
      <c r="F1099" s="51"/>
      <c r="G1099" s="48">
        <v>99.9</v>
      </c>
      <c r="H1099" s="32"/>
      <c r="I1099" s="48">
        <v>1</v>
      </c>
      <c r="J1099" s="32"/>
      <c r="K1099" s="32"/>
      <c r="L1099" s="33">
        <v>0.09</v>
      </c>
      <c r="M1099" s="33">
        <v>0.1</v>
      </c>
      <c r="N1099" s="33">
        <v>12.05</v>
      </c>
      <c r="O1099" s="33">
        <v>10.5</v>
      </c>
      <c r="P1099" s="33">
        <v>75</v>
      </c>
      <c r="Q1099" s="33">
        <v>4.0999999999999996</v>
      </c>
      <c r="R1099" s="33" t="s">
        <v>1424</v>
      </c>
      <c r="S1099" s="32"/>
      <c r="T1099" s="33">
        <v>5</v>
      </c>
      <c r="U1099" s="49"/>
    </row>
    <row r="1100" spans="1:21">
      <c r="A1100" s="50" t="s">
        <v>1431</v>
      </c>
      <c r="B1100" s="32"/>
      <c r="C1100" s="33">
        <v>100</v>
      </c>
      <c r="D1100" s="33">
        <v>899</v>
      </c>
      <c r="E1100" s="33">
        <v>0.1</v>
      </c>
      <c r="F1100" s="51"/>
      <c r="G1100" s="48">
        <v>99.9</v>
      </c>
      <c r="H1100" s="32"/>
      <c r="I1100" s="48">
        <v>0</v>
      </c>
      <c r="J1100" s="32"/>
      <c r="K1100" s="32"/>
      <c r="L1100" s="32"/>
      <c r="M1100" s="32"/>
      <c r="N1100" s="33">
        <v>54.6</v>
      </c>
      <c r="O1100" s="33">
        <v>2.8</v>
      </c>
      <c r="P1100" s="33">
        <v>2</v>
      </c>
      <c r="Q1100" s="33">
        <v>1</v>
      </c>
      <c r="R1100" s="33" t="s">
        <v>1424</v>
      </c>
      <c r="S1100" s="32"/>
      <c r="T1100" s="33">
        <v>5</v>
      </c>
      <c r="U1100" s="49"/>
    </row>
    <row r="1101" spans="1:21">
      <c r="A1101" s="50" t="s">
        <v>1432</v>
      </c>
      <c r="B1101" s="33" t="s">
        <v>1618</v>
      </c>
      <c r="C1101" s="33">
        <v>100</v>
      </c>
      <c r="D1101" s="33">
        <v>900</v>
      </c>
      <c r="E1101" s="32"/>
      <c r="F1101" s="51"/>
      <c r="G1101" s="48">
        <v>100</v>
      </c>
      <c r="H1101" s="32"/>
      <c r="I1101" s="48">
        <v>0</v>
      </c>
      <c r="J1101" s="32"/>
      <c r="K1101" s="32"/>
      <c r="L1101" s="32"/>
      <c r="M1101" s="32"/>
      <c r="N1101" s="33">
        <v>87.24</v>
      </c>
      <c r="O1101" s="32"/>
      <c r="P1101" s="32"/>
      <c r="Q1101" s="32"/>
      <c r="R1101" s="33" t="s">
        <v>1424</v>
      </c>
      <c r="S1101" s="32"/>
      <c r="T1101" s="33">
        <v>5</v>
      </c>
      <c r="U1101" s="49"/>
    </row>
    <row r="1102" spans="1:21">
      <c r="A1102" s="50" t="s">
        <v>1433</v>
      </c>
      <c r="B1102" s="32"/>
      <c r="C1102" s="33">
        <v>100</v>
      </c>
      <c r="D1102" s="33">
        <v>899</v>
      </c>
      <c r="E1102" s="33">
        <v>0.1</v>
      </c>
      <c r="F1102" s="51"/>
      <c r="G1102" s="48">
        <v>99.8</v>
      </c>
      <c r="H1102" s="32"/>
      <c r="I1102" s="48">
        <v>0.1</v>
      </c>
      <c r="J1102" s="32"/>
      <c r="K1102" s="32"/>
      <c r="L1102" s="32"/>
      <c r="M1102" s="32"/>
      <c r="N1102" s="33">
        <v>86.45</v>
      </c>
      <c r="O1102" s="33">
        <v>4.5</v>
      </c>
      <c r="P1102" s="33">
        <v>17</v>
      </c>
      <c r="Q1102" s="33">
        <v>2</v>
      </c>
      <c r="R1102" s="33" t="s">
        <v>1424</v>
      </c>
      <c r="S1102" s="32"/>
      <c r="T1102" s="33">
        <v>5</v>
      </c>
      <c r="U1102" s="49"/>
    </row>
    <row r="1103" spans="1:21">
      <c r="A1103" s="50" t="s">
        <v>1434</v>
      </c>
      <c r="B1103" s="32"/>
      <c r="C1103" s="33">
        <v>100</v>
      </c>
      <c r="D1103" s="33">
        <v>898</v>
      </c>
      <c r="E1103" s="33">
        <v>0.2</v>
      </c>
      <c r="F1103" s="51"/>
      <c r="G1103" s="48">
        <v>99.7</v>
      </c>
      <c r="H1103" s="32"/>
      <c r="I1103" s="48">
        <v>0.1</v>
      </c>
      <c r="J1103" s="33">
        <v>89</v>
      </c>
      <c r="K1103" s="32"/>
      <c r="L1103" s="33">
        <v>0.03</v>
      </c>
      <c r="M1103" s="33">
        <v>0.2</v>
      </c>
      <c r="N1103" s="33">
        <v>4.5999999999999996</v>
      </c>
      <c r="O1103" s="32"/>
      <c r="P1103" s="32"/>
      <c r="Q1103" s="32"/>
      <c r="R1103" s="33" t="s">
        <v>1424</v>
      </c>
      <c r="S1103" s="32"/>
      <c r="T1103" s="33">
        <v>5</v>
      </c>
      <c r="U1103" s="35">
        <v>135</v>
      </c>
    </row>
    <row r="1104" spans="1:21">
      <c r="A1104" s="50" t="s">
        <v>1435</v>
      </c>
      <c r="B1104" s="33" t="s">
        <v>1618</v>
      </c>
      <c r="C1104" s="33">
        <v>100</v>
      </c>
      <c r="D1104" s="33">
        <v>835</v>
      </c>
      <c r="E1104" s="33">
        <v>6.2</v>
      </c>
      <c r="F1104" s="51"/>
      <c r="G1104" s="48">
        <v>92</v>
      </c>
      <c r="H1104" s="32"/>
      <c r="I1104" s="48">
        <v>1.8</v>
      </c>
      <c r="J1104" s="33">
        <v>54</v>
      </c>
      <c r="K1104" s="32"/>
      <c r="L1104" s="32"/>
      <c r="M1104" s="32"/>
      <c r="N1104" s="32"/>
      <c r="O1104" s="33">
        <v>9.4</v>
      </c>
      <c r="P1104" s="33">
        <v>9</v>
      </c>
      <c r="Q1104" s="33">
        <v>3</v>
      </c>
      <c r="R1104" s="33" t="s">
        <v>1424</v>
      </c>
      <c r="S1104" s="32"/>
      <c r="T1104" s="33">
        <v>5</v>
      </c>
      <c r="U1104" s="49"/>
    </row>
    <row r="1105" spans="1:21">
      <c r="A1105" s="50" t="s">
        <v>1436</v>
      </c>
      <c r="B1105" s="32"/>
      <c r="C1105" s="33">
        <v>100</v>
      </c>
      <c r="D1105" s="33">
        <v>898</v>
      </c>
      <c r="E1105" s="33">
        <v>0.2</v>
      </c>
      <c r="F1105" s="51"/>
      <c r="G1105" s="48">
        <v>99.8</v>
      </c>
      <c r="H1105" s="32"/>
      <c r="I1105" s="48">
        <v>0</v>
      </c>
      <c r="J1105" s="32"/>
      <c r="K1105" s="32"/>
      <c r="L1105" s="32"/>
      <c r="M1105" s="32"/>
      <c r="N1105" s="33">
        <v>24.01</v>
      </c>
      <c r="O1105" s="33">
        <v>5.0999999999999996</v>
      </c>
      <c r="P1105" s="33">
        <v>18</v>
      </c>
      <c r="Q1105" s="33">
        <v>1.7</v>
      </c>
      <c r="R1105" s="33" t="s">
        <v>1424</v>
      </c>
      <c r="S1105" s="32"/>
      <c r="T1105" s="33">
        <v>5</v>
      </c>
      <c r="U1105" s="49"/>
    </row>
    <row r="1106" spans="1:21">
      <c r="A1106" s="50" t="s">
        <v>1437</v>
      </c>
      <c r="B1106" s="33" t="s">
        <v>1618</v>
      </c>
      <c r="C1106" s="33">
        <v>100</v>
      </c>
      <c r="D1106" s="33">
        <v>897</v>
      </c>
      <c r="E1106" s="33">
        <v>0.3</v>
      </c>
      <c r="F1106" s="51"/>
      <c r="G1106" s="48">
        <v>99.7</v>
      </c>
      <c r="H1106" s="32"/>
      <c r="I1106" s="48">
        <v>0</v>
      </c>
      <c r="J1106" s="33">
        <v>71</v>
      </c>
      <c r="K1106" s="32"/>
      <c r="L1106" s="32"/>
      <c r="M1106" s="32"/>
      <c r="N1106" s="32"/>
      <c r="O1106" s="32"/>
      <c r="P1106" s="32"/>
      <c r="Q1106" s="32"/>
      <c r="R1106" s="33" t="s">
        <v>1424</v>
      </c>
      <c r="S1106" s="32"/>
      <c r="T1106" s="33">
        <v>5</v>
      </c>
      <c r="U1106" s="35">
        <v>83</v>
      </c>
    </row>
    <row r="1107" spans="1:21">
      <c r="A1107" s="50" t="s">
        <v>1438</v>
      </c>
      <c r="B1107" s="33" t="s">
        <v>1618</v>
      </c>
      <c r="C1107" s="33">
        <v>100</v>
      </c>
      <c r="D1107" s="33">
        <v>824</v>
      </c>
      <c r="E1107" s="33">
        <v>4</v>
      </c>
      <c r="F1107" s="51"/>
      <c r="G1107" s="48">
        <v>88</v>
      </c>
      <c r="H1107" s="32"/>
      <c r="I1107" s="48">
        <v>8</v>
      </c>
      <c r="J1107" s="33">
        <v>33</v>
      </c>
      <c r="K1107" s="32"/>
      <c r="L1107" s="32"/>
      <c r="M1107" s="32"/>
      <c r="N1107" s="33">
        <v>1.08</v>
      </c>
      <c r="O1107" s="33">
        <v>13.2</v>
      </c>
      <c r="P1107" s="32"/>
      <c r="Q1107" s="33">
        <v>1</v>
      </c>
      <c r="R1107" s="33" t="s">
        <v>1424</v>
      </c>
      <c r="S1107" s="32"/>
      <c r="T1107" s="33">
        <v>5</v>
      </c>
      <c r="U1107" s="49"/>
    </row>
    <row r="1108" spans="1:21">
      <c r="A1108" s="50" t="s">
        <v>1439</v>
      </c>
      <c r="B1108" s="33" t="s">
        <v>1641</v>
      </c>
      <c r="C1108" s="33">
        <v>100</v>
      </c>
      <c r="D1108" s="33">
        <v>895</v>
      </c>
      <c r="E1108" s="33">
        <v>0.1</v>
      </c>
      <c r="F1108" s="51"/>
      <c r="G1108" s="48">
        <v>99</v>
      </c>
      <c r="H1108" s="32"/>
      <c r="I1108" s="48">
        <v>0.9</v>
      </c>
      <c r="J1108" s="32"/>
      <c r="K1108" s="32"/>
      <c r="L1108" s="32"/>
      <c r="M1108" s="32"/>
      <c r="N1108" s="32"/>
      <c r="O1108" s="32"/>
      <c r="P1108" s="32"/>
      <c r="Q1108" s="32"/>
      <c r="R1108" s="33" t="s">
        <v>1424</v>
      </c>
      <c r="S1108" s="32"/>
      <c r="T1108" s="33">
        <v>5</v>
      </c>
      <c r="U1108" s="35">
        <v>107</v>
      </c>
    </row>
    <row r="1109" spans="1:21">
      <c r="A1109" s="50" t="s">
        <v>1440</v>
      </c>
      <c r="B1109" s="32"/>
      <c r="C1109" s="33">
        <v>100</v>
      </c>
      <c r="D1109" s="33">
        <v>895</v>
      </c>
      <c r="E1109" s="33">
        <v>0.2</v>
      </c>
      <c r="F1109" s="51"/>
      <c r="G1109" s="48">
        <v>99.2</v>
      </c>
      <c r="H1109" s="32"/>
      <c r="I1109" s="48">
        <v>0.5</v>
      </c>
      <c r="J1109" s="32"/>
      <c r="K1109" s="32"/>
      <c r="L1109" s="32"/>
      <c r="M1109" s="32"/>
      <c r="N1109" s="33">
        <v>51.94</v>
      </c>
      <c r="O1109" s="33">
        <v>1.4</v>
      </c>
      <c r="P1109" s="33">
        <v>1</v>
      </c>
      <c r="Q1109" s="33">
        <v>1.4</v>
      </c>
      <c r="R1109" s="33" t="s">
        <v>1424</v>
      </c>
      <c r="S1109" s="32"/>
      <c r="T1109" s="33">
        <v>5</v>
      </c>
      <c r="U1109" s="49"/>
    </row>
    <row r="1110" spans="1:21">
      <c r="A1110" s="50" t="s">
        <v>1441</v>
      </c>
      <c r="B1110" s="32"/>
      <c r="C1110" s="33">
        <v>100</v>
      </c>
      <c r="D1110" s="33">
        <v>898</v>
      </c>
      <c r="E1110" s="33">
        <v>0.1</v>
      </c>
      <c r="F1110" s="51"/>
      <c r="G1110" s="48">
        <v>99.7</v>
      </c>
      <c r="H1110" s="32"/>
      <c r="I1110" s="48">
        <v>0.2</v>
      </c>
      <c r="J1110" s="32"/>
      <c r="K1110" s="32"/>
      <c r="L1110" s="32"/>
      <c r="M1110" s="32"/>
      <c r="N1110" s="33">
        <v>68.53</v>
      </c>
      <c r="O1110" s="33">
        <v>1.1000000000000001</v>
      </c>
      <c r="P1110" s="33">
        <v>9</v>
      </c>
      <c r="Q1110" s="33">
        <v>2.2000000000000002</v>
      </c>
      <c r="R1110" s="33" t="s">
        <v>1424</v>
      </c>
      <c r="S1110" s="32"/>
      <c r="T1110" s="33">
        <v>5</v>
      </c>
      <c r="U1110" s="49"/>
    </row>
    <row r="1111" spans="1:21">
      <c r="A1111" s="50" t="s">
        <v>1442</v>
      </c>
      <c r="B1111" s="32"/>
      <c r="C1111" s="33">
        <v>100</v>
      </c>
      <c r="D1111" s="33">
        <v>827</v>
      </c>
      <c r="E1111" s="33">
        <v>4</v>
      </c>
      <c r="F1111" s="51"/>
      <c r="G1111" s="48">
        <v>88.7</v>
      </c>
      <c r="H1111" s="32"/>
      <c r="I1111" s="48">
        <v>7.2</v>
      </c>
      <c r="J1111" s="33">
        <v>89</v>
      </c>
      <c r="K1111" s="32"/>
      <c r="L1111" s="32"/>
      <c r="M1111" s="32"/>
      <c r="N1111" s="33">
        <v>21.83</v>
      </c>
      <c r="O1111" s="33">
        <v>138.5</v>
      </c>
      <c r="P1111" s="32"/>
      <c r="Q1111" s="33">
        <v>2.1</v>
      </c>
      <c r="R1111" s="33" t="s">
        <v>1424</v>
      </c>
      <c r="S1111" s="32"/>
      <c r="T1111" s="33">
        <v>5</v>
      </c>
      <c r="U1111" s="49"/>
    </row>
    <row r="1112" spans="1:21">
      <c r="A1112" s="50" t="s">
        <v>1443</v>
      </c>
      <c r="B1112" s="32"/>
      <c r="C1112" s="33">
        <v>100</v>
      </c>
      <c r="D1112" s="33">
        <v>897</v>
      </c>
      <c r="E1112" s="33">
        <v>0.2</v>
      </c>
      <c r="F1112" s="51"/>
      <c r="G1112" s="48">
        <v>99.6</v>
      </c>
      <c r="H1112" s="32"/>
      <c r="I1112" s="48">
        <v>0.2</v>
      </c>
      <c r="J1112" s="33">
        <v>27</v>
      </c>
      <c r="K1112" s="33">
        <v>0.02</v>
      </c>
      <c r="L1112" s="33">
        <v>0.03</v>
      </c>
      <c r="M1112" s="32"/>
      <c r="N1112" s="33">
        <v>5.21</v>
      </c>
      <c r="O1112" s="32"/>
      <c r="P1112" s="32"/>
      <c r="Q1112" s="32"/>
      <c r="R1112" s="33" t="s">
        <v>1424</v>
      </c>
      <c r="S1112" s="32"/>
      <c r="T1112" s="33">
        <v>5</v>
      </c>
      <c r="U1112" s="35">
        <v>93</v>
      </c>
    </row>
    <row r="1113" spans="1:21">
      <c r="A1113" s="50" t="s">
        <v>1444</v>
      </c>
      <c r="B1113" s="33" t="s">
        <v>1618</v>
      </c>
      <c r="C1113" s="33">
        <v>100</v>
      </c>
      <c r="D1113" s="33">
        <v>900</v>
      </c>
      <c r="E1113" s="32"/>
      <c r="F1113" s="51"/>
      <c r="G1113" s="48">
        <v>100</v>
      </c>
      <c r="H1113" s="32"/>
      <c r="I1113" s="48">
        <v>0</v>
      </c>
      <c r="J1113" s="32"/>
      <c r="K1113" s="32"/>
      <c r="L1113" s="32"/>
      <c r="M1113" s="32"/>
      <c r="N1113" s="33">
        <v>15.24</v>
      </c>
      <c r="O1113" s="33">
        <v>1.3</v>
      </c>
      <c r="P1113" s="32"/>
      <c r="Q1113" s="33">
        <v>3.1</v>
      </c>
      <c r="R1113" s="33" t="s">
        <v>1424</v>
      </c>
      <c r="S1113" s="32"/>
      <c r="T1113" s="33">
        <v>5</v>
      </c>
      <c r="U1113" s="49"/>
    </row>
    <row r="1114" spans="1:21">
      <c r="A1114" s="50" t="s">
        <v>1445</v>
      </c>
      <c r="B1114" s="33" t="s">
        <v>1618</v>
      </c>
      <c r="C1114" s="33">
        <v>100</v>
      </c>
      <c r="D1114" s="33">
        <v>190</v>
      </c>
      <c r="E1114" s="33">
        <v>52.1</v>
      </c>
      <c r="F1114" s="48">
        <v>4.3</v>
      </c>
      <c r="G1114" s="51"/>
      <c r="H1114" s="33">
        <v>0.28999999999999998</v>
      </c>
      <c r="I1114" s="48">
        <v>43.1</v>
      </c>
      <c r="J1114" s="32"/>
      <c r="K1114" s="33">
        <v>0.02</v>
      </c>
      <c r="L1114" s="33">
        <v>0.04</v>
      </c>
      <c r="M1114" s="33">
        <v>0.6</v>
      </c>
      <c r="N1114" s="33">
        <v>0.19</v>
      </c>
      <c r="O1114" s="33">
        <v>1.7</v>
      </c>
      <c r="P1114" s="33">
        <v>19</v>
      </c>
      <c r="Q1114" s="33">
        <v>0.5</v>
      </c>
      <c r="R1114" s="33" t="s">
        <v>1042</v>
      </c>
      <c r="S1114" s="32"/>
      <c r="T1114" s="33">
        <v>25</v>
      </c>
      <c r="U1114" s="49"/>
    </row>
    <row r="1115" spans="1:21">
      <c r="A1115" s="50" t="s">
        <v>1446</v>
      </c>
      <c r="B1115" s="33" t="s">
        <v>1618</v>
      </c>
      <c r="C1115" s="33">
        <v>100</v>
      </c>
      <c r="D1115" s="33">
        <v>193</v>
      </c>
      <c r="E1115" s="33">
        <v>61.9</v>
      </c>
      <c r="F1115" s="48">
        <v>22.4</v>
      </c>
      <c r="G1115" s="48">
        <v>11</v>
      </c>
      <c r="H1115" s="32"/>
      <c r="I1115" s="48">
        <v>1.2</v>
      </c>
      <c r="J1115" s="33">
        <v>13</v>
      </c>
      <c r="K1115" s="32"/>
      <c r="L1115" s="33">
        <v>0.28000000000000003</v>
      </c>
      <c r="M1115" s="33">
        <v>1.4</v>
      </c>
      <c r="N1115" s="33">
        <v>0.87</v>
      </c>
      <c r="O1115" s="33">
        <v>899.4</v>
      </c>
      <c r="P1115" s="33">
        <v>41</v>
      </c>
      <c r="Q1115" s="33">
        <v>5.4</v>
      </c>
      <c r="R1115" s="33" t="s">
        <v>1042</v>
      </c>
      <c r="S1115" s="32"/>
      <c r="T1115" s="33">
        <v>25</v>
      </c>
      <c r="U1115" s="35">
        <v>591</v>
      </c>
    </row>
    <row r="1116" spans="1:21">
      <c r="A1116" s="50" t="s">
        <v>1447</v>
      </c>
      <c r="B1116" s="33" t="s">
        <v>1655</v>
      </c>
      <c r="C1116" s="33">
        <v>100</v>
      </c>
      <c r="D1116" s="33">
        <v>362</v>
      </c>
      <c r="E1116" s="33">
        <v>27.4</v>
      </c>
      <c r="F1116" s="48">
        <v>7.6</v>
      </c>
      <c r="G1116" s="48">
        <v>14.9</v>
      </c>
      <c r="H1116" s="32"/>
      <c r="I1116" s="48">
        <v>49.4</v>
      </c>
      <c r="J1116" s="33">
        <v>40</v>
      </c>
      <c r="K1116" s="33">
        <v>0.11</v>
      </c>
      <c r="L1116" s="33">
        <v>0.15</v>
      </c>
      <c r="M1116" s="33">
        <v>0.6</v>
      </c>
      <c r="N1116" s="33">
        <v>2.21</v>
      </c>
      <c r="O1116" s="33">
        <v>324</v>
      </c>
      <c r="P1116" s="33">
        <v>14</v>
      </c>
      <c r="Q1116" s="33">
        <v>2.2000000000000002</v>
      </c>
      <c r="R1116" s="33" t="s">
        <v>1042</v>
      </c>
      <c r="S1116" s="32"/>
      <c r="T1116" s="33">
        <v>25</v>
      </c>
      <c r="U1116" s="35">
        <v>49</v>
      </c>
    </row>
    <row r="1117" spans="1:21">
      <c r="A1117" s="50" t="s">
        <v>1448</v>
      </c>
      <c r="B1117" s="33" t="s">
        <v>1618</v>
      </c>
      <c r="C1117" s="33">
        <v>100</v>
      </c>
      <c r="D1117" s="33">
        <v>572</v>
      </c>
      <c r="E1117" s="33">
        <v>5.5</v>
      </c>
      <c r="F1117" s="48">
        <v>10.8</v>
      </c>
      <c r="G1117" s="48">
        <v>39.700000000000003</v>
      </c>
      <c r="H1117" s="33">
        <v>0.3</v>
      </c>
      <c r="I1117" s="48">
        <v>42.9</v>
      </c>
      <c r="J1117" s="32"/>
      <c r="K1117" s="33">
        <v>0.08</v>
      </c>
      <c r="L1117" s="33">
        <v>0.04</v>
      </c>
      <c r="M1117" s="33">
        <v>1.6</v>
      </c>
      <c r="N1117" s="33">
        <v>4.2699999999999996</v>
      </c>
      <c r="O1117" s="33">
        <v>113.5</v>
      </c>
      <c r="P1117" s="32"/>
      <c r="Q1117" s="33">
        <v>1.9</v>
      </c>
      <c r="R1117" s="33" t="s">
        <v>1042</v>
      </c>
      <c r="S1117" s="32"/>
      <c r="T1117" s="33">
        <v>25</v>
      </c>
      <c r="U1117" s="35">
        <v>81</v>
      </c>
    </row>
    <row r="1118" spans="1:21">
      <c r="A1118" s="50" t="s">
        <v>1449</v>
      </c>
      <c r="B1118" s="32"/>
      <c r="C1118" s="33">
        <v>100</v>
      </c>
      <c r="D1118" s="33">
        <v>429</v>
      </c>
      <c r="E1118" s="33">
        <v>6.5</v>
      </c>
      <c r="F1118" s="48">
        <v>8.5</v>
      </c>
      <c r="G1118" s="48">
        <v>13.1</v>
      </c>
      <c r="H1118" s="33">
        <v>1</v>
      </c>
      <c r="I1118" s="48">
        <v>69.2</v>
      </c>
      <c r="J1118" s="33">
        <v>95</v>
      </c>
      <c r="K1118" s="33">
        <v>0.09</v>
      </c>
      <c r="L1118" s="33">
        <v>0.02</v>
      </c>
      <c r="M1118" s="33">
        <v>3.6</v>
      </c>
      <c r="N1118" s="33">
        <v>7.23</v>
      </c>
      <c r="O1118" s="33">
        <v>196.4</v>
      </c>
      <c r="P1118" s="33">
        <v>49</v>
      </c>
      <c r="Q1118" s="33">
        <v>2.1</v>
      </c>
      <c r="R1118" s="33" t="s">
        <v>1042</v>
      </c>
      <c r="S1118" s="32"/>
      <c r="T1118" s="33">
        <v>25</v>
      </c>
      <c r="U1118" s="35">
        <v>81</v>
      </c>
    </row>
    <row r="1119" spans="1:21">
      <c r="A1119" s="50" t="s">
        <v>1450</v>
      </c>
      <c r="B1119" s="32"/>
      <c r="C1119" s="33">
        <v>100</v>
      </c>
      <c r="D1119" s="33">
        <v>433</v>
      </c>
      <c r="E1119" s="33">
        <v>5.7</v>
      </c>
      <c r="F1119" s="48">
        <v>9</v>
      </c>
      <c r="G1119" s="48">
        <v>12.7</v>
      </c>
      <c r="H1119" s="33">
        <v>1.1000000000000001</v>
      </c>
      <c r="I1119" s="48">
        <v>70.599999999999994</v>
      </c>
      <c r="J1119" s="33">
        <v>37</v>
      </c>
      <c r="K1119" s="33">
        <v>0.08</v>
      </c>
      <c r="L1119" s="33">
        <v>0.04</v>
      </c>
      <c r="M1119" s="33">
        <v>4.7</v>
      </c>
      <c r="N1119" s="33">
        <v>4.57</v>
      </c>
      <c r="O1119" s="33">
        <v>204.1</v>
      </c>
      <c r="P1119" s="33">
        <v>73</v>
      </c>
      <c r="Q1119" s="33">
        <v>1.9</v>
      </c>
      <c r="R1119" s="33" t="s">
        <v>1042</v>
      </c>
      <c r="S1119" s="32"/>
      <c r="T1119" s="33">
        <v>25</v>
      </c>
      <c r="U1119" s="35">
        <v>81</v>
      </c>
    </row>
    <row r="1120" spans="1:21">
      <c r="A1120" s="50" t="s">
        <v>1451</v>
      </c>
      <c r="B1120" s="33" t="s">
        <v>1732</v>
      </c>
      <c r="C1120" s="33">
        <v>100</v>
      </c>
      <c r="D1120" s="33">
        <v>452</v>
      </c>
      <c r="E1120" s="33">
        <v>4.0999999999999996</v>
      </c>
      <c r="F1120" s="48">
        <v>11.8</v>
      </c>
      <c r="G1120" s="48">
        <v>14.7</v>
      </c>
      <c r="H1120" s="33">
        <v>0.4</v>
      </c>
      <c r="I1120" s="48">
        <v>68</v>
      </c>
      <c r="J1120" s="32"/>
      <c r="K1120" s="32"/>
      <c r="L1120" s="32"/>
      <c r="M1120" s="32"/>
      <c r="N1120" s="32"/>
      <c r="O1120" s="33">
        <v>177.4</v>
      </c>
      <c r="P1120" s="33">
        <v>76</v>
      </c>
      <c r="Q1120" s="33">
        <v>9.6</v>
      </c>
      <c r="R1120" s="33" t="s">
        <v>1042</v>
      </c>
      <c r="S1120" s="32"/>
      <c r="T1120" s="33">
        <v>25</v>
      </c>
      <c r="U1120" s="35">
        <v>81</v>
      </c>
    </row>
    <row r="1121" spans="1:21">
      <c r="A1121" s="50" t="s">
        <v>1452</v>
      </c>
      <c r="B1121" s="32"/>
      <c r="C1121" s="33">
        <v>100</v>
      </c>
      <c r="D1121" s="33">
        <v>448</v>
      </c>
      <c r="E1121" s="33">
        <v>5.6</v>
      </c>
      <c r="F1121" s="48">
        <v>11</v>
      </c>
      <c r="G1121" s="48">
        <v>16.2</v>
      </c>
      <c r="H1121" s="33">
        <v>1.5</v>
      </c>
      <c r="I1121" s="48">
        <v>64.5</v>
      </c>
      <c r="J1121" s="33">
        <v>77</v>
      </c>
      <c r="K1121" s="33">
        <v>0.13</v>
      </c>
      <c r="L1121" s="33">
        <v>0.05</v>
      </c>
      <c r="M1121" s="33">
        <v>5.5</v>
      </c>
      <c r="N1121" s="33">
        <v>6.75</v>
      </c>
      <c r="O1121" s="33">
        <v>104.7</v>
      </c>
      <c r="P1121" s="33">
        <v>111</v>
      </c>
      <c r="Q1121" s="33">
        <v>3.7</v>
      </c>
      <c r="R1121" s="33" t="s">
        <v>1042</v>
      </c>
      <c r="S1121" s="32"/>
      <c r="T1121" s="33">
        <v>25</v>
      </c>
      <c r="U1121" s="35">
        <v>81</v>
      </c>
    </row>
    <row r="1122" spans="1:21">
      <c r="A1122" s="50" t="s">
        <v>1453</v>
      </c>
      <c r="B1122" s="33" t="s">
        <v>1618</v>
      </c>
      <c r="C1122" s="33">
        <v>100</v>
      </c>
      <c r="D1122" s="33">
        <v>444</v>
      </c>
      <c r="E1122" s="33">
        <v>3.3</v>
      </c>
      <c r="F1122" s="48">
        <v>11</v>
      </c>
      <c r="G1122" s="48">
        <v>13.3</v>
      </c>
      <c r="H1122" s="33">
        <v>1.1000000000000001</v>
      </c>
      <c r="I1122" s="48">
        <v>70.099999999999994</v>
      </c>
      <c r="J1122" s="33">
        <v>13</v>
      </c>
      <c r="K1122" s="33">
        <v>0.08</v>
      </c>
      <c r="L1122" s="33">
        <v>0.04</v>
      </c>
      <c r="M1122" s="33">
        <v>1.7</v>
      </c>
      <c r="N1122" s="33">
        <v>8.48</v>
      </c>
      <c r="O1122" s="33">
        <v>231.1</v>
      </c>
      <c r="P1122" s="33">
        <v>144</v>
      </c>
      <c r="Q1122" s="33">
        <v>2.2000000000000002</v>
      </c>
      <c r="R1122" s="33" t="s">
        <v>1042</v>
      </c>
      <c r="S1122" s="32"/>
      <c r="T1122" s="33">
        <v>25</v>
      </c>
      <c r="U1122" s="35">
        <v>81</v>
      </c>
    </row>
    <row r="1123" spans="1:21">
      <c r="A1123" s="50" t="s">
        <v>1454</v>
      </c>
      <c r="B1123" s="33" t="s">
        <v>1618</v>
      </c>
      <c r="C1123" s="33">
        <v>100</v>
      </c>
      <c r="D1123" s="33">
        <v>546</v>
      </c>
      <c r="E1123" s="33">
        <v>1.9</v>
      </c>
      <c r="F1123" s="48">
        <v>6.5</v>
      </c>
      <c r="G1123" s="48">
        <v>31.6</v>
      </c>
      <c r="H1123" s="33">
        <v>0.2</v>
      </c>
      <c r="I1123" s="48">
        <v>58.9</v>
      </c>
      <c r="J1123" s="32"/>
      <c r="K1123" s="33">
        <v>0.06</v>
      </c>
      <c r="L1123" s="33">
        <v>0.06</v>
      </c>
      <c r="M1123" s="33">
        <v>1.3</v>
      </c>
      <c r="N1123" s="33">
        <v>6.04</v>
      </c>
      <c r="O1123" s="33">
        <v>174.6</v>
      </c>
      <c r="P1123" s="33">
        <v>45</v>
      </c>
      <c r="Q1123" s="33">
        <v>1.9</v>
      </c>
      <c r="R1123" s="33" t="s">
        <v>1042</v>
      </c>
      <c r="S1123" s="32"/>
      <c r="T1123" s="33">
        <v>25</v>
      </c>
      <c r="U1123" s="35">
        <v>81</v>
      </c>
    </row>
    <row r="1124" spans="1:21">
      <c r="A1124" s="50" t="s">
        <v>1455</v>
      </c>
      <c r="B1124" s="33" t="s">
        <v>1618</v>
      </c>
      <c r="C1124" s="33">
        <v>100</v>
      </c>
      <c r="D1124" s="33">
        <v>457</v>
      </c>
      <c r="E1124" s="33">
        <v>5.4</v>
      </c>
      <c r="F1124" s="48">
        <v>7.9</v>
      </c>
      <c r="G1124" s="48">
        <v>17.8</v>
      </c>
      <c r="H1124" s="33">
        <v>1.2</v>
      </c>
      <c r="I1124" s="48">
        <v>66.400000000000006</v>
      </c>
      <c r="J1124" s="32"/>
      <c r="K1124" s="33">
        <v>0.11</v>
      </c>
      <c r="L1124" s="33">
        <v>0.03</v>
      </c>
      <c r="M1124" s="33">
        <v>5.0999999999999996</v>
      </c>
      <c r="N1124" s="33">
        <v>0.63</v>
      </c>
      <c r="O1124" s="33">
        <v>320.10000000000002</v>
      </c>
      <c r="P1124" s="33">
        <v>149</v>
      </c>
      <c r="Q1124" s="33">
        <v>3.9</v>
      </c>
      <c r="R1124" s="33" t="s">
        <v>1042</v>
      </c>
      <c r="S1124" s="32"/>
      <c r="T1124" s="33">
        <v>25</v>
      </c>
      <c r="U1124" s="35">
        <v>81</v>
      </c>
    </row>
    <row r="1125" spans="1:21">
      <c r="A1125" s="50" t="s">
        <v>1456</v>
      </c>
      <c r="B1125" s="33" t="s">
        <v>1732</v>
      </c>
      <c r="C1125" s="33">
        <v>100</v>
      </c>
      <c r="D1125" s="33">
        <v>446</v>
      </c>
      <c r="E1125" s="33">
        <v>3.9</v>
      </c>
      <c r="F1125" s="48">
        <v>10.8</v>
      </c>
      <c r="G1125" s="48">
        <v>12.9</v>
      </c>
      <c r="H1125" s="33">
        <v>0.3</v>
      </c>
      <c r="I1125" s="48">
        <v>71.8</v>
      </c>
      <c r="J1125" s="32"/>
      <c r="K1125" s="32"/>
      <c r="L1125" s="32"/>
      <c r="M1125" s="32"/>
      <c r="N1125" s="32"/>
      <c r="O1125" s="33">
        <v>107.4</v>
      </c>
      <c r="P1125" s="33">
        <v>136</v>
      </c>
      <c r="Q1125" s="33">
        <v>5.4</v>
      </c>
      <c r="R1125" s="33" t="s">
        <v>1042</v>
      </c>
      <c r="S1125" s="32"/>
      <c r="T1125" s="33">
        <v>25</v>
      </c>
      <c r="U1125" s="35">
        <v>81</v>
      </c>
    </row>
    <row r="1126" spans="1:21">
      <c r="A1126" s="50" t="s">
        <v>1457</v>
      </c>
      <c r="B1126" s="32"/>
      <c r="C1126" s="33">
        <v>100</v>
      </c>
      <c r="D1126" s="33">
        <v>444</v>
      </c>
      <c r="E1126" s="33">
        <v>3.3</v>
      </c>
      <c r="F1126" s="48">
        <v>8.4</v>
      </c>
      <c r="G1126" s="48">
        <v>13.2</v>
      </c>
      <c r="H1126" s="33">
        <v>0.9</v>
      </c>
      <c r="I1126" s="48">
        <v>73</v>
      </c>
      <c r="J1126" s="32"/>
      <c r="K1126" s="33">
        <v>0.06</v>
      </c>
      <c r="L1126" s="33">
        <v>0.03</v>
      </c>
      <c r="M1126" s="33">
        <v>1.1000000000000001</v>
      </c>
      <c r="N1126" s="33">
        <v>1.67</v>
      </c>
      <c r="O1126" s="33">
        <v>112.2</v>
      </c>
      <c r="P1126" s="33">
        <v>115</v>
      </c>
      <c r="Q1126" s="33">
        <v>3.5</v>
      </c>
      <c r="R1126" s="33" t="s">
        <v>1042</v>
      </c>
      <c r="S1126" s="32"/>
      <c r="T1126" s="33">
        <v>25</v>
      </c>
      <c r="U1126" s="35">
        <v>81</v>
      </c>
    </row>
    <row r="1127" spans="1:21">
      <c r="A1127" s="50" t="s">
        <v>1458</v>
      </c>
      <c r="B1127" s="33" t="s">
        <v>1655</v>
      </c>
      <c r="C1127" s="33">
        <v>100</v>
      </c>
      <c r="D1127" s="33">
        <v>408</v>
      </c>
      <c r="E1127" s="33">
        <v>5.7</v>
      </c>
      <c r="F1127" s="48">
        <v>8.4</v>
      </c>
      <c r="G1127" s="48">
        <v>7.7</v>
      </c>
      <c r="H1127" s="32"/>
      <c r="I1127" s="48">
        <v>76.2</v>
      </c>
      <c r="J1127" s="32"/>
      <c r="K1127" s="33">
        <v>0.03</v>
      </c>
      <c r="L1127" s="33">
        <v>0.01</v>
      </c>
      <c r="M1127" s="33">
        <v>0.4</v>
      </c>
      <c r="N1127" s="33">
        <v>1.01</v>
      </c>
      <c r="O1127" s="33">
        <v>12.2</v>
      </c>
      <c r="P1127" s="32"/>
      <c r="Q1127" s="33">
        <v>1.6</v>
      </c>
      <c r="R1127" s="33" t="s">
        <v>1042</v>
      </c>
      <c r="S1127" s="32"/>
      <c r="T1127" s="33">
        <v>25</v>
      </c>
      <c r="U1127" s="35">
        <v>81</v>
      </c>
    </row>
    <row r="1128" spans="1:21">
      <c r="A1128" s="50" t="s">
        <v>1459</v>
      </c>
      <c r="B1128" s="33" t="s">
        <v>1618</v>
      </c>
      <c r="C1128" s="33">
        <v>100</v>
      </c>
      <c r="D1128" s="33">
        <v>528</v>
      </c>
      <c r="E1128" s="33">
        <v>10.3</v>
      </c>
      <c r="F1128" s="48">
        <v>5.4</v>
      </c>
      <c r="G1128" s="48">
        <v>35.200000000000003</v>
      </c>
      <c r="H1128" s="33">
        <v>0.5</v>
      </c>
      <c r="I1128" s="48">
        <v>47.5</v>
      </c>
      <c r="J1128" s="32"/>
      <c r="K1128" s="33">
        <v>0.15</v>
      </c>
      <c r="L1128" s="33">
        <v>0.22</v>
      </c>
      <c r="M1128" s="33">
        <v>1.4</v>
      </c>
      <c r="N1128" s="33">
        <v>0.71</v>
      </c>
      <c r="O1128" s="33">
        <v>281.8</v>
      </c>
      <c r="P1128" s="33">
        <v>58</v>
      </c>
      <c r="Q1128" s="33">
        <v>2.4</v>
      </c>
      <c r="R1128" s="33" t="s">
        <v>1042</v>
      </c>
      <c r="S1128" s="32"/>
      <c r="T1128" s="33">
        <v>25</v>
      </c>
      <c r="U1128" s="35">
        <v>81</v>
      </c>
    </row>
    <row r="1129" spans="1:21">
      <c r="A1129" s="50" t="s">
        <v>1460</v>
      </c>
      <c r="B1129" s="33" t="s">
        <v>1655</v>
      </c>
      <c r="C1129" s="33">
        <v>100</v>
      </c>
      <c r="D1129" s="33">
        <v>391</v>
      </c>
      <c r="E1129" s="33">
        <v>2.2000000000000002</v>
      </c>
      <c r="F1129" s="48">
        <v>0.2</v>
      </c>
      <c r="G1129" s="51"/>
      <c r="H1129" s="32"/>
      <c r="I1129" s="48">
        <v>97.5</v>
      </c>
      <c r="J1129" s="32"/>
      <c r="K1129" s="33">
        <v>7.0000000000000007E-2</v>
      </c>
      <c r="L1129" s="33">
        <v>0.05</v>
      </c>
      <c r="M1129" s="33">
        <v>0.8</v>
      </c>
      <c r="N1129" s="32"/>
      <c r="O1129" s="33">
        <v>10.7</v>
      </c>
      <c r="P1129" s="33">
        <v>54</v>
      </c>
      <c r="Q1129" s="33">
        <v>0.2</v>
      </c>
      <c r="R1129" s="33" t="s">
        <v>1131</v>
      </c>
      <c r="S1129" s="33">
        <v>63</v>
      </c>
      <c r="T1129" s="33">
        <v>10</v>
      </c>
      <c r="U1129" s="49"/>
    </row>
    <row r="1130" spans="1:21">
      <c r="A1130" s="50" t="s">
        <v>1461</v>
      </c>
      <c r="B1130" s="33" t="s">
        <v>1618</v>
      </c>
      <c r="C1130" s="33">
        <v>100</v>
      </c>
      <c r="D1130" s="33">
        <v>119</v>
      </c>
      <c r="E1130" s="33">
        <v>70.099999999999994</v>
      </c>
      <c r="F1130" s="51"/>
      <c r="G1130" s="48">
        <v>0.1</v>
      </c>
      <c r="H1130" s="32"/>
      <c r="I1130" s="48">
        <v>29.6</v>
      </c>
      <c r="J1130" s="33">
        <v>2</v>
      </c>
      <c r="K1130" s="32"/>
      <c r="L1130" s="32"/>
      <c r="M1130" s="32"/>
      <c r="N1130" s="32"/>
      <c r="O1130" s="33">
        <v>18.600000000000001</v>
      </c>
      <c r="P1130" s="33">
        <v>4</v>
      </c>
      <c r="Q1130" s="33">
        <v>0.1</v>
      </c>
      <c r="R1130" s="33" t="s">
        <v>1131</v>
      </c>
      <c r="S1130" s="33">
        <v>2</v>
      </c>
      <c r="T1130" s="33">
        <v>10</v>
      </c>
      <c r="U1130" s="49"/>
    </row>
    <row r="1131" spans="1:21">
      <c r="A1131" s="50" t="s">
        <v>1462</v>
      </c>
      <c r="B1131" s="33" t="s">
        <v>1627</v>
      </c>
      <c r="C1131" s="33">
        <v>100</v>
      </c>
      <c r="D1131" s="33">
        <v>320</v>
      </c>
      <c r="E1131" s="33">
        <v>7.5</v>
      </c>
      <c r="F1131" s="48">
        <v>24.6</v>
      </c>
      <c r="G1131" s="48">
        <v>8.4</v>
      </c>
      <c r="H1131" s="33">
        <v>14.3</v>
      </c>
      <c r="I1131" s="48">
        <v>36.5</v>
      </c>
      <c r="J1131" s="33">
        <v>22</v>
      </c>
      <c r="K1131" s="33">
        <v>0.05</v>
      </c>
      <c r="L1131" s="33">
        <v>0.16</v>
      </c>
      <c r="M1131" s="33">
        <v>1.4</v>
      </c>
      <c r="N1131" s="33">
        <v>6.33</v>
      </c>
      <c r="O1131" s="33">
        <v>23</v>
      </c>
      <c r="P1131" s="33">
        <v>74</v>
      </c>
      <c r="Q1131" s="33">
        <v>1</v>
      </c>
      <c r="R1131" s="33" t="s">
        <v>1131</v>
      </c>
      <c r="S1131" s="32"/>
      <c r="T1131" s="33">
        <v>10</v>
      </c>
      <c r="U1131" s="49"/>
    </row>
    <row r="1132" spans="1:21">
      <c r="A1132" s="50" t="s">
        <v>1463</v>
      </c>
      <c r="B1132" s="32"/>
      <c r="C1132" s="33">
        <v>100</v>
      </c>
      <c r="D1132" s="33">
        <v>429</v>
      </c>
      <c r="E1132" s="33">
        <v>2</v>
      </c>
      <c r="F1132" s="48">
        <v>8.5</v>
      </c>
      <c r="G1132" s="48">
        <v>9.6999999999999993</v>
      </c>
      <c r="H1132" s="32"/>
      <c r="I1132" s="48">
        <v>77</v>
      </c>
      <c r="J1132" s="33">
        <v>113</v>
      </c>
      <c r="K1132" s="33">
        <v>0.05</v>
      </c>
      <c r="L1132" s="33">
        <v>0.3</v>
      </c>
      <c r="M1132" s="33">
        <v>0.7</v>
      </c>
      <c r="N1132" s="33">
        <v>0.44</v>
      </c>
      <c r="O1132" s="33">
        <v>177.8</v>
      </c>
      <c r="P1132" s="33">
        <v>145</v>
      </c>
      <c r="Q1132" s="33">
        <v>4.0999999999999996</v>
      </c>
      <c r="R1132" s="33" t="s">
        <v>1131</v>
      </c>
      <c r="S1132" s="32"/>
      <c r="T1132" s="33">
        <v>10</v>
      </c>
      <c r="U1132" s="49"/>
    </row>
    <row r="1133" spans="1:21">
      <c r="A1133" s="50" t="s">
        <v>1464</v>
      </c>
      <c r="B1133" s="32"/>
      <c r="C1133" s="33">
        <v>100</v>
      </c>
      <c r="D1133" s="33">
        <v>390</v>
      </c>
      <c r="E1133" s="33">
        <v>2.2000000000000002</v>
      </c>
      <c r="F1133" s="48">
        <v>0.4</v>
      </c>
      <c r="G1133" s="51"/>
      <c r="H1133" s="32"/>
      <c r="I1133" s="48">
        <v>97.1</v>
      </c>
      <c r="J1133" s="32"/>
      <c r="K1133" s="33">
        <v>0.09</v>
      </c>
      <c r="L1133" s="33">
        <v>0.11</v>
      </c>
      <c r="M1133" s="33">
        <v>0.5</v>
      </c>
      <c r="N1133" s="32"/>
      <c r="O1133" s="33">
        <v>2.2000000000000002</v>
      </c>
      <c r="P1133" s="33">
        <v>28</v>
      </c>
      <c r="Q1133" s="33">
        <v>1.6</v>
      </c>
      <c r="R1133" s="33" t="s">
        <v>1131</v>
      </c>
      <c r="S1133" s="32"/>
      <c r="T1133" s="33">
        <v>10</v>
      </c>
      <c r="U1133" s="49"/>
    </row>
    <row r="1134" spans="1:21">
      <c r="A1134" s="50" t="s">
        <v>1465</v>
      </c>
      <c r="B1134" s="33" t="s">
        <v>1637</v>
      </c>
      <c r="C1134" s="33">
        <v>100</v>
      </c>
      <c r="D1134" s="33">
        <v>39</v>
      </c>
      <c r="E1134" s="33">
        <v>90.4</v>
      </c>
      <c r="F1134" s="48">
        <v>2.9</v>
      </c>
      <c r="G1134" s="48">
        <v>0.5</v>
      </c>
      <c r="H1134" s="32"/>
      <c r="I1134" s="48">
        <v>5.9</v>
      </c>
      <c r="J1134" s="32"/>
      <c r="K1134" s="33">
        <v>0.01</v>
      </c>
      <c r="L1134" s="33">
        <v>0.03</v>
      </c>
      <c r="M1134" s="33">
        <v>0.2</v>
      </c>
      <c r="N1134" s="33">
        <v>6</v>
      </c>
      <c r="O1134" s="33">
        <v>25.4</v>
      </c>
      <c r="P1134" s="33">
        <v>17</v>
      </c>
      <c r="Q1134" s="33">
        <v>0.4</v>
      </c>
      <c r="R1134" s="33" t="s">
        <v>1131</v>
      </c>
      <c r="S1134" s="32"/>
      <c r="T1134" s="33">
        <v>10</v>
      </c>
      <c r="U1134" s="49"/>
    </row>
    <row r="1135" spans="1:21">
      <c r="A1135" s="50" t="s">
        <v>1466</v>
      </c>
      <c r="B1135" s="32"/>
      <c r="C1135" s="33">
        <v>100</v>
      </c>
      <c r="D1135" s="33">
        <v>20</v>
      </c>
      <c r="E1135" s="33">
        <v>94.9</v>
      </c>
      <c r="F1135" s="51"/>
      <c r="G1135" s="51"/>
      <c r="H1135" s="32"/>
      <c r="I1135" s="51"/>
      <c r="J1135" s="33">
        <v>10</v>
      </c>
      <c r="K1135" s="32"/>
      <c r="L1135" s="33">
        <v>0.02</v>
      </c>
      <c r="M1135" s="32"/>
      <c r="N1135" s="32"/>
      <c r="O1135" s="33">
        <v>8.1</v>
      </c>
      <c r="P1135" s="33">
        <v>10</v>
      </c>
      <c r="Q1135" s="33">
        <v>0.1</v>
      </c>
      <c r="R1135" s="33" t="s">
        <v>1131</v>
      </c>
      <c r="S1135" s="32"/>
      <c r="T1135" s="33">
        <v>10</v>
      </c>
      <c r="U1135" s="49"/>
    </row>
    <row r="1136" spans="1:21">
      <c r="A1136" s="50" t="s">
        <v>1467</v>
      </c>
      <c r="B1136" s="33" t="s">
        <v>1655</v>
      </c>
      <c r="C1136" s="33">
        <v>100</v>
      </c>
      <c r="D1136" s="33">
        <v>38</v>
      </c>
      <c r="E1136" s="33">
        <v>90.5</v>
      </c>
      <c r="F1136" s="51"/>
      <c r="G1136" s="51"/>
      <c r="H1136" s="32"/>
      <c r="I1136" s="48">
        <v>9.5</v>
      </c>
      <c r="J1136" s="32"/>
      <c r="K1136" s="32"/>
      <c r="L1136" s="32"/>
      <c r="M1136" s="32"/>
      <c r="N1136" s="32"/>
      <c r="O1136" s="33">
        <v>3.3</v>
      </c>
      <c r="P1136" s="33">
        <v>9</v>
      </c>
      <c r="Q1136" s="32"/>
      <c r="R1136" s="33" t="s">
        <v>1131</v>
      </c>
      <c r="S1136" s="32"/>
      <c r="T1136" s="33">
        <v>10</v>
      </c>
      <c r="U1136" s="49"/>
    </row>
    <row r="1137" spans="1:21">
      <c r="A1137" s="50" t="s">
        <v>1468</v>
      </c>
      <c r="B1137" s="33" t="s">
        <v>1618</v>
      </c>
      <c r="C1137" s="33">
        <v>100</v>
      </c>
      <c r="D1137" s="33">
        <v>42</v>
      </c>
      <c r="E1137" s="33">
        <v>89.5</v>
      </c>
      <c r="F1137" s="51"/>
      <c r="G1137" s="51"/>
      <c r="H1137" s="32"/>
      <c r="I1137" s="48">
        <v>10.5</v>
      </c>
      <c r="J1137" s="33">
        <v>7</v>
      </c>
      <c r="K1137" s="32"/>
      <c r="L1137" s="33">
        <v>0.03</v>
      </c>
      <c r="M1137" s="33">
        <v>0.7</v>
      </c>
      <c r="N1137" s="32"/>
      <c r="O1137" s="33">
        <v>5.8</v>
      </c>
      <c r="P1137" s="33">
        <v>8</v>
      </c>
      <c r="Q1137" s="33">
        <v>0.1</v>
      </c>
      <c r="R1137" s="33" t="s">
        <v>1131</v>
      </c>
      <c r="S1137" s="32"/>
      <c r="T1137" s="33">
        <v>10</v>
      </c>
      <c r="U1137" s="49"/>
    </row>
    <row r="1138" spans="1:21">
      <c r="A1138" s="50" t="s">
        <v>1469</v>
      </c>
      <c r="B1138" s="33" t="s">
        <v>1618</v>
      </c>
      <c r="C1138" s="33">
        <v>100</v>
      </c>
      <c r="D1138" s="33">
        <v>50</v>
      </c>
      <c r="E1138" s="33">
        <v>87.5</v>
      </c>
      <c r="F1138" s="51"/>
      <c r="G1138" s="51"/>
      <c r="H1138" s="32"/>
      <c r="I1138" s="48">
        <v>12.5</v>
      </c>
      <c r="J1138" s="32"/>
      <c r="K1138" s="33">
        <v>0.21</v>
      </c>
      <c r="L1138" s="32"/>
      <c r="M1138" s="32"/>
      <c r="N1138" s="32"/>
      <c r="O1138" s="33">
        <v>4.4000000000000004</v>
      </c>
      <c r="P1138" s="33">
        <v>8</v>
      </c>
      <c r="Q1138" s="33">
        <v>0.1</v>
      </c>
      <c r="R1138" s="33" t="s">
        <v>1131</v>
      </c>
      <c r="S1138" s="32"/>
      <c r="T1138" s="33">
        <v>10</v>
      </c>
      <c r="U1138" s="49"/>
    </row>
    <row r="1139" spans="1:21">
      <c r="A1139" s="50" t="s">
        <v>1470</v>
      </c>
      <c r="B1139" s="32"/>
      <c r="C1139" s="33">
        <v>100</v>
      </c>
      <c r="D1139" s="33">
        <v>44</v>
      </c>
      <c r="E1139" s="33">
        <v>87.5</v>
      </c>
      <c r="F1139" s="48">
        <v>0.9</v>
      </c>
      <c r="G1139" s="48">
        <v>0.5</v>
      </c>
      <c r="H1139" s="33">
        <v>1.7</v>
      </c>
      <c r="I1139" s="48">
        <v>8.9</v>
      </c>
      <c r="J1139" s="32"/>
      <c r="K1139" s="32"/>
      <c r="L1139" s="32"/>
      <c r="M1139" s="32"/>
      <c r="N1139" s="32"/>
      <c r="O1139" s="33">
        <v>5.4</v>
      </c>
      <c r="P1139" s="33">
        <v>10</v>
      </c>
      <c r="Q1139" s="33">
        <v>15.2</v>
      </c>
      <c r="R1139" s="33" t="s">
        <v>1131</v>
      </c>
      <c r="S1139" s="33">
        <v>8</v>
      </c>
      <c r="T1139" s="33">
        <v>10</v>
      </c>
      <c r="U1139" s="49"/>
    </row>
    <row r="1140" spans="1:21">
      <c r="A1140" s="50" t="s">
        <v>1471</v>
      </c>
      <c r="B1140" s="33" t="s">
        <v>1618</v>
      </c>
      <c r="C1140" s="33">
        <v>100</v>
      </c>
      <c r="D1140" s="33">
        <v>386</v>
      </c>
      <c r="E1140" s="33">
        <v>3.6</v>
      </c>
      <c r="F1140" s="48">
        <v>0.1</v>
      </c>
      <c r="G1140" s="48">
        <v>0.2</v>
      </c>
      <c r="H1140" s="32"/>
      <c r="I1140" s="48">
        <v>95.9</v>
      </c>
      <c r="J1140" s="32"/>
      <c r="K1140" s="33">
        <v>0.32</v>
      </c>
      <c r="L1140" s="33">
        <v>1.34</v>
      </c>
      <c r="M1140" s="33">
        <v>0.6</v>
      </c>
      <c r="N1140" s="32"/>
      <c r="O1140" s="33">
        <v>57.7</v>
      </c>
      <c r="P1140" s="33">
        <v>37</v>
      </c>
      <c r="Q1140" s="33">
        <v>1.7</v>
      </c>
      <c r="R1140" s="33" t="s">
        <v>1131</v>
      </c>
      <c r="S1140" s="32"/>
      <c r="T1140" s="33">
        <v>10</v>
      </c>
      <c r="U1140" s="49"/>
    </row>
    <row r="1141" spans="1:21">
      <c r="A1141" s="50" t="s">
        <v>1472</v>
      </c>
      <c r="B1141" s="33" t="s">
        <v>1655</v>
      </c>
      <c r="C1141" s="33">
        <v>100</v>
      </c>
      <c r="D1141" s="33">
        <v>68</v>
      </c>
      <c r="E1141" s="33">
        <v>83.4</v>
      </c>
      <c r="F1141" s="48">
        <v>0.8</v>
      </c>
      <c r="G1141" s="48">
        <v>0.6</v>
      </c>
      <c r="H1141" s="32"/>
      <c r="I1141" s="48">
        <v>14.9</v>
      </c>
      <c r="J1141" s="33">
        <v>50</v>
      </c>
      <c r="K1141" s="33">
        <v>0.01</v>
      </c>
      <c r="L1141" s="32"/>
      <c r="M1141" s="33">
        <v>0.3</v>
      </c>
      <c r="N1141" s="32"/>
      <c r="O1141" s="33">
        <v>10.7</v>
      </c>
      <c r="P1141" s="33">
        <v>42</v>
      </c>
      <c r="Q1141" s="32"/>
      <c r="R1141" s="33" t="s">
        <v>1131</v>
      </c>
      <c r="S1141" s="32"/>
      <c r="T1141" s="33">
        <v>10</v>
      </c>
      <c r="U1141" s="49"/>
    </row>
    <row r="1142" spans="1:21">
      <c r="A1142" s="50" t="s">
        <v>1473</v>
      </c>
      <c r="B1142" s="33" t="s">
        <v>1618</v>
      </c>
      <c r="C1142" s="33">
        <v>100</v>
      </c>
      <c r="D1142" s="33">
        <v>394</v>
      </c>
      <c r="E1142" s="33">
        <v>1.2</v>
      </c>
      <c r="F1142" s="48">
        <v>0.2</v>
      </c>
      <c r="G1142" s="51"/>
      <c r="H1142" s="32"/>
      <c r="I1142" s="48">
        <v>98.4</v>
      </c>
      <c r="J1142" s="32"/>
      <c r="K1142" s="33">
        <v>0.21</v>
      </c>
      <c r="L1142" s="33">
        <v>0.69</v>
      </c>
      <c r="M1142" s="33">
        <v>0.2</v>
      </c>
      <c r="N1142" s="32"/>
      <c r="O1142" s="33">
        <v>11.5</v>
      </c>
      <c r="P1142" s="33">
        <v>29</v>
      </c>
      <c r="Q1142" s="33">
        <v>6.8</v>
      </c>
      <c r="R1142" s="33" t="s">
        <v>1131</v>
      </c>
      <c r="S1142" s="33">
        <v>5</v>
      </c>
      <c r="T1142" s="33">
        <v>10</v>
      </c>
      <c r="U1142" s="49"/>
    </row>
    <row r="1143" spans="1:21">
      <c r="A1143" s="50" t="s">
        <v>1474</v>
      </c>
      <c r="B1143" s="33" t="s">
        <v>1618</v>
      </c>
      <c r="C1143" s="33">
        <v>100</v>
      </c>
      <c r="D1143" s="33">
        <v>45</v>
      </c>
      <c r="E1143" s="33">
        <v>88.9</v>
      </c>
      <c r="F1143" s="51"/>
      <c r="G1143" s="48">
        <v>0.1</v>
      </c>
      <c r="H1143" s="32"/>
      <c r="I1143" s="48">
        <v>11</v>
      </c>
      <c r="J1143" s="32"/>
      <c r="K1143" s="33">
        <v>0.05</v>
      </c>
      <c r="L1143" s="33">
        <v>0.02</v>
      </c>
      <c r="M1143" s="32"/>
      <c r="N1143" s="32"/>
      <c r="O1143" s="33">
        <v>5</v>
      </c>
      <c r="P1143" s="33">
        <v>6</v>
      </c>
      <c r="Q1143" s="32"/>
      <c r="R1143" s="33" t="s">
        <v>1131</v>
      </c>
      <c r="S1143" s="32"/>
      <c r="T1143" s="33">
        <v>10</v>
      </c>
      <c r="U1143" s="49"/>
    </row>
    <row r="1144" spans="1:21">
      <c r="A1144" s="50" t="s">
        <v>1475</v>
      </c>
      <c r="B1144" s="33" t="s">
        <v>1655</v>
      </c>
      <c r="C1144" s="33">
        <v>100</v>
      </c>
      <c r="D1144" s="33">
        <v>385</v>
      </c>
      <c r="E1144" s="33">
        <v>3.7</v>
      </c>
      <c r="F1144" s="48">
        <v>0.3</v>
      </c>
      <c r="G1144" s="51"/>
      <c r="H1144" s="32"/>
      <c r="I1144" s="48">
        <v>95.9</v>
      </c>
      <c r="J1144" s="32"/>
      <c r="K1144" s="33">
        <v>0.11</v>
      </c>
      <c r="L1144" s="33">
        <v>0.09</v>
      </c>
      <c r="M1144" s="33">
        <v>0.3</v>
      </c>
      <c r="N1144" s="32"/>
      <c r="O1144" s="33">
        <v>6.2</v>
      </c>
      <c r="P1144" s="33">
        <v>24</v>
      </c>
      <c r="Q1144" s="33">
        <v>0.5</v>
      </c>
      <c r="R1144" s="33" t="s">
        <v>1131</v>
      </c>
      <c r="S1144" s="33">
        <v>18</v>
      </c>
      <c r="T1144" s="33">
        <v>10</v>
      </c>
      <c r="U1144" s="49"/>
    </row>
    <row r="1145" spans="1:21">
      <c r="A1145" s="50" t="s">
        <v>1476</v>
      </c>
      <c r="B1145" s="33" t="s">
        <v>1618</v>
      </c>
      <c r="C1145" s="33">
        <v>100</v>
      </c>
      <c r="D1145" s="33">
        <v>30</v>
      </c>
      <c r="E1145" s="33">
        <v>92.5</v>
      </c>
      <c r="F1145" s="48">
        <v>0.1</v>
      </c>
      <c r="G1145" s="51"/>
      <c r="H1145" s="32"/>
      <c r="I1145" s="48">
        <v>7.4</v>
      </c>
      <c r="J1145" s="33">
        <v>3</v>
      </c>
      <c r="K1145" s="33">
        <v>0.04</v>
      </c>
      <c r="L1145" s="32"/>
      <c r="M1145" s="32"/>
      <c r="N1145" s="32"/>
      <c r="O1145" s="33">
        <v>4.2</v>
      </c>
      <c r="P1145" s="33">
        <v>7</v>
      </c>
      <c r="Q1145" s="33">
        <v>0.1</v>
      </c>
      <c r="R1145" s="33" t="s">
        <v>1131</v>
      </c>
      <c r="S1145" s="32"/>
      <c r="T1145" s="33">
        <v>10</v>
      </c>
      <c r="U1145" s="49"/>
    </row>
    <row r="1146" spans="1:21">
      <c r="A1146" s="50" t="s">
        <v>1477</v>
      </c>
      <c r="B1146" s="33" t="s">
        <v>1655</v>
      </c>
      <c r="C1146" s="33">
        <v>100</v>
      </c>
      <c r="D1146" s="33">
        <v>60</v>
      </c>
      <c r="E1146" s="33">
        <v>85.8</v>
      </c>
      <c r="F1146" s="48">
        <v>2.9</v>
      </c>
      <c r="G1146" s="48">
        <v>0.8</v>
      </c>
      <c r="H1146" s="32"/>
      <c r="I1146" s="48">
        <v>10.199999999999999</v>
      </c>
      <c r="J1146" s="33">
        <v>31</v>
      </c>
      <c r="K1146" s="33">
        <v>0.01</v>
      </c>
      <c r="L1146" s="32"/>
      <c r="M1146" s="33">
        <v>0.3</v>
      </c>
      <c r="N1146" s="32"/>
      <c r="O1146" s="33">
        <v>24.8</v>
      </c>
      <c r="P1146" s="33">
        <v>36</v>
      </c>
      <c r="Q1146" s="32"/>
      <c r="R1146" s="33" t="s">
        <v>1131</v>
      </c>
      <c r="S1146" s="32"/>
      <c r="T1146" s="33">
        <v>10</v>
      </c>
      <c r="U1146" s="49"/>
    </row>
    <row r="1147" spans="1:21">
      <c r="A1147" s="50" t="s">
        <v>1478</v>
      </c>
      <c r="B1147" s="33" t="s">
        <v>1628</v>
      </c>
      <c r="C1147" s="33">
        <v>100</v>
      </c>
      <c r="D1147" s="33">
        <v>53</v>
      </c>
      <c r="E1147" s="33">
        <v>86.8</v>
      </c>
      <c r="F1147" s="48">
        <v>0.9</v>
      </c>
      <c r="G1147" s="48">
        <v>0.2</v>
      </c>
      <c r="H1147" s="32"/>
      <c r="I1147" s="48">
        <v>11.8</v>
      </c>
      <c r="J1147" s="33">
        <v>2</v>
      </c>
      <c r="K1147" s="33">
        <v>0.01</v>
      </c>
      <c r="L1147" s="33">
        <v>0.02</v>
      </c>
      <c r="M1147" s="32"/>
      <c r="N1147" s="33">
        <v>2.81</v>
      </c>
      <c r="O1147" s="33">
        <v>53.8</v>
      </c>
      <c r="P1147" s="33">
        <v>14</v>
      </c>
      <c r="Q1147" s="33">
        <v>0.1</v>
      </c>
      <c r="R1147" s="33" t="s">
        <v>1131</v>
      </c>
      <c r="S1147" s="32"/>
      <c r="T1147" s="33">
        <v>10</v>
      </c>
      <c r="U1147" s="49"/>
    </row>
    <row r="1148" spans="1:21">
      <c r="A1148" s="50" t="s">
        <v>1479</v>
      </c>
      <c r="B1148" s="33" t="s">
        <v>1668</v>
      </c>
      <c r="C1148" s="33">
        <v>100</v>
      </c>
      <c r="D1148" s="33">
        <v>46</v>
      </c>
      <c r="E1148" s="33">
        <v>89.7</v>
      </c>
      <c r="F1148" s="48">
        <v>0.9</v>
      </c>
      <c r="G1148" s="48">
        <v>1.1000000000000001</v>
      </c>
      <c r="H1148" s="32"/>
      <c r="I1148" s="48">
        <v>8.1</v>
      </c>
      <c r="J1148" s="32"/>
      <c r="K1148" s="32"/>
      <c r="L1148" s="33">
        <v>0.02</v>
      </c>
      <c r="M1148" s="32"/>
      <c r="N1148" s="32"/>
      <c r="O1148" s="33">
        <v>9.1999999999999993</v>
      </c>
      <c r="P1148" s="33">
        <v>4</v>
      </c>
      <c r="Q1148" s="32"/>
      <c r="R1148" s="33" t="s">
        <v>1131</v>
      </c>
      <c r="S1148" s="33">
        <v>1</v>
      </c>
      <c r="T1148" s="33">
        <v>10</v>
      </c>
      <c r="U1148" s="49"/>
    </row>
    <row r="1149" spans="1:21">
      <c r="A1149" s="50" t="s">
        <v>1480</v>
      </c>
      <c r="B1149" s="33" t="s">
        <v>1618</v>
      </c>
      <c r="C1149" s="33">
        <v>100</v>
      </c>
      <c r="D1149" s="33">
        <v>137</v>
      </c>
      <c r="E1149" s="33">
        <v>69.7</v>
      </c>
      <c r="F1149" s="48">
        <v>2.2999999999999998</v>
      </c>
      <c r="G1149" s="48">
        <v>3.6</v>
      </c>
      <c r="H1149" s="32"/>
      <c r="I1149" s="48">
        <v>23.9</v>
      </c>
      <c r="J1149" s="33">
        <v>45</v>
      </c>
      <c r="K1149" s="33">
        <v>0.01</v>
      </c>
      <c r="L1149" s="33">
        <v>0.02</v>
      </c>
      <c r="M1149" s="33">
        <v>0.1</v>
      </c>
      <c r="N1149" s="33">
        <v>0.78</v>
      </c>
      <c r="O1149" s="33">
        <v>51.1</v>
      </c>
      <c r="P1149" s="33">
        <v>100</v>
      </c>
      <c r="Q1149" s="33">
        <v>0.8</v>
      </c>
      <c r="R1149" s="33" t="s">
        <v>1131</v>
      </c>
      <c r="S1149" s="32"/>
      <c r="T1149" s="33">
        <v>10</v>
      </c>
      <c r="U1149" s="35">
        <v>38</v>
      </c>
    </row>
    <row r="1150" spans="1:21">
      <c r="A1150" s="50" t="s">
        <v>1481</v>
      </c>
      <c r="B1150" s="32"/>
      <c r="C1150" s="33">
        <v>100</v>
      </c>
      <c r="D1150" s="33">
        <v>228</v>
      </c>
      <c r="E1150" s="33">
        <v>59.4</v>
      </c>
      <c r="F1150" s="48">
        <v>2.6</v>
      </c>
      <c r="G1150" s="48">
        <v>13.7</v>
      </c>
      <c r="H1150" s="32"/>
      <c r="I1150" s="48">
        <v>23.6</v>
      </c>
      <c r="J1150" s="33">
        <v>26</v>
      </c>
      <c r="K1150" s="33">
        <v>0.01</v>
      </c>
      <c r="L1150" s="33">
        <v>0.03</v>
      </c>
      <c r="M1150" s="33">
        <v>0.2</v>
      </c>
      <c r="N1150" s="33">
        <v>4.47</v>
      </c>
      <c r="O1150" s="33">
        <v>65.900000000000006</v>
      </c>
      <c r="P1150" s="33">
        <v>168</v>
      </c>
      <c r="Q1150" s="33">
        <v>0.8</v>
      </c>
      <c r="R1150" s="33" t="s">
        <v>1131</v>
      </c>
      <c r="S1150" s="32"/>
      <c r="T1150" s="33">
        <v>10</v>
      </c>
      <c r="U1150" s="35">
        <v>52</v>
      </c>
    </row>
    <row r="1151" spans="1:21">
      <c r="A1151" s="50" t="s">
        <v>1482</v>
      </c>
      <c r="B1151" s="33" t="s">
        <v>1717</v>
      </c>
      <c r="C1151" s="33">
        <v>100</v>
      </c>
      <c r="D1151" s="33">
        <v>400</v>
      </c>
      <c r="E1151" s="32"/>
      <c r="F1151" s="51"/>
      <c r="G1151" s="51"/>
      <c r="H1151" s="32"/>
      <c r="I1151" s="48">
        <v>99.9</v>
      </c>
      <c r="J1151" s="32"/>
      <c r="K1151" s="32"/>
      <c r="L1151" s="32"/>
      <c r="M1151" s="32"/>
      <c r="N1151" s="32"/>
      <c r="O1151" s="33">
        <v>0.4</v>
      </c>
      <c r="P1151" s="33">
        <v>20</v>
      </c>
      <c r="Q1151" s="33">
        <v>0.6</v>
      </c>
      <c r="R1151" s="33" t="s">
        <v>1483</v>
      </c>
      <c r="S1151" s="32"/>
      <c r="T1151" s="33">
        <v>1</v>
      </c>
      <c r="U1151" s="49"/>
    </row>
    <row r="1152" spans="1:21">
      <c r="A1152" s="50" t="s">
        <v>1484</v>
      </c>
      <c r="B1152" s="32"/>
      <c r="C1152" s="33">
        <v>100</v>
      </c>
      <c r="D1152" s="33">
        <v>396</v>
      </c>
      <c r="E1152" s="33">
        <v>0.9</v>
      </c>
      <c r="F1152" s="48">
        <v>0.1</v>
      </c>
      <c r="G1152" s="51"/>
      <c r="H1152" s="32"/>
      <c r="I1152" s="48">
        <v>98.9</v>
      </c>
      <c r="J1152" s="32"/>
      <c r="K1152" s="32"/>
      <c r="L1152" s="32"/>
      <c r="M1152" s="33">
        <v>0.2</v>
      </c>
      <c r="N1152" s="32"/>
      <c r="O1152" s="33">
        <v>2</v>
      </c>
      <c r="P1152" s="33">
        <v>6</v>
      </c>
      <c r="Q1152" s="33">
        <v>0.2</v>
      </c>
      <c r="R1152" s="33" t="s">
        <v>1483</v>
      </c>
      <c r="S1152" s="32"/>
      <c r="T1152" s="33">
        <v>1</v>
      </c>
      <c r="U1152" s="49"/>
    </row>
    <row r="1153" spans="1:21">
      <c r="A1153" s="50" t="s">
        <v>1485</v>
      </c>
      <c r="B1153" s="32"/>
      <c r="C1153" s="33">
        <v>100</v>
      </c>
      <c r="D1153" s="33">
        <v>397</v>
      </c>
      <c r="E1153" s="33">
        <v>0.6</v>
      </c>
      <c r="F1153" s="51"/>
      <c r="G1153" s="51"/>
      <c r="H1153" s="32"/>
      <c r="I1153" s="48">
        <v>99.3</v>
      </c>
      <c r="J1153" s="32"/>
      <c r="K1153" s="32"/>
      <c r="L1153" s="33">
        <v>0.03</v>
      </c>
      <c r="M1153" s="32"/>
      <c r="N1153" s="32"/>
      <c r="O1153" s="33">
        <v>2.7</v>
      </c>
      <c r="P1153" s="33">
        <v>23</v>
      </c>
      <c r="Q1153" s="33">
        <v>1.4</v>
      </c>
      <c r="R1153" s="33" t="s">
        <v>1483</v>
      </c>
      <c r="S1153" s="32"/>
      <c r="T1153" s="33">
        <v>1</v>
      </c>
      <c r="U1153" s="49"/>
    </row>
    <row r="1154" spans="1:21">
      <c r="A1154" s="50" t="s">
        <v>1486</v>
      </c>
      <c r="B1154" s="33" t="s">
        <v>1733</v>
      </c>
      <c r="C1154" s="33">
        <v>100</v>
      </c>
      <c r="D1154" s="33">
        <v>396</v>
      </c>
      <c r="E1154" s="33">
        <v>1</v>
      </c>
      <c r="F1154" s="51"/>
      <c r="G1154" s="51"/>
      <c r="H1154" s="32"/>
      <c r="I1154" s="48">
        <v>99</v>
      </c>
      <c r="J1154" s="32"/>
      <c r="K1154" s="32"/>
      <c r="L1154" s="32"/>
      <c r="M1154" s="32"/>
      <c r="N1154" s="32"/>
      <c r="O1154" s="33">
        <v>9.6999999999999993</v>
      </c>
      <c r="P1154" s="33">
        <v>12</v>
      </c>
      <c r="Q1154" s="33">
        <v>0.8</v>
      </c>
      <c r="R1154" s="33" t="s">
        <v>1483</v>
      </c>
      <c r="S1154" s="32"/>
      <c r="T1154" s="33">
        <v>1</v>
      </c>
      <c r="U1154" s="49"/>
    </row>
    <row r="1155" spans="1:21">
      <c r="A1155" s="50" t="s">
        <v>1487</v>
      </c>
      <c r="B1155" s="32"/>
      <c r="C1155" s="33">
        <v>100</v>
      </c>
      <c r="D1155" s="33">
        <v>321</v>
      </c>
      <c r="E1155" s="33">
        <v>22</v>
      </c>
      <c r="F1155" s="48">
        <v>0.4</v>
      </c>
      <c r="G1155" s="48">
        <v>1.9</v>
      </c>
      <c r="H1155" s="32"/>
      <c r="I1155" s="48">
        <v>75.599999999999994</v>
      </c>
      <c r="J1155" s="32"/>
      <c r="K1155" s="32"/>
      <c r="L1155" s="33">
        <v>0.05</v>
      </c>
      <c r="M1155" s="33">
        <v>0.1</v>
      </c>
      <c r="N1155" s="32"/>
      <c r="O1155" s="33">
        <v>0.3</v>
      </c>
      <c r="P1155" s="33">
        <v>4</v>
      </c>
      <c r="Q1155" s="33">
        <v>1</v>
      </c>
      <c r="R1155" s="33" t="s">
        <v>1483</v>
      </c>
      <c r="S1155" s="33">
        <v>3</v>
      </c>
      <c r="T1155" s="33">
        <v>1</v>
      </c>
      <c r="U1155" s="49"/>
    </row>
    <row r="1156" spans="1:21">
      <c r="A1156" s="50" t="s">
        <v>1488</v>
      </c>
      <c r="B1156" s="32"/>
      <c r="C1156" s="33">
        <v>100</v>
      </c>
      <c r="D1156" s="33">
        <v>389</v>
      </c>
      <c r="E1156" s="33">
        <v>1.9</v>
      </c>
      <c r="F1156" s="48">
        <v>0.7</v>
      </c>
      <c r="G1156" s="51"/>
      <c r="H1156" s="32"/>
      <c r="I1156" s="48">
        <v>96.6</v>
      </c>
      <c r="J1156" s="32"/>
      <c r="K1156" s="33">
        <v>0.01</v>
      </c>
      <c r="L1156" s="32"/>
      <c r="M1156" s="33">
        <v>0.3</v>
      </c>
      <c r="N1156" s="32"/>
      <c r="O1156" s="33">
        <v>18.3</v>
      </c>
      <c r="P1156" s="33">
        <v>157</v>
      </c>
      <c r="Q1156" s="33">
        <v>2.2000000000000002</v>
      </c>
      <c r="R1156" s="33" t="s">
        <v>1483</v>
      </c>
      <c r="S1156" s="32"/>
      <c r="T1156" s="33">
        <v>1</v>
      </c>
      <c r="U1156" s="49"/>
    </row>
    <row r="1157" spans="1:21">
      <c r="A1157" s="50" t="s">
        <v>1489</v>
      </c>
      <c r="B1157" s="33" t="s">
        <v>1655</v>
      </c>
      <c r="C1157" s="33">
        <v>69</v>
      </c>
      <c r="D1157" s="33">
        <v>368</v>
      </c>
      <c r="E1157" s="33">
        <v>7.7</v>
      </c>
      <c r="F1157" s="48">
        <v>0.1</v>
      </c>
      <c r="G1157" s="51"/>
      <c r="H1157" s="32"/>
      <c r="I1157" s="48">
        <v>91.9</v>
      </c>
      <c r="J1157" s="32"/>
      <c r="K1157" s="33">
        <v>0.04</v>
      </c>
      <c r="L1157" s="33">
        <v>7.0000000000000007E-2</v>
      </c>
      <c r="M1157" s="33">
        <v>0.5</v>
      </c>
      <c r="N1157" s="32"/>
      <c r="O1157" s="32"/>
      <c r="P1157" s="33">
        <v>22</v>
      </c>
      <c r="Q1157" s="32"/>
      <c r="R1157" s="33" t="s">
        <v>1483</v>
      </c>
      <c r="S1157" s="32"/>
      <c r="T1157" s="33">
        <v>1</v>
      </c>
      <c r="U1157" s="49"/>
    </row>
    <row r="1158" spans="1:21">
      <c r="A1158" s="50" t="s">
        <v>1490</v>
      </c>
      <c r="B1158" s="32"/>
      <c r="C1158" s="33">
        <v>100</v>
      </c>
      <c r="D1158" s="33">
        <v>392</v>
      </c>
      <c r="E1158" s="33">
        <v>7</v>
      </c>
      <c r="F1158" s="48">
        <v>7.2</v>
      </c>
      <c r="G1158" s="48">
        <v>14</v>
      </c>
      <c r="H1158" s="33">
        <v>11.5</v>
      </c>
      <c r="I1158" s="48">
        <v>59.3</v>
      </c>
      <c r="J1158" s="32"/>
      <c r="K1158" s="33">
        <v>0.11</v>
      </c>
      <c r="L1158" s="33">
        <v>0.06</v>
      </c>
      <c r="M1158" s="33">
        <v>1.9</v>
      </c>
      <c r="N1158" s="33">
        <v>4.34</v>
      </c>
      <c r="O1158" s="33">
        <v>36.5</v>
      </c>
      <c r="P1158" s="33">
        <v>243</v>
      </c>
      <c r="Q1158" s="32"/>
      <c r="R1158" s="33" t="s">
        <v>1483</v>
      </c>
      <c r="S1158" s="32"/>
      <c r="T1158" s="33">
        <v>1</v>
      </c>
      <c r="U1158" s="49"/>
    </row>
    <row r="1159" spans="1:21">
      <c r="A1159" s="50" t="s">
        <v>1491</v>
      </c>
      <c r="B1159" s="33" t="s">
        <v>1655</v>
      </c>
      <c r="C1159" s="33">
        <v>100</v>
      </c>
      <c r="D1159" s="33">
        <v>359</v>
      </c>
      <c r="E1159" s="33">
        <v>10.1</v>
      </c>
      <c r="F1159" s="48">
        <v>0.1</v>
      </c>
      <c r="G1159" s="51"/>
      <c r="H1159" s="32"/>
      <c r="I1159" s="48">
        <v>89.6</v>
      </c>
      <c r="J1159" s="32"/>
      <c r="K1159" s="33">
        <v>0.04</v>
      </c>
      <c r="L1159" s="33">
        <v>0.02</v>
      </c>
      <c r="M1159" s="33">
        <v>0.2</v>
      </c>
      <c r="N1159" s="32"/>
      <c r="O1159" s="32"/>
      <c r="P1159" s="33">
        <v>26</v>
      </c>
      <c r="Q1159" s="33">
        <v>1.1000000000000001</v>
      </c>
      <c r="R1159" s="33" t="s">
        <v>1483</v>
      </c>
      <c r="S1159" s="32"/>
      <c r="T1159" s="33">
        <v>1</v>
      </c>
      <c r="U1159" s="49"/>
    </row>
    <row r="1160" spans="1:21">
      <c r="A1160" s="50" t="s">
        <v>1492</v>
      </c>
      <c r="B1160" s="33" t="s">
        <v>1655</v>
      </c>
      <c r="C1160" s="33">
        <v>100</v>
      </c>
      <c r="D1160" s="33">
        <v>321</v>
      </c>
      <c r="E1160" s="33">
        <v>19.5</v>
      </c>
      <c r="F1160" s="48">
        <v>4.9000000000000004</v>
      </c>
      <c r="G1160" s="51"/>
      <c r="H1160" s="32"/>
      <c r="I1160" s="48">
        <v>75.3</v>
      </c>
      <c r="J1160" s="32"/>
      <c r="K1160" s="33">
        <v>0.04</v>
      </c>
      <c r="L1160" s="33">
        <v>0.01</v>
      </c>
      <c r="M1160" s="33">
        <v>0.3</v>
      </c>
      <c r="N1160" s="32"/>
      <c r="O1160" s="33">
        <v>94.6</v>
      </c>
      <c r="P1160" s="33">
        <v>19</v>
      </c>
      <c r="Q1160" s="32"/>
      <c r="R1160" s="33" t="s">
        <v>1483</v>
      </c>
      <c r="S1160" s="32"/>
      <c r="T1160" s="33">
        <v>1</v>
      </c>
      <c r="U1160" s="49"/>
    </row>
    <row r="1161" spans="1:21">
      <c r="A1161" s="50" t="s">
        <v>1493</v>
      </c>
      <c r="B1161" s="33" t="s">
        <v>1618</v>
      </c>
      <c r="C1161" s="33">
        <v>100</v>
      </c>
      <c r="D1161" s="33">
        <v>384</v>
      </c>
      <c r="E1161" s="33">
        <v>7.3</v>
      </c>
      <c r="F1161" s="48">
        <v>3.1</v>
      </c>
      <c r="G1161" s="48">
        <v>3.3</v>
      </c>
      <c r="H1161" s="33">
        <v>0.3</v>
      </c>
      <c r="I1161" s="48">
        <v>85.5</v>
      </c>
      <c r="J1161" s="32"/>
      <c r="K1161" s="33">
        <v>0.05</v>
      </c>
      <c r="L1161" s="33">
        <v>0.09</v>
      </c>
      <c r="M1161" s="33">
        <v>2.5</v>
      </c>
      <c r="N1161" s="33">
        <v>2.16</v>
      </c>
      <c r="O1161" s="33">
        <v>43.4</v>
      </c>
      <c r="P1161" s="33">
        <v>144</v>
      </c>
      <c r="Q1161" s="33">
        <v>5.4</v>
      </c>
      <c r="R1161" s="33" t="s">
        <v>1483</v>
      </c>
      <c r="S1161" s="32"/>
      <c r="T1161" s="33">
        <v>1</v>
      </c>
      <c r="U1161" s="49"/>
    </row>
    <row r="1162" spans="1:21">
      <c r="A1162" s="50" t="s">
        <v>1494</v>
      </c>
      <c r="B1162" s="32"/>
      <c r="C1162" s="33">
        <v>100</v>
      </c>
      <c r="D1162" s="33">
        <v>407</v>
      </c>
      <c r="E1162" s="33">
        <v>5.6</v>
      </c>
      <c r="F1162" s="48">
        <v>2.5</v>
      </c>
      <c r="G1162" s="48">
        <v>6.6</v>
      </c>
      <c r="H1162" s="32"/>
      <c r="I1162" s="48">
        <v>84.5</v>
      </c>
      <c r="J1162" s="32"/>
      <c r="K1162" s="33">
        <v>0.08</v>
      </c>
      <c r="L1162" s="33">
        <v>0.17</v>
      </c>
      <c r="M1162" s="33">
        <v>0.6</v>
      </c>
      <c r="N1162" s="32"/>
      <c r="O1162" s="33">
        <v>222.5</v>
      </c>
      <c r="P1162" s="33">
        <v>50</v>
      </c>
      <c r="Q1162" s="33">
        <v>3.4</v>
      </c>
      <c r="R1162" s="33" t="s">
        <v>1483</v>
      </c>
      <c r="S1162" s="32"/>
      <c r="T1162" s="33">
        <v>1</v>
      </c>
      <c r="U1162" s="49"/>
    </row>
    <row r="1163" spans="1:21">
      <c r="A1163" s="50" t="s">
        <v>1495</v>
      </c>
      <c r="B1163" s="32"/>
      <c r="C1163" s="33">
        <v>68</v>
      </c>
      <c r="D1163" s="33">
        <v>360</v>
      </c>
      <c r="E1163" s="33">
        <v>9.6999999999999993</v>
      </c>
      <c r="F1163" s="48">
        <v>0.2</v>
      </c>
      <c r="G1163" s="51"/>
      <c r="H1163" s="32"/>
      <c r="I1163" s="48">
        <v>89.8</v>
      </c>
      <c r="J1163" s="32"/>
      <c r="K1163" s="33">
        <v>0.04</v>
      </c>
      <c r="L1163" s="33">
        <v>0.09</v>
      </c>
      <c r="M1163" s="33">
        <v>0.5</v>
      </c>
      <c r="N1163" s="32"/>
      <c r="O1163" s="33">
        <v>20.6</v>
      </c>
      <c r="P1163" s="33">
        <v>6</v>
      </c>
      <c r="Q1163" s="32"/>
      <c r="R1163" s="33" t="s">
        <v>1483</v>
      </c>
      <c r="S1163" s="32"/>
      <c r="T1163" s="33">
        <v>1</v>
      </c>
      <c r="U1163" s="49"/>
    </row>
    <row r="1164" spans="1:21">
      <c r="A1164" s="50" t="s">
        <v>1496</v>
      </c>
      <c r="B1164" s="32"/>
      <c r="C1164" s="33">
        <v>100</v>
      </c>
      <c r="D1164" s="33">
        <v>586</v>
      </c>
      <c r="E1164" s="33">
        <v>1</v>
      </c>
      <c r="F1164" s="48">
        <v>4.3</v>
      </c>
      <c r="G1164" s="48">
        <v>40.1</v>
      </c>
      <c r="H1164" s="33">
        <v>1.5</v>
      </c>
      <c r="I1164" s="48">
        <v>51.9</v>
      </c>
      <c r="J1164" s="32"/>
      <c r="K1164" s="33">
        <v>0.06</v>
      </c>
      <c r="L1164" s="33">
        <v>0.08</v>
      </c>
      <c r="M1164" s="33">
        <v>1.4</v>
      </c>
      <c r="N1164" s="33">
        <v>1.62</v>
      </c>
      <c r="O1164" s="33">
        <v>111.8</v>
      </c>
      <c r="P1164" s="33">
        <v>111</v>
      </c>
      <c r="Q1164" s="33">
        <v>1.7</v>
      </c>
      <c r="R1164" s="33" t="s">
        <v>1483</v>
      </c>
      <c r="S1164" s="32"/>
      <c r="T1164" s="33">
        <v>1</v>
      </c>
      <c r="U1164" s="49"/>
    </row>
    <row r="1165" spans="1:21">
      <c r="A1165" s="50" t="s">
        <v>1497</v>
      </c>
      <c r="B1165" s="32"/>
      <c r="C1165" s="33">
        <v>100</v>
      </c>
      <c r="D1165" s="33">
        <v>400</v>
      </c>
      <c r="E1165" s="33">
        <v>13.8</v>
      </c>
      <c r="F1165" s="48">
        <v>1.3</v>
      </c>
      <c r="G1165" s="48">
        <v>12</v>
      </c>
      <c r="H1165" s="33">
        <v>0.4</v>
      </c>
      <c r="I1165" s="48">
        <v>71.8</v>
      </c>
      <c r="J1165" s="32"/>
      <c r="K1165" s="33">
        <v>0.06</v>
      </c>
      <c r="L1165" s="33">
        <v>0.34</v>
      </c>
      <c r="M1165" s="33">
        <v>0.2</v>
      </c>
      <c r="N1165" s="33">
        <v>2.64</v>
      </c>
      <c r="O1165" s="33">
        <v>35.6</v>
      </c>
      <c r="P1165" s="33">
        <v>128</v>
      </c>
      <c r="Q1165" s="33">
        <v>2.2999999999999998</v>
      </c>
      <c r="R1165" s="33" t="s">
        <v>1483</v>
      </c>
      <c r="S1165" s="32"/>
      <c r="T1165" s="33">
        <v>1</v>
      </c>
      <c r="U1165" s="49"/>
    </row>
    <row r="1166" spans="1:21">
      <c r="A1166" s="50" t="s">
        <v>1498</v>
      </c>
      <c r="B1166" s="33" t="s">
        <v>1618</v>
      </c>
      <c r="C1166" s="33">
        <v>100</v>
      </c>
      <c r="D1166" s="33">
        <v>572</v>
      </c>
      <c r="E1166" s="33">
        <v>2.1</v>
      </c>
      <c r="F1166" s="48">
        <v>8.1999999999999993</v>
      </c>
      <c r="G1166" s="48">
        <v>38.4</v>
      </c>
      <c r="H1166" s="33">
        <v>1.2</v>
      </c>
      <c r="I1166" s="48">
        <v>48.5</v>
      </c>
      <c r="J1166" s="32"/>
      <c r="K1166" s="33">
        <v>0.08</v>
      </c>
      <c r="L1166" s="33">
        <v>7.0000000000000007E-2</v>
      </c>
      <c r="M1166" s="33">
        <v>0.4</v>
      </c>
      <c r="N1166" s="33">
        <v>11.66</v>
      </c>
      <c r="O1166" s="33">
        <v>111.2</v>
      </c>
      <c r="P1166" s="33">
        <v>61</v>
      </c>
      <c r="Q1166" s="33">
        <v>5.5</v>
      </c>
      <c r="R1166" s="33" t="s">
        <v>1483</v>
      </c>
      <c r="S1166" s="32"/>
      <c r="T1166" s="33">
        <v>1</v>
      </c>
      <c r="U1166" s="49"/>
    </row>
    <row r="1167" spans="1:21">
      <c r="A1167" s="50" t="s">
        <v>1499</v>
      </c>
      <c r="B1167" s="33" t="s">
        <v>1655</v>
      </c>
      <c r="C1167" s="33">
        <v>100</v>
      </c>
      <c r="D1167" s="33">
        <v>369</v>
      </c>
      <c r="E1167" s="33">
        <v>6.6</v>
      </c>
      <c r="F1167" s="48">
        <v>0.5</v>
      </c>
      <c r="G1167" s="51"/>
      <c r="H1167" s="33">
        <v>0.9</v>
      </c>
      <c r="I1167" s="48">
        <v>91.7</v>
      </c>
      <c r="J1167" s="32"/>
      <c r="K1167" s="33">
        <v>0.04</v>
      </c>
      <c r="L1167" s="32"/>
      <c r="M1167" s="33">
        <v>0.7</v>
      </c>
      <c r="N1167" s="32"/>
      <c r="O1167" s="33">
        <v>160.4</v>
      </c>
      <c r="P1167" s="33">
        <v>58</v>
      </c>
      <c r="Q1167" s="33">
        <v>2.2999999999999998</v>
      </c>
      <c r="R1167" s="33" t="s">
        <v>1483</v>
      </c>
      <c r="S1167" s="32"/>
      <c r="T1167" s="33">
        <v>1</v>
      </c>
      <c r="U1167" s="49"/>
    </row>
    <row r="1168" spans="1:21">
      <c r="A1168" s="50" t="s">
        <v>1500</v>
      </c>
      <c r="B1168" s="33" t="s">
        <v>1618</v>
      </c>
      <c r="C1168" s="33">
        <v>100</v>
      </c>
      <c r="D1168" s="33">
        <v>395</v>
      </c>
      <c r="E1168" s="33">
        <v>1</v>
      </c>
      <c r="F1168" s="48">
        <v>0.2</v>
      </c>
      <c r="G1168" s="48">
        <v>0.2</v>
      </c>
      <c r="H1168" s="33">
        <v>0.1</v>
      </c>
      <c r="I1168" s="48">
        <v>98.1</v>
      </c>
      <c r="J1168" s="32"/>
      <c r="K1168" s="33">
        <v>0.04</v>
      </c>
      <c r="L1168" s="33">
        <v>0.05</v>
      </c>
      <c r="M1168" s="32"/>
      <c r="N1168" s="32"/>
      <c r="O1168" s="33">
        <v>107.8</v>
      </c>
      <c r="P1168" s="32"/>
      <c r="Q1168" s="33">
        <v>3</v>
      </c>
      <c r="R1168" s="33" t="s">
        <v>1483</v>
      </c>
      <c r="S1168" s="32"/>
      <c r="T1168" s="33">
        <v>1</v>
      </c>
      <c r="U1168" s="49"/>
    </row>
    <row r="1169" spans="1:21">
      <c r="A1169" s="50" t="s">
        <v>1501</v>
      </c>
      <c r="B1169" s="33" t="s">
        <v>1618</v>
      </c>
      <c r="C1169" s="33">
        <v>100</v>
      </c>
      <c r="D1169" s="33">
        <v>397</v>
      </c>
      <c r="E1169" s="33">
        <v>0.7</v>
      </c>
      <c r="F1169" s="51"/>
      <c r="G1169" s="48">
        <v>0.4</v>
      </c>
      <c r="H1169" s="32"/>
      <c r="I1169" s="48">
        <v>98.4</v>
      </c>
      <c r="J1169" s="32"/>
      <c r="K1169" s="32"/>
      <c r="L1169" s="32"/>
      <c r="M1169" s="33">
        <v>0.1</v>
      </c>
      <c r="N1169" s="32"/>
      <c r="O1169" s="33">
        <v>154.69999999999999</v>
      </c>
      <c r="P1169" s="33">
        <v>10</v>
      </c>
      <c r="Q1169" s="33">
        <v>2.2999999999999998</v>
      </c>
      <c r="R1169" s="33" t="s">
        <v>1483</v>
      </c>
      <c r="S1169" s="32"/>
      <c r="T1169" s="33">
        <v>1</v>
      </c>
      <c r="U1169" s="49"/>
    </row>
    <row r="1170" spans="1:21">
      <c r="A1170" s="50" t="s">
        <v>1502</v>
      </c>
      <c r="B1170" s="32"/>
      <c r="C1170" s="33">
        <v>100</v>
      </c>
      <c r="D1170" s="33">
        <v>436</v>
      </c>
      <c r="E1170" s="33">
        <v>3.3</v>
      </c>
      <c r="F1170" s="48">
        <v>6</v>
      </c>
      <c r="G1170" s="48">
        <v>13.9</v>
      </c>
      <c r="H1170" s="33">
        <v>4</v>
      </c>
      <c r="I1170" s="48">
        <v>71.599999999999994</v>
      </c>
      <c r="J1170" s="32"/>
      <c r="K1170" s="33">
        <v>0.1</v>
      </c>
      <c r="L1170" s="33">
        <v>0.04</v>
      </c>
      <c r="M1170" s="33">
        <v>3.5</v>
      </c>
      <c r="N1170" s="33">
        <v>4.8499999999999996</v>
      </c>
      <c r="O1170" s="33">
        <v>45</v>
      </c>
      <c r="P1170" s="33">
        <v>186</v>
      </c>
      <c r="Q1170" s="33">
        <v>6</v>
      </c>
      <c r="R1170" s="33" t="s">
        <v>1483</v>
      </c>
      <c r="S1170" s="32"/>
      <c r="T1170" s="33">
        <v>1</v>
      </c>
      <c r="U1170" s="49"/>
    </row>
    <row r="1171" spans="1:21">
      <c r="A1171" s="50" t="s">
        <v>1503</v>
      </c>
      <c r="B1171" s="33" t="s">
        <v>1618</v>
      </c>
      <c r="C1171" s="33">
        <v>100</v>
      </c>
      <c r="D1171" s="33">
        <v>397</v>
      </c>
      <c r="E1171" s="33">
        <v>0.4</v>
      </c>
      <c r="F1171" s="51"/>
      <c r="G1171" s="48">
        <v>0.2</v>
      </c>
      <c r="H1171" s="32"/>
      <c r="I1171" s="48">
        <v>98.8</v>
      </c>
      <c r="J1171" s="33">
        <v>32</v>
      </c>
      <c r="K1171" s="32"/>
      <c r="L1171" s="33">
        <v>0.05</v>
      </c>
      <c r="M1171" s="33">
        <v>2.2999999999999998</v>
      </c>
      <c r="N1171" s="32"/>
      <c r="O1171" s="33">
        <v>172.1</v>
      </c>
      <c r="P1171" s="33">
        <v>14</v>
      </c>
      <c r="Q1171" s="33">
        <v>1.9</v>
      </c>
      <c r="R1171" s="33" t="s">
        <v>1483</v>
      </c>
      <c r="S1171" s="32"/>
      <c r="T1171" s="33">
        <v>1</v>
      </c>
      <c r="U1171" s="49"/>
    </row>
    <row r="1172" spans="1:21">
      <c r="A1172" s="50" t="s">
        <v>1504</v>
      </c>
      <c r="B1172" s="33" t="s">
        <v>1618</v>
      </c>
      <c r="C1172" s="33">
        <v>100</v>
      </c>
      <c r="D1172" s="33">
        <v>538</v>
      </c>
      <c r="E1172" s="33">
        <v>4.2</v>
      </c>
      <c r="F1172" s="48">
        <v>4.8</v>
      </c>
      <c r="G1172" s="48">
        <v>35.6</v>
      </c>
      <c r="H1172" s="33">
        <v>4.7</v>
      </c>
      <c r="I1172" s="48">
        <v>49.7</v>
      </c>
      <c r="J1172" s="32"/>
      <c r="K1172" s="33">
        <v>0.13</v>
      </c>
      <c r="L1172" s="33">
        <v>0.1</v>
      </c>
      <c r="M1172" s="33">
        <v>2.1</v>
      </c>
      <c r="N1172" s="33">
        <v>4.3600000000000003</v>
      </c>
      <c r="O1172" s="33">
        <v>33.5</v>
      </c>
      <c r="P1172" s="32"/>
      <c r="Q1172" s="33">
        <v>10.3</v>
      </c>
      <c r="R1172" s="33" t="s">
        <v>1483</v>
      </c>
      <c r="S1172" s="32"/>
      <c r="T1172" s="33">
        <v>1</v>
      </c>
      <c r="U1172" s="49"/>
    </row>
    <row r="1173" spans="1:21">
      <c r="A1173" s="50" t="s">
        <v>1505</v>
      </c>
      <c r="B1173" s="33" t="s">
        <v>1733</v>
      </c>
      <c r="C1173" s="33">
        <v>100</v>
      </c>
      <c r="D1173" s="33">
        <v>341</v>
      </c>
      <c r="E1173" s="33">
        <v>14.1</v>
      </c>
      <c r="F1173" s="48">
        <v>0.5</v>
      </c>
      <c r="G1173" s="51"/>
      <c r="H1173" s="33">
        <v>0.5</v>
      </c>
      <c r="I1173" s="48">
        <v>84.8</v>
      </c>
      <c r="J1173" s="32"/>
      <c r="K1173" s="33">
        <v>0.04</v>
      </c>
      <c r="L1173" s="32"/>
      <c r="M1173" s="32"/>
      <c r="N1173" s="32"/>
      <c r="O1173" s="33">
        <v>18.2</v>
      </c>
      <c r="P1173" s="33">
        <v>36</v>
      </c>
      <c r="Q1173" s="33">
        <v>2.2999999999999998</v>
      </c>
      <c r="R1173" s="33" t="s">
        <v>315</v>
      </c>
      <c r="S1173" s="32"/>
      <c r="T1173" s="33">
        <v>5</v>
      </c>
      <c r="U1173" s="49"/>
    </row>
    <row r="1174" spans="1:21">
      <c r="A1174" s="50" t="s">
        <v>1153</v>
      </c>
      <c r="B1174" s="33" t="s">
        <v>1618</v>
      </c>
      <c r="C1174" s="33">
        <v>100</v>
      </c>
      <c r="D1174" s="33">
        <v>337</v>
      </c>
      <c r="E1174" s="33">
        <v>12</v>
      </c>
      <c r="F1174" s="48">
        <v>1.2</v>
      </c>
      <c r="G1174" s="48">
        <v>0.5</v>
      </c>
      <c r="H1174" s="33">
        <v>1.4</v>
      </c>
      <c r="I1174" s="48">
        <v>82</v>
      </c>
      <c r="J1174" s="32"/>
      <c r="K1174" s="33">
        <v>0.08</v>
      </c>
      <c r="L1174" s="33">
        <v>0.06</v>
      </c>
      <c r="M1174" s="33">
        <v>1.1000000000000001</v>
      </c>
      <c r="N1174" s="32"/>
      <c r="O1174" s="33">
        <v>4.7</v>
      </c>
      <c r="P1174" s="32"/>
      <c r="Q1174" s="33">
        <v>10.7</v>
      </c>
      <c r="R1174" s="33" t="s">
        <v>315</v>
      </c>
      <c r="S1174" s="32"/>
      <c r="T1174" s="33">
        <v>5</v>
      </c>
      <c r="U1174" s="49"/>
    </row>
    <row r="1175" spans="1:21">
      <c r="A1175" s="50" t="s">
        <v>1506</v>
      </c>
      <c r="B1175" s="32"/>
      <c r="C1175" s="33">
        <v>100</v>
      </c>
      <c r="D1175" s="33">
        <v>346</v>
      </c>
      <c r="E1175" s="33">
        <v>12.6</v>
      </c>
      <c r="F1175" s="48">
        <v>1.5</v>
      </c>
      <c r="G1175" s="51"/>
      <c r="H1175" s="33">
        <v>0.8</v>
      </c>
      <c r="I1175" s="48">
        <v>85</v>
      </c>
      <c r="J1175" s="32"/>
      <c r="K1175" s="33">
        <v>9.01</v>
      </c>
      <c r="L1175" s="32"/>
      <c r="M1175" s="33">
        <v>0.2</v>
      </c>
      <c r="N1175" s="32"/>
      <c r="O1175" s="33">
        <v>13.3</v>
      </c>
      <c r="P1175" s="33">
        <v>34</v>
      </c>
      <c r="Q1175" s="33">
        <v>3.6</v>
      </c>
      <c r="R1175" s="33" t="s">
        <v>315</v>
      </c>
      <c r="S1175" s="32"/>
      <c r="T1175" s="33">
        <v>5</v>
      </c>
      <c r="U1175" s="49"/>
    </row>
    <row r="1176" spans="1:21">
      <c r="A1176" s="50" t="s">
        <v>1507</v>
      </c>
      <c r="B1176" s="32"/>
      <c r="C1176" s="33">
        <v>100</v>
      </c>
      <c r="D1176" s="33">
        <v>345</v>
      </c>
      <c r="E1176" s="33">
        <v>13.5</v>
      </c>
      <c r="F1176" s="48">
        <v>1.2</v>
      </c>
      <c r="G1176" s="48">
        <v>0.1</v>
      </c>
      <c r="H1176" s="33">
        <v>0.1</v>
      </c>
      <c r="I1176" s="48">
        <v>84.9</v>
      </c>
      <c r="J1176" s="32"/>
      <c r="K1176" s="33">
        <v>0.03</v>
      </c>
      <c r="L1176" s="33">
        <v>0.04</v>
      </c>
      <c r="M1176" s="33">
        <v>1.1000000000000001</v>
      </c>
      <c r="N1176" s="32"/>
      <c r="O1176" s="33">
        <v>6.3</v>
      </c>
      <c r="P1176" s="33">
        <v>18</v>
      </c>
      <c r="Q1176" s="33">
        <v>4</v>
      </c>
      <c r="R1176" s="33" t="s">
        <v>315</v>
      </c>
      <c r="S1176" s="32"/>
      <c r="T1176" s="33">
        <v>5</v>
      </c>
      <c r="U1176" s="49"/>
    </row>
    <row r="1177" spans="1:21">
      <c r="A1177" s="50" t="s">
        <v>1508</v>
      </c>
      <c r="B1177" s="32"/>
      <c r="C1177" s="33">
        <v>100</v>
      </c>
      <c r="D1177" s="33">
        <v>64</v>
      </c>
      <c r="E1177" s="33">
        <v>84.3</v>
      </c>
      <c r="F1177" s="48">
        <v>0.2</v>
      </c>
      <c r="G1177" s="48">
        <v>0.3</v>
      </c>
      <c r="H1177" s="32"/>
      <c r="I1177" s="48">
        <v>15</v>
      </c>
      <c r="J1177" s="32"/>
      <c r="K1177" s="33">
        <v>0.03</v>
      </c>
      <c r="L1177" s="33">
        <v>0.01</v>
      </c>
      <c r="M1177" s="32"/>
      <c r="N1177" s="32"/>
      <c r="O1177" s="33">
        <v>3.9</v>
      </c>
      <c r="P1177" s="33">
        <v>5</v>
      </c>
      <c r="Q1177" s="33">
        <v>0.5</v>
      </c>
      <c r="R1177" s="33" t="s">
        <v>315</v>
      </c>
      <c r="S1177" s="32"/>
      <c r="T1177" s="33">
        <v>5</v>
      </c>
      <c r="U1177" s="49"/>
    </row>
    <row r="1178" spans="1:21">
      <c r="A1178" s="50" t="s">
        <v>1509</v>
      </c>
      <c r="B1178" s="32"/>
      <c r="C1178" s="33">
        <v>100</v>
      </c>
      <c r="D1178" s="33">
        <v>335</v>
      </c>
      <c r="E1178" s="33">
        <v>15</v>
      </c>
      <c r="F1178" s="48">
        <v>0.8</v>
      </c>
      <c r="G1178" s="48">
        <v>0.2</v>
      </c>
      <c r="H1178" s="33">
        <v>1.1000000000000001</v>
      </c>
      <c r="I1178" s="48">
        <v>82.6</v>
      </c>
      <c r="J1178" s="32"/>
      <c r="K1178" s="33">
        <v>0.03</v>
      </c>
      <c r="L1178" s="33">
        <v>0.02</v>
      </c>
      <c r="M1178" s="33">
        <v>0.4</v>
      </c>
      <c r="N1178" s="32"/>
      <c r="O1178" s="33">
        <v>9.3000000000000007</v>
      </c>
      <c r="P1178" s="33">
        <v>31</v>
      </c>
      <c r="Q1178" s="33">
        <v>6.4</v>
      </c>
      <c r="R1178" s="33" t="s">
        <v>315</v>
      </c>
      <c r="S1178" s="32"/>
      <c r="T1178" s="33">
        <v>5</v>
      </c>
      <c r="U1178" s="49"/>
    </row>
    <row r="1179" spans="1:21">
      <c r="A1179" s="50" t="s">
        <v>1510</v>
      </c>
      <c r="B1179" s="32"/>
      <c r="C1179" s="33">
        <v>100</v>
      </c>
      <c r="D1179" s="33">
        <v>337</v>
      </c>
      <c r="E1179" s="33">
        <v>14.3</v>
      </c>
      <c r="F1179" s="48">
        <v>0.5</v>
      </c>
      <c r="G1179" s="48">
        <v>0.1</v>
      </c>
      <c r="H1179" s="33">
        <v>0.6</v>
      </c>
      <c r="I1179" s="48">
        <v>83.6</v>
      </c>
      <c r="J1179" s="32"/>
      <c r="K1179" s="33">
        <v>0.01</v>
      </c>
      <c r="L1179" s="32"/>
      <c r="M1179" s="33">
        <v>0.1</v>
      </c>
      <c r="N1179" s="32"/>
      <c r="O1179" s="33">
        <v>9.6</v>
      </c>
      <c r="P1179" s="33">
        <v>35</v>
      </c>
      <c r="Q1179" s="33">
        <v>5.2</v>
      </c>
      <c r="R1179" s="33" t="s">
        <v>315</v>
      </c>
      <c r="S1179" s="32"/>
      <c r="T1179" s="33">
        <v>5</v>
      </c>
      <c r="U1179" s="49"/>
    </row>
    <row r="1180" spans="1:21">
      <c r="A1180" s="50" t="s">
        <v>1511</v>
      </c>
      <c r="B1180" s="32"/>
      <c r="C1180" s="33">
        <v>100</v>
      </c>
      <c r="D1180" s="33">
        <v>37</v>
      </c>
      <c r="E1180" s="33">
        <v>90.5</v>
      </c>
      <c r="F1180" s="48">
        <v>0.2</v>
      </c>
      <c r="G1180" s="48">
        <v>0.3</v>
      </c>
      <c r="H1180" s="33">
        <v>0.6</v>
      </c>
      <c r="I1180" s="48">
        <v>8.3000000000000007</v>
      </c>
      <c r="J1180" s="32"/>
      <c r="K1180" s="33">
        <v>0.02</v>
      </c>
      <c r="L1180" s="33">
        <v>0.01</v>
      </c>
      <c r="M1180" s="33">
        <v>0.2</v>
      </c>
      <c r="N1180" s="32"/>
      <c r="O1180" s="33">
        <v>2.8</v>
      </c>
      <c r="P1180" s="33">
        <v>9</v>
      </c>
      <c r="Q1180" s="33">
        <v>1.3</v>
      </c>
      <c r="R1180" s="33" t="s">
        <v>1042</v>
      </c>
      <c r="S1180" s="32"/>
      <c r="T1180" s="33">
        <v>25</v>
      </c>
      <c r="U1180" s="49"/>
    </row>
    <row r="1181" spans="1:21">
      <c r="A1181" s="50" t="s">
        <v>1512</v>
      </c>
      <c r="B1181" s="32"/>
      <c r="C1181" s="33">
        <v>100</v>
      </c>
      <c r="D1181" s="33">
        <v>31</v>
      </c>
      <c r="E1181" s="33">
        <v>90.6</v>
      </c>
      <c r="F1181" s="48">
        <v>2.1</v>
      </c>
      <c r="G1181" s="48">
        <v>0.3</v>
      </c>
      <c r="H1181" s="32"/>
      <c r="I1181" s="48">
        <v>4.9000000000000004</v>
      </c>
      <c r="J1181" s="32"/>
      <c r="K1181" s="33">
        <v>0.03</v>
      </c>
      <c r="L1181" s="33">
        <v>0.05</v>
      </c>
      <c r="M1181" s="33">
        <v>1.4</v>
      </c>
      <c r="N1181" s="32"/>
      <c r="O1181" s="33">
        <v>262.10000000000002</v>
      </c>
      <c r="P1181" s="33">
        <v>17</v>
      </c>
      <c r="Q1181" s="33">
        <v>6</v>
      </c>
      <c r="R1181" s="33" t="s">
        <v>1513</v>
      </c>
      <c r="S1181" s="32"/>
      <c r="T1181" s="33">
        <v>1</v>
      </c>
      <c r="U1181" s="49"/>
    </row>
    <row r="1182" spans="1:21">
      <c r="A1182" s="50" t="s">
        <v>1514</v>
      </c>
      <c r="B1182" s="33" t="s">
        <v>1644</v>
      </c>
      <c r="C1182" s="33">
        <v>100</v>
      </c>
      <c r="D1182" s="33">
        <v>184</v>
      </c>
      <c r="E1182" s="33">
        <v>47.9</v>
      </c>
      <c r="F1182" s="48">
        <v>7.9</v>
      </c>
      <c r="G1182" s="48">
        <v>5.9</v>
      </c>
      <c r="H1182" s="33">
        <v>2.2000000000000002</v>
      </c>
      <c r="I1182" s="48">
        <v>24.8</v>
      </c>
      <c r="J1182" s="32"/>
      <c r="K1182" s="33">
        <v>0.04</v>
      </c>
      <c r="L1182" s="33">
        <v>0.26</v>
      </c>
      <c r="M1182" s="33">
        <v>1.3</v>
      </c>
      <c r="N1182" s="33">
        <v>18.2</v>
      </c>
      <c r="O1182" s="33">
        <v>2201.5</v>
      </c>
      <c r="P1182" s="33">
        <v>66</v>
      </c>
      <c r="Q1182" s="33">
        <v>9.9</v>
      </c>
      <c r="R1182" s="33" t="s">
        <v>1513</v>
      </c>
      <c r="S1182" s="32"/>
      <c r="T1182" s="33">
        <v>1</v>
      </c>
      <c r="U1182" s="49"/>
    </row>
    <row r="1183" spans="1:21">
      <c r="A1183" s="50" t="s">
        <v>1515</v>
      </c>
      <c r="B1183" s="33" t="s">
        <v>1635</v>
      </c>
      <c r="C1183" s="33">
        <v>100</v>
      </c>
      <c r="D1183" s="33">
        <v>178</v>
      </c>
      <c r="E1183" s="33">
        <v>46.6</v>
      </c>
      <c r="F1183" s="48">
        <v>13.6</v>
      </c>
      <c r="G1183" s="48">
        <v>6.8</v>
      </c>
      <c r="H1183" s="33">
        <v>1.5</v>
      </c>
      <c r="I1183" s="48">
        <v>15.6</v>
      </c>
      <c r="J1183" s="32"/>
      <c r="K1183" s="33">
        <v>0.11</v>
      </c>
      <c r="L1183" s="33">
        <v>0.46</v>
      </c>
      <c r="M1183" s="33">
        <v>2.4</v>
      </c>
      <c r="N1183" s="33">
        <v>0.56999999999999995</v>
      </c>
      <c r="O1183" s="33">
        <v>6012</v>
      </c>
      <c r="P1183" s="33">
        <v>53</v>
      </c>
      <c r="Q1183" s="33">
        <v>16.399999999999999</v>
      </c>
      <c r="R1183" s="33" t="s">
        <v>1513</v>
      </c>
      <c r="S1183" s="32"/>
      <c r="T1183" s="33">
        <v>1</v>
      </c>
      <c r="U1183" s="49"/>
    </row>
    <row r="1184" spans="1:21">
      <c r="A1184" s="50" t="s">
        <v>1516</v>
      </c>
      <c r="B1184" s="33" t="s">
        <v>1689</v>
      </c>
      <c r="C1184" s="33">
        <v>100</v>
      </c>
      <c r="D1184" s="33">
        <v>244</v>
      </c>
      <c r="E1184" s="33">
        <v>22.7</v>
      </c>
      <c r="F1184" s="48">
        <v>24.1</v>
      </c>
      <c r="G1184" s="51"/>
      <c r="H1184" s="33">
        <v>5.9</v>
      </c>
      <c r="I1184" s="48">
        <v>36.799999999999997</v>
      </c>
      <c r="J1184" s="32"/>
      <c r="K1184" s="33">
        <v>0.02</v>
      </c>
      <c r="L1184" s="33">
        <v>0.09</v>
      </c>
      <c r="M1184" s="33">
        <v>0.6</v>
      </c>
      <c r="N1184" s="33">
        <v>40.69</v>
      </c>
      <c r="O1184" s="33">
        <v>263.8</v>
      </c>
      <c r="P1184" s="33">
        <v>29</v>
      </c>
      <c r="Q1184" s="33">
        <v>3.7</v>
      </c>
      <c r="R1184" s="33" t="s">
        <v>1513</v>
      </c>
      <c r="S1184" s="32"/>
      <c r="T1184" s="33">
        <v>1</v>
      </c>
      <c r="U1184" s="49"/>
    </row>
    <row r="1185" spans="1:21">
      <c r="A1185" s="50" t="s">
        <v>1517</v>
      </c>
      <c r="B1185" s="32"/>
      <c r="C1185" s="33">
        <v>100</v>
      </c>
      <c r="D1185" s="33">
        <v>131</v>
      </c>
      <c r="E1185" s="33">
        <v>50.6</v>
      </c>
      <c r="F1185" s="48">
        <v>12.1</v>
      </c>
      <c r="G1185" s="48">
        <v>1.2</v>
      </c>
      <c r="H1185" s="33">
        <v>3.4</v>
      </c>
      <c r="I1185" s="48">
        <v>17.899999999999999</v>
      </c>
      <c r="J1185" s="33">
        <v>13</v>
      </c>
      <c r="K1185" s="33">
        <v>0.05</v>
      </c>
      <c r="L1185" s="33">
        <v>0.28000000000000003</v>
      </c>
      <c r="M1185" s="33">
        <v>2.4</v>
      </c>
      <c r="N1185" s="33">
        <v>14.12</v>
      </c>
      <c r="O1185" s="33">
        <v>3606.1</v>
      </c>
      <c r="P1185" s="33">
        <v>70</v>
      </c>
      <c r="Q1185" s="33">
        <v>7</v>
      </c>
      <c r="R1185" s="33" t="s">
        <v>1513</v>
      </c>
      <c r="S1185" s="32"/>
      <c r="T1185" s="33">
        <v>1</v>
      </c>
      <c r="U1185" s="49"/>
    </row>
    <row r="1186" spans="1:21">
      <c r="A1186" s="50" t="s">
        <v>1518</v>
      </c>
      <c r="B1186" s="33" t="s">
        <v>1655</v>
      </c>
      <c r="C1186" s="33">
        <v>100</v>
      </c>
      <c r="D1186" s="33">
        <v>594</v>
      </c>
      <c r="E1186" s="33">
        <v>0.5</v>
      </c>
      <c r="F1186" s="48">
        <v>6.9</v>
      </c>
      <c r="G1186" s="48">
        <v>53</v>
      </c>
      <c r="H1186" s="33">
        <v>3</v>
      </c>
      <c r="I1186" s="48">
        <v>22.3</v>
      </c>
      <c r="J1186" s="32"/>
      <c r="K1186" s="33">
        <v>0.01</v>
      </c>
      <c r="L1186" s="33">
        <v>0.15</v>
      </c>
      <c r="M1186" s="33">
        <v>2</v>
      </c>
      <c r="N1186" s="33">
        <v>2.09</v>
      </c>
      <c r="O1186" s="33">
        <v>2340</v>
      </c>
      <c r="P1186" s="33">
        <v>67</v>
      </c>
      <c r="Q1186" s="33">
        <v>7.2</v>
      </c>
      <c r="R1186" s="33" t="s">
        <v>1513</v>
      </c>
      <c r="S1186" s="32"/>
      <c r="T1186" s="33">
        <v>1</v>
      </c>
      <c r="U1186" s="49"/>
    </row>
    <row r="1187" spans="1:21">
      <c r="A1187" s="50" t="s">
        <v>1519</v>
      </c>
      <c r="B1187" s="32"/>
      <c r="C1187" s="33">
        <v>100</v>
      </c>
      <c r="D1187" s="33">
        <v>63</v>
      </c>
      <c r="E1187" s="33">
        <v>67.3</v>
      </c>
      <c r="F1187" s="48">
        <v>5.6</v>
      </c>
      <c r="G1187" s="48">
        <v>0.1</v>
      </c>
      <c r="H1187" s="33">
        <v>0.2</v>
      </c>
      <c r="I1187" s="48">
        <v>9.9</v>
      </c>
      <c r="J1187" s="32"/>
      <c r="K1187" s="33">
        <v>0.05</v>
      </c>
      <c r="L1187" s="33">
        <v>0.13</v>
      </c>
      <c r="M1187" s="33">
        <v>1.7</v>
      </c>
      <c r="N1187" s="32"/>
      <c r="O1187" s="33">
        <v>5757</v>
      </c>
      <c r="P1187" s="33">
        <v>66</v>
      </c>
      <c r="Q1187" s="33">
        <v>8.6</v>
      </c>
      <c r="R1187" s="33" t="s">
        <v>1513</v>
      </c>
      <c r="S1187" s="32"/>
      <c r="T1187" s="33">
        <v>1</v>
      </c>
      <c r="U1187" s="49"/>
    </row>
    <row r="1188" spans="1:21">
      <c r="A1188" s="50" t="s">
        <v>1520</v>
      </c>
      <c r="B1188" s="33" t="s">
        <v>1652</v>
      </c>
      <c r="C1188" s="33">
        <v>100</v>
      </c>
      <c r="D1188" s="33">
        <v>38</v>
      </c>
      <c r="E1188" s="33">
        <v>75.2</v>
      </c>
      <c r="F1188" s="48">
        <v>3.5</v>
      </c>
      <c r="G1188" s="48">
        <v>0.1</v>
      </c>
      <c r="H1188" s="32"/>
      <c r="I1188" s="48">
        <v>5.9</v>
      </c>
      <c r="J1188" s="32"/>
      <c r="K1188" s="33">
        <v>0.01</v>
      </c>
      <c r="L1188" s="33">
        <v>0.17</v>
      </c>
      <c r="M1188" s="33">
        <v>1.1000000000000001</v>
      </c>
      <c r="N1188" s="32"/>
      <c r="O1188" s="33">
        <v>2057</v>
      </c>
      <c r="P1188" s="33">
        <v>18</v>
      </c>
      <c r="Q1188" s="33">
        <v>1.3</v>
      </c>
      <c r="R1188" s="33" t="s">
        <v>1513</v>
      </c>
      <c r="S1188" s="32"/>
      <c r="T1188" s="33">
        <v>1</v>
      </c>
      <c r="U1188" s="49"/>
    </row>
    <row r="1189" spans="1:21">
      <c r="A1189" s="50" t="s">
        <v>1521</v>
      </c>
      <c r="B1189" s="33" t="s">
        <v>1655</v>
      </c>
      <c r="C1189" s="33">
        <v>100</v>
      </c>
      <c r="D1189" s="33">
        <v>86</v>
      </c>
      <c r="E1189" s="33">
        <v>58.2</v>
      </c>
      <c r="F1189" s="48">
        <v>7.8</v>
      </c>
      <c r="G1189" s="48">
        <v>0.4</v>
      </c>
      <c r="H1189" s="32"/>
      <c r="I1189" s="48">
        <v>12.9</v>
      </c>
      <c r="J1189" s="32"/>
      <c r="K1189" s="32"/>
      <c r="L1189" s="32"/>
      <c r="M1189" s="33">
        <v>1.5</v>
      </c>
      <c r="N1189" s="32"/>
      <c r="O1189" s="33">
        <v>4050</v>
      </c>
      <c r="P1189" s="33">
        <v>79</v>
      </c>
      <c r="Q1189" s="33">
        <v>4.5</v>
      </c>
      <c r="R1189" s="33" t="s">
        <v>1513</v>
      </c>
      <c r="S1189" s="32"/>
      <c r="T1189" s="33">
        <v>1</v>
      </c>
      <c r="U1189" s="49"/>
    </row>
    <row r="1190" spans="1:21">
      <c r="A1190" s="50" t="s">
        <v>1522</v>
      </c>
      <c r="B1190" s="33" t="s">
        <v>1618</v>
      </c>
      <c r="C1190" s="33">
        <v>100</v>
      </c>
      <c r="D1190" s="33">
        <v>71</v>
      </c>
      <c r="E1190" s="33">
        <v>67.5</v>
      </c>
      <c r="F1190" s="48">
        <v>8.4</v>
      </c>
      <c r="G1190" s="48">
        <v>0.2</v>
      </c>
      <c r="H1190" s="32"/>
      <c r="I1190" s="48">
        <v>9</v>
      </c>
      <c r="J1190" s="32"/>
      <c r="K1190" s="33">
        <v>0.01</v>
      </c>
      <c r="L1190" s="33">
        <v>0.05</v>
      </c>
      <c r="M1190" s="33">
        <v>1.5</v>
      </c>
      <c r="N1190" s="32"/>
      <c r="O1190" s="33">
        <v>4056</v>
      </c>
      <c r="P1190" s="33">
        <v>30</v>
      </c>
      <c r="Q1190" s="33">
        <v>3</v>
      </c>
      <c r="R1190" s="33" t="s">
        <v>1513</v>
      </c>
      <c r="S1190" s="32"/>
      <c r="T1190" s="33">
        <v>1</v>
      </c>
      <c r="U1190" s="49"/>
    </row>
    <row r="1191" spans="1:21">
      <c r="A1191" s="50" t="s">
        <v>1523</v>
      </c>
      <c r="B1191" s="33" t="s">
        <v>1652</v>
      </c>
      <c r="C1191" s="33">
        <v>100</v>
      </c>
      <c r="D1191" s="33">
        <v>41</v>
      </c>
      <c r="E1191" s="33">
        <v>74.3</v>
      </c>
      <c r="F1191" s="48">
        <v>3.4</v>
      </c>
      <c r="G1191" s="48">
        <v>0.1</v>
      </c>
      <c r="H1191" s="32"/>
      <c r="I1191" s="48">
        <v>6.6</v>
      </c>
      <c r="J1191" s="32"/>
      <c r="K1191" s="32"/>
      <c r="L1191" s="33">
        <v>0.17</v>
      </c>
      <c r="M1191" s="33">
        <v>0.8</v>
      </c>
      <c r="N1191" s="32"/>
      <c r="O1191" s="33">
        <v>2462</v>
      </c>
      <c r="P1191" s="33">
        <v>58</v>
      </c>
      <c r="Q1191" s="33">
        <v>1.7</v>
      </c>
      <c r="R1191" s="33" t="s">
        <v>1513</v>
      </c>
      <c r="S1191" s="32"/>
      <c r="T1191" s="33">
        <v>1</v>
      </c>
      <c r="U1191" s="49"/>
    </row>
    <row r="1192" spans="1:21">
      <c r="A1192" s="50" t="s">
        <v>1524</v>
      </c>
      <c r="B1192" s="33" t="s">
        <v>1639</v>
      </c>
      <c r="C1192" s="33">
        <v>100</v>
      </c>
      <c r="D1192" s="33">
        <v>40</v>
      </c>
      <c r="E1192" s="33">
        <v>74.2</v>
      </c>
      <c r="F1192" s="48">
        <v>6.8</v>
      </c>
      <c r="G1192" s="48">
        <v>0.4</v>
      </c>
      <c r="H1192" s="32"/>
      <c r="I1192" s="48">
        <v>2.4</v>
      </c>
      <c r="J1192" s="32"/>
      <c r="K1192" s="33">
        <v>0.01</v>
      </c>
      <c r="L1192" s="33">
        <v>0.02</v>
      </c>
      <c r="M1192" s="32"/>
      <c r="N1192" s="32"/>
      <c r="O1192" s="33">
        <v>1903</v>
      </c>
      <c r="P1192" s="33">
        <v>14</v>
      </c>
      <c r="Q1192" s="33">
        <v>2</v>
      </c>
      <c r="R1192" s="33" t="s">
        <v>1513</v>
      </c>
      <c r="S1192" s="32"/>
      <c r="T1192" s="33">
        <v>1</v>
      </c>
      <c r="U1192" s="49"/>
    </row>
    <row r="1193" spans="1:21">
      <c r="A1193" s="50" t="s">
        <v>1525</v>
      </c>
      <c r="B1193" s="33" t="s">
        <v>1655</v>
      </c>
      <c r="C1193" s="33">
        <v>100</v>
      </c>
      <c r="D1193" s="33">
        <v>71</v>
      </c>
      <c r="E1193" s="33">
        <v>64.599999999999994</v>
      </c>
      <c r="F1193" s="48">
        <v>9.4</v>
      </c>
      <c r="G1193" s="48">
        <v>0.6</v>
      </c>
      <c r="H1193" s="32"/>
      <c r="I1193" s="48">
        <v>6.8</v>
      </c>
      <c r="J1193" s="32"/>
      <c r="K1193" s="32"/>
      <c r="L1193" s="33">
        <v>0.02</v>
      </c>
      <c r="M1193" s="33">
        <v>2.2000000000000002</v>
      </c>
      <c r="N1193" s="32"/>
      <c r="O1193" s="33">
        <v>3836.3</v>
      </c>
      <c r="P1193" s="33">
        <v>47</v>
      </c>
      <c r="Q1193" s="33">
        <v>7</v>
      </c>
      <c r="R1193" s="33" t="s">
        <v>1513</v>
      </c>
      <c r="S1193" s="32"/>
      <c r="T1193" s="33">
        <v>1</v>
      </c>
      <c r="U1193" s="49"/>
    </row>
    <row r="1194" spans="1:21">
      <c r="A1194" s="50" t="s">
        <v>1526</v>
      </c>
      <c r="B1194" s="33" t="s">
        <v>1618</v>
      </c>
      <c r="C1194" s="33">
        <v>100</v>
      </c>
      <c r="D1194" s="33">
        <v>55</v>
      </c>
      <c r="E1194" s="33">
        <v>70.8</v>
      </c>
      <c r="F1194" s="48">
        <v>6.7</v>
      </c>
      <c r="G1194" s="51"/>
      <c r="H1194" s="33">
        <v>0.1</v>
      </c>
      <c r="I1194" s="48">
        <v>7.1</v>
      </c>
      <c r="J1194" s="32"/>
      <c r="K1194" s="33">
        <v>0.09</v>
      </c>
      <c r="L1194" s="33">
        <v>0.05</v>
      </c>
      <c r="M1194" s="32"/>
      <c r="N1194" s="32"/>
      <c r="O1194" s="33">
        <v>4580</v>
      </c>
      <c r="P1194" s="33">
        <v>33</v>
      </c>
      <c r="Q1194" s="33">
        <v>3.9</v>
      </c>
      <c r="R1194" s="33" t="s">
        <v>1513</v>
      </c>
      <c r="S1194" s="32"/>
      <c r="T1194" s="33">
        <v>1</v>
      </c>
      <c r="U1194" s="49"/>
    </row>
    <row r="1195" spans="1:21">
      <c r="A1195" s="50" t="s">
        <v>1527</v>
      </c>
      <c r="B1195" s="33" t="s">
        <v>1618</v>
      </c>
      <c r="C1195" s="33">
        <v>100</v>
      </c>
      <c r="D1195" s="33">
        <v>51</v>
      </c>
      <c r="E1195" s="33">
        <v>71.599999999999994</v>
      </c>
      <c r="F1195" s="48">
        <v>6.9</v>
      </c>
      <c r="G1195" s="48">
        <v>0.1</v>
      </c>
      <c r="H1195" s="32"/>
      <c r="I1195" s="48">
        <v>5.7</v>
      </c>
      <c r="J1195" s="32"/>
      <c r="K1195" s="33">
        <v>0.04</v>
      </c>
      <c r="L1195" s="33">
        <v>0.05</v>
      </c>
      <c r="M1195" s="33">
        <v>3.8</v>
      </c>
      <c r="N1195" s="32"/>
      <c r="O1195" s="33">
        <v>5843.2</v>
      </c>
      <c r="P1195" s="33">
        <v>589</v>
      </c>
      <c r="Q1195" s="33">
        <v>3.8</v>
      </c>
      <c r="R1195" s="33" t="s">
        <v>1513</v>
      </c>
      <c r="S1195" s="32"/>
      <c r="T1195" s="33">
        <v>1</v>
      </c>
      <c r="U1195" s="49"/>
    </row>
    <row r="1196" spans="1:21">
      <c r="A1196" s="50" t="s">
        <v>1528</v>
      </c>
      <c r="B1196" s="32"/>
      <c r="C1196" s="33">
        <v>100</v>
      </c>
      <c r="D1196" s="33">
        <v>66</v>
      </c>
      <c r="E1196" s="33">
        <v>64.8</v>
      </c>
      <c r="F1196" s="48">
        <v>8.3000000000000007</v>
      </c>
      <c r="G1196" s="48">
        <v>0.6</v>
      </c>
      <c r="H1196" s="32"/>
      <c r="I1196" s="48">
        <v>6.9</v>
      </c>
      <c r="J1196" s="32"/>
      <c r="K1196" s="33">
        <v>0.03</v>
      </c>
      <c r="L1196" s="33">
        <v>0.25</v>
      </c>
      <c r="M1196" s="33">
        <v>1.7</v>
      </c>
      <c r="N1196" s="32"/>
      <c r="O1196" s="33">
        <v>4861.1000000000004</v>
      </c>
      <c r="P1196" s="33">
        <v>27</v>
      </c>
      <c r="Q1196" s="33">
        <v>7</v>
      </c>
      <c r="R1196" s="33" t="s">
        <v>1513</v>
      </c>
      <c r="S1196" s="32"/>
      <c r="T1196" s="33">
        <v>1</v>
      </c>
      <c r="U1196" s="49"/>
    </row>
    <row r="1197" spans="1:21">
      <c r="A1197" s="50" t="s">
        <v>1529</v>
      </c>
      <c r="B1197" s="33" t="s">
        <v>1635</v>
      </c>
      <c r="C1197" s="33">
        <v>100</v>
      </c>
      <c r="D1197" s="33">
        <v>99</v>
      </c>
      <c r="E1197" s="33">
        <v>54.7</v>
      </c>
      <c r="F1197" s="48">
        <v>13</v>
      </c>
      <c r="G1197" s="48">
        <v>0.7</v>
      </c>
      <c r="H1197" s="32"/>
      <c r="I1197" s="48">
        <v>10.199999999999999</v>
      </c>
      <c r="J1197" s="32"/>
      <c r="K1197" s="33">
        <v>0.08</v>
      </c>
      <c r="L1197" s="33">
        <v>0.05</v>
      </c>
      <c r="M1197" s="33">
        <v>2.2999999999999998</v>
      </c>
      <c r="N1197" s="32"/>
      <c r="O1197" s="33">
        <v>7700</v>
      </c>
      <c r="P1197" s="33">
        <v>46</v>
      </c>
      <c r="Q1197" s="33">
        <v>8.6</v>
      </c>
      <c r="R1197" s="33" t="s">
        <v>1513</v>
      </c>
      <c r="S1197" s="32"/>
      <c r="T1197" s="33">
        <v>1</v>
      </c>
      <c r="U1197" s="49"/>
    </row>
    <row r="1198" spans="1:21">
      <c r="A1198" s="50" t="s">
        <v>1530</v>
      </c>
      <c r="B1198" s="33" t="s">
        <v>1647</v>
      </c>
      <c r="C1198" s="33">
        <v>100</v>
      </c>
      <c r="D1198" s="33">
        <v>476</v>
      </c>
      <c r="E1198" s="33">
        <v>7.2</v>
      </c>
      <c r="F1198" s="48">
        <v>23.6</v>
      </c>
      <c r="G1198" s="48">
        <v>29.9</v>
      </c>
      <c r="H1198" s="33">
        <v>7.2</v>
      </c>
      <c r="I1198" s="48">
        <v>28.1</v>
      </c>
      <c r="J1198" s="33">
        <v>32</v>
      </c>
      <c r="K1198" s="33">
        <v>0.17</v>
      </c>
      <c r="L1198" s="33">
        <v>0.38</v>
      </c>
      <c r="M1198" s="33">
        <v>4.83</v>
      </c>
      <c r="N1198" s="33">
        <v>9.83</v>
      </c>
      <c r="O1198" s="33">
        <v>7.8</v>
      </c>
      <c r="P1198" s="33">
        <v>656</v>
      </c>
      <c r="Q1198" s="33">
        <v>17.2</v>
      </c>
      <c r="R1198" s="33" t="s">
        <v>1513</v>
      </c>
      <c r="S1198" s="32"/>
      <c r="T1198" s="33">
        <v>1</v>
      </c>
      <c r="U1198" s="49"/>
    </row>
    <row r="1199" spans="1:21">
      <c r="A1199" s="50" t="s">
        <v>1297</v>
      </c>
      <c r="B1199" s="32"/>
      <c r="C1199" s="33">
        <v>100</v>
      </c>
      <c r="D1199" s="33">
        <v>15</v>
      </c>
      <c r="E1199" s="33">
        <v>79</v>
      </c>
      <c r="F1199" s="48">
        <v>1.3</v>
      </c>
      <c r="G1199" s="48">
        <v>0.3</v>
      </c>
      <c r="H1199" s="33">
        <v>1</v>
      </c>
      <c r="I1199" s="48">
        <v>1.8</v>
      </c>
      <c r="J1199" s="33">
        <v>28</v>
      </c>
      <c r="K1199" s="33">
        <v>0.04</v>
      </c>
      <c r="L1199" s="33">
        <v>0.06</v>
      </c>
      <c r="M1199" s="33">
        <v>0.7</v>
      </c>
      <c r="N1199" s="33">
        <v>0.25</v>
      </c>
      <c r="O1199" s="33">
        <v>5184</v>
      </c>
      <c r="P1199" s="33">
        <v>76</v>
      </c>
      <c r="Q1199" s="33">
        <v>5.3</v>
      </c>
      <c r="R1199" s="33" t="s">
        <v>1513</v>
      </c>
      <c r="S1199" s="32"/>
      <c r="T1199" s="33">
        <v>1</v>
      </c>
      <c r="U1199" s="49"/>
    </row>
    <row r="1200" spans="1:21">
      <c r="A1200" s="50" t="s">
        <v>1531</v>
      </c>
      <c r="B1200" s="32"/>
      <c r="C1200" s="33">
        <v>100</v>
      </c>
      <c r="D1200" s="33">
        <v>59</v>
      </c>
      <c r="E1200" s="33">
        <v>64.5</v>
      </c>
      <c r="F1200" s="48">
        <v>3.6</v>
      </c>
      <c r="G1200" s="48">
        <v>2.4</v>
      </c>
      <c r="H1200" s="33">
        <v>7.2</v>
      </c>
      <c r="I1200" s="48">
        <v>5.7</v>
      </c>
      <c r="J1200" s="33">
        <v>417</v>
      </c>
      <c r="K1200" s="33">
        <v>0.02</v>
      </c>
      <c r="L1200" s="33">
        <v>0.2</v>
      </c>
      <c r="M1200" s="33">
        <v>1.5</v>
      </c>
      <c r="N1200" s="33">
        <v>13.62</v>
      </c>
      <c r="O1200" s="33">
        <v>1268.7</v>
      </c>
      <c r="P1200" s="33">
        <v>207</v>
      </c>
      <c r="Q1200" s="33">
        <v>5.3</v>
      </c>
      <c r="R1200" s="33" t="s">
        <v>1513</v>
      </c>
      <c r="S1200" s="32"/>
      <c r="T1200" s="33">
        <v>1</v>
      </c>
      <c r="U1200" s="49"/>
    </row>
    <row r="1201" spans="1:21">
      <c r="A1201" s="50" t="s">
        <v>1532</v>
      </c>
      <c r="B1201" s="33" t="s">
        <v>1655</v>
      </c>
      <c r="C1201" s="33">
        <v>100</v>
      </c>
      <c r="D1201" s="33">
        <v>135</v>
      </c>
      <c r="E1201" s="33">
        <v>52.3</v>
      </c>
      <c r="F1201" s="48">
        <v>5.8</v>
      </c>
      <c r="G1201" s="48">
        <v>5.0999999999999996</v>
      </c>
      <c r="H1201" s="33">
        <v>5</v>
      </c>
      <c r="I1201" s="48">
        <v>16.399999999999999</v>
      </c>
      <c r="J1201" s="33">
        <v>37</v>
      </c>
      <c r="K1201" s="32"/>
      <c r="L1201" s="33">
        <v>0.16</v>
      </c>
      <c r="M1201" s="33">
        <v>2</v>
      </c>
      <c r="N1201" s="33">
        <v>0.98</v>
      </c>
      <c r="O1201" s="33">
        <v>3222.5</v>
      </c>
      <c r="P1201" s="33">
        <v>186</v>
      </c>
      <c r="Q1201" s="33">
        <v>13</v>
      </c>
      <c r="R1201" s="33" t="s">
        <v>1513</v>
      </c>
      <c r="S1201" s="32"/>
      <c r="T1201" s="33">
        <v>1</v>
      </c>
      <c r="U1201" s="49"/>
    </row>
    <row r="1202" spans="1:21">
      <c r="A1202" s="50" t="s">
        <v>1533</v>
      </c>
      <c r="B1202" s="33" t="s">
        <v>1655</v>
      </c>
      <c r="C1202" s="33">
        <v>100</v>
      </c>
      <c r="D1202" s="33">
        <v>127</v>
      </c>
      <c r="E1202" s="33">
        <v>59</v>
      </c>
      <c r="F1202" s="48">
        <v>9.6999999999999993</v>
      </c>
      <c r="G1202" s="48">
        <v>6.1</v>
      </c>
      <c r="H1202" s="33">
        <v>1.1000000000000001</v>
      </c>
      <c r="I1202" s="48">
        <v>8.3000000000000007</v>
      </c>
      <c r="J1202" s="33">
        <v>99</v>
      </c>
      <c r="K1202" s="32"/>
      <c r="L1202" s="33">
        <v>0.26</v>
      </c>
      <c r="M1202" s="33">
        <v>3.1</v>
      </c>
      <c r="N1202" s="33">
        <v>2.9</v>
      </c>
      <c r="O1202" s="33">
        <v>3037.5</v>
      </c>
      <c r="P1202" s="33">
        <v>65</v>
      </c>
      <c r="Q1202" s="33">
        <v>8.5</v>
      </c>
      <c r="R1202" s="33" t="s">
        <v>1513</v>
      </c>
      <c r="S1202" s="32"/>
      <c r="T1202" s="33">
        <v>1</v>
      </c>
      <c r="U1202" s="49"/>
    </row>
    <row r="1203" spans="1:21">
      <c r="A1203" s="50" t="s">
        <v>1534</v>
      </c>
      <c r="B1203" s="33" t="s">
        <v>1618</v>
      </c>
      <c r="C1203" s="33">
        <v>100</v>
      </c>
      <c r="D1203" s="33">
        <v>89</v>
      </c>
      <c r="E1203" s="33">
        <v>51.4</v>
      </c>
      <c r="F1203" s="48">
        <v>4</v>
      </c>
      <c r="G1203" s="48">
        <v>1</v>
      </c>
      <c r="H1203" s="33">
        <v>8.8800000000000008</v>
      </c>
      <c r="I1203" s="48">
        <v>15.9</v>
      </c>
      <c r="J1203" s="33">
        <v>173</v>
      </c>
      <c r="K1203" s="33">
        <v>0.04</v>
      </c>
      <c r="L1203" s="33">
        <v>0.22</v>
      </c>
      <c r="M1203" s="33">
        <v>2.1</v>
      </c>
      <c r="N1203" s="33">
        <v>8.33</v>
      </c>
      <c r="O1203" s="33">
        <v>5658.1</v>
      </c>
      <c r="P1203" s="33">
        <v>106</v>
      </c>
      <c r="Q1203" s="33">
        <v>11.8</v>
      </c>
      <c r="R1203" s="33" t="s">
        <v>1513</v>
      </c>
      <c r="S1203" s="32"/>
      <c r="T1203" s="33">
        <v>1</v>
      </c>
      <c r="U1203" s="49"/>
    </row>
    <row r="1204" spans="1:21">
      <c r="A1204" s="50" t="s">
        <v>1535</v>
      </c>
      <c r="B1204" s="32"/>
      <c r="C1204" s="33">
        <v>100</v>
      </c>
      <c r="D1204" s="33">
        <v>88</v>
      </c>
      <c r="E1204" s="33">
        <v>59.2</v>
      </c>
      <c r="F1204" s="48">
        <v>4.8</v>
      </c>
      <c r="G1204" s="48">
        <v>0.6</v>
      </c>
      <c r="H1204" s="33">
        <v>3.7</v>
      </c>
      <c r="I1204" s="48">
        <v>15.9</v>
      </c>
      <c r="J1204" s="33">
        <v>162</v>
      </c>
      <c r="K1204" s="33">
        <v>0.03</v>
      </c>
      <c r="L1204" s="33">
        <v>0.1</v>
      </c>
      <c r="M1204" s="33">
        <v>0.9</v>
      </c>
      <c r="N1204" s="33">
        <v>16.28</v>
      </c>
      <c r="O1204" s="33">
        <v>3236.3</v>
      </c>
      <c r="P1204" s="33">
        <v>71</v>
      </c>
      <c r="Q1204" s="33">
        <v>11</v>
      </c>
      <c r="R1204" s="33" t="s">
        <v>1513</v>
      </c>
      <c r="S1204" s="32"/>
      <c r="T1204" s="33">
        <v>1</v>
      </c>
      <c r="U1204" s="49"/>
    </row>
    <row r="1205" spans="1:21">
      <c r="A1205" s="50" t="s">
        <v>1536</v>
      </c>
      <c r="B1205" s="32"/>
      <c r="C1205" s="33">
        <v>100</v>
      </c>
      <c r="D1205" s="33">
        <v>54</v>
      </c>
      <c r="E1205" s="33">
        <v>71.3</v>
      </c>
      <c r="F1205" s="48">
        <v>2.1</v>
      </c>
      <c r="G1205" s="48">
        <v>3.6</v>
      </c>
      <c r="H1205" s="33">
        <v>6.4</v>
      </c>
      <c r="I1205" s="48">
        <v>3.4</v>
      </c>
      <c r="J1205" s="33">
        <v>350</v>
      </c>
      <c r="K1205" s="32"/>
      <c r="L1205" s="33">
        <v>0.16</v>
      </c>
      <c r="M1205" s="33">
        <v>1.5</v>
      </c>
      <c r="N1205" s="33">
        <v>2.62</v>
      </c>
      <c r="O1205" s="33">
        <v>1491.9</v>
      </c>
      <c r="P1205" s="33">
        <v>10</v>
      </c>
      <c r="Q1205" s="33">
        <v>12.8</v>
      </c>
      <c r="R1205" s="33" t="s">
        <v>1513</v>
      </c>
      <c r="S1205" s="32"/>
      <c r="T1205" s="33">
        <v>1</v>
      </c>
      <c r="U1205" s="49"/>
    </row>
    <row r="1206" spans="1:21">
      <c r="A1206" s="50" t="s">
        <v>1537</v>
      </c>
      <c r="B1206" s="32"/>
      <c r="C1206" s="33">
        <v>100</v>
      </c>
      <c r="D1206" s="33">
        <v>31</v>
      </c>
      <c r="E1206" s="33">
        <v>71.2</v>
      </c>
      <c r="F1206" s="48">
        <v>0.8</v>
      </c>
      <c r="G1206" s="48">
        <v>2.8</v>
      </c>
      <c r="H1206" s="33">
        <v>2.6</v>
      </c>
      <c r="I1206" s="48">
        <v>0.6</v>
      </c>
      <c r="J1206" s="33">
        <v>132</v>
      </c>
      <c r="K1206" s="33">
        <v>0.01</v>
      </c>
      <c r="L1206" s="33">
        <v>0.09</v>
      </c>
      <c r="M1206" s="33">
        <v>1.1000000000000001</v>
      </c>
      <c r="N1206" s="33">
        <v>2.87</v>
      </c>
      <c r="O1206" s="33">
        <v>8027.6</v>
      </c>
      <c r="P1206" s="33">
        <v>117</v>
      </c>
      <c r="Q1206" s="33">
        <v>3.8</v>
      </c>
      <c r="R1206" s="33" t="s">
        <v>1513</v>
      </c>
      <c r="S1206" s="32"/>
      <c r="T1206" s="33">
        <v>1</v>
      </c>
      <c r="U1206" s="49"/>
    </row>
    <row r="1207" spans="1:21">
      <c r="A1207" s="50" t="s">
        <v>1538</v>
      </c>
      <c r="B1207" s="32"/>
      <c r="C1207" s="33">
        <v>100</v>
      </c>
      <c r="D1207" s="33">
        <v>136</v>
      </c>
      <c r="E1207" s="33">
        <v>53.9</v>
      </c>
      <c r="F1207" s="48">
        <v>5.5</v>
      </c>
      <c r="G1207" s="48">
        <v>0.6</v>
      </c>
      <c r="H1207" s="33">
        <v>1.4</v>
      </c>
      <c r="I1207" s="48">
        <v>27.1</v>
      </c>
      <c r="J1207" s="33">
        <v>5</v>
      </c>
      <c r="K1207" s="33">
        <v>0.03</v>
      </c>
      <c r="L1207" s="33">
        <v>0.14000000000000001</v>
      </c>
      <c r="M1207" s="33">
        <v>2</v>
      </c>
      <c r="N1207" s="33">
        <v>2.16</v>
      </c>
      <c r="O1207" s="33">
        <v>2097.1999999999998</v>
      </c>
      <c r="P1207" s="33">
        <v>29</v>
      </c>
      <c r="Q1207" s="33">
        <v>3.6</v>
      </c>
      <c r="R1207" s="33" t="s">
        <v>1513</v>
      </c>
      <c r="S1207" s="32"/>
      <c r="T1207" s="33">
        <v>1</v>
      </c>
      <c r="U1207" s="49"/>
    </row>
    <row r="1208" spans="1:21">
      <c r="A1208" s="50" t="s">
        <v>1539</v>
      </c>
      <c r="B1208" s="32"/>
      <c r="C1208" s="33">
        <v>100</v>
      </c>
      <c r="D1208" s="33">
        <v>268</v>
      </c>
      <c r="E1208" s="33">
        <v>0.2</v>
      </c>
      <c r="F1208" s="48">
        <v>40.1</v>
      </c>
      <c r="G1208" s="48">
        <v>0.2</v>
      </c>
      <c r="H1208" s="32"/>
      <c r="I1208" s="48">
        <v>26.5</v>
      </c>
      <c r="J1208" s="32"/>
      <c r="K1208" s="33">
        <v>0.08</v>
      </c>
      <c r="L1208" s="32"/>
      <c r="M1208" s="33">
        <v>0.3</v>
      </c>
      <c r="N1208" s="32"/>
      <c r="O1208" s="33">
        <v>21053</v>
      </c>
      <c r="P1208" s="33">
        <v>100</v>
      </c>
      <c r="Q1208" s="33">
        <v>1.2</v>
      </c>
      <c r="R1208" s="33" t="s">
        <v>1513</v>
      </c>
      <c r="S1208" s="32"/>
      <c r="T1208" s="33">
        <v>1</v>
      </c>
      <c r="U1208" s="49"/>
    </row>
    <row r="1209" spans="1:21">
      <c r="A1209" s="50" t="s">
        <v>1540</v>
      </c>
      <c r="B1209" s="32"/>
      <c r="C1209" s="33">
        <v>100</v>
      </c>
      <c r="D1209" s="33">
        <v>0</v>
      </c>
      <c r="E1209" s="33">
        <v>0.1</v>
      </c>
      <c r="F1209" s="51"/>
      <c r="G1209" s="51"/>
      <c r="H1209" s="32"/>
      <c r="I1209" s="51"/>
      <c r="J1209" s="32"/>
      <c r="K1209" s="32"/>
      <c r="L1209" s="32"/>
      <c r="M1209" s="32"/>
      <c r="N1209" s="32"/>
      <c r="O1209" s="33">
        <v>25127.200000000001</v>
      </c>
      <c r="P1209" s="33">
        <v>22</v>
      </c>
      <c r="Q1209" s="33">
        <v>1</v>
      </c>
      <c r="R1209" s="33" t="s">
        <v>1513</v>
      </c>
      <c r="S1209" s="32"/>
      <c r="T1209" s="33">
        <v>1</v>
      </c>
      <c r="U1209" s="49"/>
    </row>
    <row r="1210" spans="1:21">
      <c r="A1210" s="50" t="s">
        <v>1541</v>
      </c>
      <c r="B1210" s="32"/>
      <c r="C1210" s="33">
        <v>100</v>
      </c>
      <c r="D1210" s="33">
        <v>618</v>
      </c>
      <c r="E1210" s="33">
        <v>0.3</v>
      </c>
      <c r="F1210" s="48">
        <v>19.2</v>
      </c>
      <c r="G1210" s="48">
        <v>52.7</v>
      </c>
      <c r="H1210" s="33">
        <v>5.9</v>
      </c>
      <c r="I1210" s="48">
        <v>16.8</v>
      </c>
      <c r="J1210" s="33">
        <v>17</v>
      </c>
      <c r="K1210" s="33">
        <v>0.16</v>
      </c>
      <c r="L1210" s="33">
        <v>0.22</v>
      </c>
      <c r="M1210" s="33">
        <v>5.8</v>
      </c>
      <c r="N1210" s="33">
        <v>35.090000000000003</v>
      </c>
      <c r="O1210" s="32"/>
      <c r="P1210" s="33">
        <v>1170</v>
      </c>
      <c r="Q1210" s="33">
        <v>9.8000000000000007</v>
      </c>
      <c r="R1210" s="33" t="s">
        <v>1513</v>
      </c>
      <c r="S1210" s="32"/>
      <c r="T1210" s="33">
        <v>1</v>
      </c>
      <c r="U1210" s="49"/>
    </row>
    <row r="1211" spans="1:21">
      <c r="A1211" s="50" t="s">
        <v>1542</v>
      </c>
      <c r="B1211" s="33" t="s">
        <v>1708</v>
      </c>
      <c r="C1211" s="33">
        <v>100</v>
      </c>
      <c r="D1211" s="33">
        <v>230</v>
      </c>
      <c r="E1211" s="33">
        <v>57.5</v>
      </c>
      <c r="F1211" s="48">
        <v>21.5</v>
      </c>
      <c r="G1211" s="48">
        <v>13</v>
      </c>
      <c r="H1211" s="32"/>
      <c r="I1211" s="48">
        <v>6.7</v>
      </c>
      <c r="J1211" s="32"/>
      <c r="K1211" s="33">
        <v>7.0000000000000007E-2</v>
      </c>
      <c r="L1211" s="33">
        <v>2.23</v>
      </c>
      <c r="M1211" s="33">
        <v>2.2000000000000002</v>
      </c>
      <c r="N1211" s="33">
        <v>9.89</v>
      </c>
      <c r="O1211" s="33">
        <v>140.19999999999999</v>
      </c>
      <c r="P1211" s="33">
        <v>81</v>
      </c>
      <c r="Q1211" s="33">
        <v>2.6</v>
      </c>
      <c r="R1211" s="33" t="s">
        <v>991</v>
      </c>
      <c r="S1211" s="32"/>
      <c r="T1211" s="33">
        <v>25</v>
      </c>
      <c r="U1211" s="35">
        <v>155</v>
      </c>
    </row>
    <row r="1212" spans="1:21">
      <c r="A1212" s="50" t="s">
        <v>1543</v>
      </c>
      <c r="B1212" s="32"/>
      <c r="C1212" s="33">
        <v>70</v>
      </c>
      <c r="D1212" s="33">
        <v>118</v>
      </c>
      <c r="E1212" s="33">
        <v>75</v>
      </c>
      <c r="F1212" s="48">
        <v>17.8</v>
      </c>
      <c r="G1212" s="48">
        <v>4.3</v>
      </c>
      <c r="H1212" s="32"/>
      <c r="I1212" s="48">
        <v>2.1</v>
      </c>
      <c r="J1212" s="33">
        <v>139</v>
      </c>
      <c r="K1212" s="33">
        <v>7.0000000000000007E-2</v>
      </c>
      <c r="L1212" s="33">
        <v>0.14000000000000001</v>
      </c>
      <c r="M1212" s="33">
        <v>3.3</v>
      </c>
      <c r="N1212" s="33">
        <v>1.88</v>
      </c>
      <c r="O1212" s="33">
        <v>96.9</v>
      </c>
      <c r="P1212" s="33">
        <v>70</v>
      </c>
      <c r="Q1212" s="33">
        <v>2.8</v>
      </c>
      <c r="R1212" s="33" t="s">
        <v>991</v>
      </c>
      <c r="S1212" s="32"/>
      <c r="T1212" s="33">
        <v>25</v>
      </c>
      <c r="U1212" s="35">
        <v>101</v>
      </c>
    </row>
    <row r="1213" spans="1:21">
      <c r="A1213" s="50" t="s">
        <v>1544</v>
      </c>
      <c r="B1213" s="33" t="s">
        <v>1628</v>
      </c>
      <c r="C1213" s="33">
        <v>100</v>
      </c>
      <c r="D1213" s="33">
        <v>131</v>
      </c>
      <c r="E1213" s="33">
        <v>79.099999999999994</v>
      </c>
      <c r="F1213" s="48">
        <v>17.2</v>
      </c>
      <c r="G1213" s="48">
        <v>6.9</v>
      </c>
      <c r="H1213" s="32"/>
      <c r="I1213" s="48">
        <v>0</v>
      </c>
      <c r="J1213" s="33">
        <v>10</v>
      </c>
      <c r="K1213" s="33">
        <v>0.03</v>
      </c>
      <c r="L1213" s="33">
        <v>0.14000000000000001</v>
      </c>
      <c r="M1213" s="33">
        <v>6.7</v>
      </c>
      <c r="N1213" s="33">
        <v>2.81</v>
      </c>
      <c r="O1213" s="33">
        <v>71.8</v>
      </c>
      <c r="P1213" s="33">
        <v>8</v>
      </c>
      <c r="Q1213" s="33">
        <v>2.4</v>
      </c>
      <c r="R1213" s="33" t="s">
        <v>991</v>
      </c>
      <c r="S1213" s="32"/>
      <c r="T1213" s="33">
        <v>25</v>
      </c>
      <c r="U1213" s="35">
        <v>75</v>
      </c>
    </row>
    <row r="1214" spans="1:21">
      <c r="A1214" s="50" t="s">
        <v>1545</v>
      </c>
      <c r="B1214" s="33" t="s">
        <v>1628</v>
      </c>
      <c r="C1214" s="33">
        <v>22</v>
      </c>
      <c r="D1214" s="33">
        <v>90</v>
      </c>
      <c r="E1214" s="33">
        <v>77.7</v>
      </c>
      <c r="F1214" s="48">
        <v>14.4</v>
      </c>
      <c r="G1214" s="48">
        <v>1</v>
      </c>
      <c r="H1214" s="32"/>
      <c r="I1214" s="48">
        <v>5.9</v>
      </c>
      <c r="J1214" s="33">
        <v>32</v>
      </c>
      <c r="K1214" s="33">
        <v>0.12</v>
      </c>
      <c r="L1214" s="33">
        <v>0.34</v>
      </c>
      <c r="M1214" s="33">
        <v>9.1</v>
      </c>
      <c r="N1214" s="33">
        <v>0.53</v>
      </c>
      <c r="O1214" s="33">
        <v>85.8</v>
      </c>
      <c r="P1214" s="33">
        <v>57</v>
      </c>
      <c r="Q1214" s="33">
        <v>1.5</v>
      </c>
      <c r="R1214" s="33" t="s">
        <v>991</v>
      </c>
      <c r="S1214" s="32"/>
      <c r="T1214" s="33">
        <v>25</v>
      </c>
      <c r="U1214" s="35">
        <v>80</v>
      </c>
    </row>
    <row r="1215" spans="1:21">
      <c r="A1215" s="50" t="s">
        <v>1546</v>
      </c>
      <c r="B1215" s="33" t="s">
        <v>1628</v>
      </c>
      <c r="C1215" s="33">
        <v>27</v>
      </c>
      <c r="D1215" s="33">
        <v>81</v>
      </c>
      <c r="E1215" s="33">
        <v>80.3</v>
      </c>
      <c r="F1215" s="48">
        <v>20.100000000000001</v>
      </c>
      <c r="G1215" s="48">
        <v>0.1</v>
      </c>
      <c r="H1215" s="32"/>
      <c r="I1215" s="51"/>
      <c r="J1215" s="32"/>
      <c r="K1215" s="33">
        <v>0.02</v>
      </c>
      <c r="L1215" s="33">
        <v>0.08</v>
      </c>
      <c r="M1215" s="33">
        <v>3.9</v>
      </c>
      <c r="N1215" s="33">
        <v>0.56999999999999995</v>
      </c>
      <c r="O1215" s="33">
        <v>104.4</v>
      </c>
      <c r="P1215" s="33">
        <v>41</v>
      </c>
      <c r="Q1215" s="33">
        <v>2.2000000000000002</v>
      </c>
      <c r="R1215" s="33" t="s">
        <v>991</v>
      </c>
      <c r="S1215" s="32"/>
      <c r="T1215" s="33">
        <v>25</v>
      </c>
      <c r="U1215" s="35">
        <v>50</v>
      </c>
    </row>
    <row r="1216" spans="1:21">
      <c r="A1216" s="50" t="s">
        <v>1547</v>
      </c>
      <c r="B1216" s="33" t="s">
        <v>1628</v>
      </c>
      <c r="C1216" s="33">
        <v>23</v>
      </c>
      <c r="D1216" s="33">
        <v>97</v>
      </c>
      <c r="E1216" s="33">
        <v>77.2</v>
      </c>
      <c r="F1216" s="48">
        <v>17.2</v>
      </c>
      <c r="G1216" s="48">
        <v>0.4</v>
      </c>
      <c r="H1216" s="32"/>
      <c r="I1216" s="48">
        <v>4</v>
      </c>
      <c r="J1216" s="32"/>
      <c r="K1216" s="33">
        <v>0.02</v>
      </c>
      <c r="L1216" s="33">
        <v>0.13</v>
      </c>
      <c r="M1216" s="33">
        <v>5.6</v>
      </c>
      <c r="N1216" s="33">
        <v>0.79</v>
      </c>
      <c r="O1216" s="33">
        <v>105.2</v>
      </c>
      <c r="P1216" s="33">
        <v>13</v>
      </c>
      <c r="Q1216" s="33">
        <v>8</v>
      </c>
      <c r="R1216" s="33" t="s">
        <v>991</v>
      </c>
      <c r="S1216" s="32"/>
      <c r="T1216" s="33">
        <v>25</v>
      </c>
      <c r="U1216" s="35">
        <v>80</v>
      </c>
    </row>
    <row r="1217" spans="1:21">
      <c r="A1217" s="50" t="s">
        <v>1548</v>
      </c>
      <c r="B1217" s="33" t="s">
        <v>1628</v>
      </c>
      <c r="C1217" s="33">
        <v>31</v>
      </c>
      <c r="D1217" s="33">
        <v>81</v>
      </c>
      <c r="E1217" s="33">
        <v>80.599999999999994</v>
      </c>
      <c r="F1217" s="48">
        <v>19.7</v>
      </c>
      <c r="G1217" s="48">
        <v>0.2</v>
      </c>
      <c r="H1217" s="32"/>
      <c r="I1217" s="48">
        <v>0</v>
      </c>
      <c r="J1217" s="32"/>
      <c r="K1217" s="33">
        <v>0.01</v>
      </c>
      <c r="L1217" s="33">
        <v>0.1</v>
      </c>
      <c r="M1217" s="33">
        <v>7.2</v>
      </c>
      <c r="N1217" s="33">
        <v>0.35</v>
      </c>
      <c r="O1217" s="33">
        <v>90.6</v>
      </c>
      <c r="P1217" s="33">
        <v>16</v>
      </c>
      <c r="Q1217" s="33">
        <v>0.9</v>
      </c>
      <c r="R1217" s="33" t="s">
        <v>991</v>
      </c>
      <c r="S1217" s="32"/>
      <c r="T1217" s="33">
        <v>25</v>
      </c>
      <c r="U1217" s="35">
        <v>57</v>
      </c>
    </row>
    <row r="1218" spans="1:21">
      <c r="A1218" s="50" t="s">
        <v>1549</v>
      </c>
      <c r="B1218" s="32"/>
      <c r="C1218" s="33">
        <v>78</v>
      </c>
      <c r="D1218" s="33">
        <v>91</v>
      </c>
      <c r="E1218" s="33">
        <v>78.5</v>
      </c>
      <c r="F1218" s="48">
        <v>15.7</v>
      </c>
      <c r="G1218" s="48">
        <v>1.7</v>
      </c>
      <c r="H1218" s="32"/>
      <c r="I1218" s="48">
        <v>3.3</v>
      </c>
      <c r="J1218" s="33">
        <v>23</v>
      </c>
      <c r="K1218" s="33">
        <v>0.05</v>
      </c>
      <c r="L1218" s="33">
        <v>0.4</v>
      </c>
      <c r="M1218" s="33">
        <v>3.5</v>
      </c>
      <c r="N1218" s="33">
        <v>0.93</v>
      </c>
      <c r="O1218" s="33">
        <v>98.6</v>
      </c>
      <c r="P1218" s="33">
        <v>49</v>
      </c>
      <c r="Q1218" s="33">
        <v>8.9</v>
      </c>
      <c r="R1218" s="33" t="s">
        <v>991</v>
      </c>
      <c r="S1218" s="32"/>
      <c r="T1218" s="33">
        <v>25</v>
      </c>
      <c r="U1218" s="35">
        <v>80</v>
      </c>
    </row>
    <row r="1219" spans="1:21">
      <c r="A1219" s="50" t="s">
        <v>1550</v>
      </c>
      <c r="B1219" s="33" t="s">
        <v>1628</v>
      </c>
      <c r="C1219" s="33">
        <v>37</v>
      </c>
      <c r="D1219" s="33">
        <v>93</v>
      </c>
      <c r="E1219" s="33">
        <v>79.400000000000006</v>
      </c>
      <c r="F1219" s="48">
        <v>20.5</v>
      </c>
      <c r="G1219" s="48">
        <v>1.2</v>
      </c>
      <c r="H1219" s="32"/>
      <c r="I1219" s="48">
        <v>0</v>
      </c>
      <c r="J1219" s="33">
        <v>7</v>
      </c>
      <c r="K1219" s="33">
        <v>0.26</v>
      </c>
      <c r="L1219" s="33">
        <v>0.28000000000000003</v>
      </c>
      <c r="M1219" s="33">
        <v>9</v>
      </c>
      <c r="N1219" s="33">
        <v>0.55000000000000004</v>
      </c>
      <c r="O1219" s="33">
        <v>11.8</v>
      </c>
      <c r="P1219" s="33">
        <v>127</v>
      </c>
      <c r="Q1219" s="33">
        <v>1.5</v>
      </c>
      <c r="R1219" s="33" t="s">
        <v>991</v>
      </c>
      <c r="S1219" s="32"/>
      <c r="T1219" s="33">
        <v>25</v>
      </c>
      <c r="U1219" s="35">
        <v>40</v>
      </c>
    </row>
    <row r="1220" spans="1:21">
      <c r="A1220" s="50" t="s">
        <v>1551</v>
      </c>
      <c r="B1220" s="33" t="s">
        <v>1618</v>
      </c>
      <c r="C1220" s="33">
        <v>35</v>
      </c>
      <c r="D1220" s="33">
        <v>79</v>
      </c>
      <c r="E1220" s="33">
        <v>81.7</v>
      </c>
      <c r="F1220" s="48">
        <v>11.8</v>
      </c>
      <c r="G1220" s="48">
        <v>1.4</v>
      </c>
      <c r="H1220" s="32"/>
      <c r="I1220" s="48">
        <v>4.7</v>
      </c>
      <c r="J1220" s="32"/>
      <c r="K1220" s="33">
        <v>0.01</v>
      </c>
      <c r="L1220" s="33">
        <v>0.05</v>
      </c>
      <c r="M1220" s="33">
        <v>6.6</v>
      </c>
      <c r="N1220" s="33">
        <v>0.57999999999999996</v>
      </c>
      <c r="O1220" s="33">
        <v>215.2</v>
      </c>
      <c r="P1220" s="33">
        <v>121</v>
      </c>
      <c r="Q1220" s="33">
        <v>1.7</v>
      </c>
      <c r="R1220" s="33" t="s">
        <v>991</v>
      </c>
      <c r="S1220" s="32"/>
      <c r="T1220" s="33">
        <v>25</v>
      </c>
      <c r="U1220" s="35">
        <v>84</v>
      </c>
    </row>
    <row r="1221" spans="1:21">
      <c r="A1221" s="50" t="s">
        <v>1552</v>
      </c>
      <c r="B1221" s="33" t="s">
        <v>1708</v>
      </c>
      <c r="C1221" s="33">
        <v>100</v>
      </c>
      <c r="D1221" s="33">
        <v>177</v>
      </c>
      <c r="E1221" s="33">
        <v>48.4</v>
      </c>
      <c r="F1221" s="48">
        <v>26.2</v>
      </c>
      <c r="G1221" s="48">
        <v>4.7</v>
      </c>
      <c r="H1221" s="32"/>
      <c r="I1221" s="48">
        <v>7.5</v>
      </c>
      <c r="J1221" s="32"/>
      <c r="K1221" s="33">
        <v>0.03</v>
      </c>
      <c r="L1221" s="33">
        <v>1.0900000000000001</v>
      </c>
      <c r="M1221" s="33">
        <v>1.7</v>
      </c>
      <c r="N1221" s="33">
        <v>7.59</v>
      </c>
      <c r="O1221" s="33">
        <v>115.7</v>
      </c>
      <c r="P1221" s="33">
        <v>120</v>
      </c>
      <c r="Q1221" s="33">
        <v>30.8</v>
      </c>
      <c r="R1221" s="33" t="s">
        <v>991</v>
      </c>
      <c r="S1221" s="32"/>
      <c r="T1221" s="33">
        <v>25</v>
      </c>
      <c r="U1221" s="35">
        <v>207</v>
      </c>
    </row>
    <row r="1222" spans="1:21">
      <c r="A1222" s="50" t="s">
        <v>1553</v>
      </c>
      <c r="B1222" s="32"/>
      <c r="C1222" s="33">
        <v>100</v>
      </c>
      <c r="D1222" s="33">
        <v>517</v>
      </c>
      <c r="E1222" s="33">
        <v>5.3</v>
      </c>
      <c r="F1222" s="48">
        <v>18.399999999999999</v>
      </c>
      <c r="G1222" s="48">
        <v>39.6</v>
      </c>
      <c r="H1222" s="33">
        <v>9.8000000000000007</v>
      </c>
      <c r="I1222" s="48">
        <v>21.7</v>
      </c>
      <c r="J1222" s="32"/>
      <c r="K1222" s="33">
        <v>0.36</v>
      </c>
      <c r="L1222" s="33">
        <v>0.26</v>
      </c>
      <c r="M1222" s="33">
        <v>3.8</v>
      </c>
      <c r="N1222" s="33">
        <v>38.28</v>
      </c>
      <c r="O1222" s="33">
        <v>32.200000000000003</v>
      </c>
      <c r="P1222" s="33">
        <v>620</v>
      </c>
      <c r="Q1222" s="33">
        <v>14.1</v>
      </c>
      <c r="R1222" s="33" t="s">
        <v>1513</v>
      </c>
      <c r="S1222" s="32"/>
      <c r="T1222" s="33">
        <v>1</v>
      </c>
      <c r="U1222" s="49"/>
    </row>
    <row r="1223" spans="1:21">
      <c r="A1223" s="50" t="s">
        <v>1554</v>
      </c>
      <c r="B1223" s="32"/>
      <c r="C1223" s="33">
        <v>100</v>
      </c>
      <c r="D1223" s="33">
        <v>531</v>
      </c>
      <c r="E1223" s="33">
        <v>5.7</v>
      </c>
      <c r="F1223" s="48">
        <v>19.100000000000001</v>
      </c>
      <c r="G1223" s="48">
        <v>46.1</v>
      </c>
      <c r="H1223" s="33">
        <v>14</v>
      </c>
      <c r="I1223" s="48">
        <v>10</v>
      </c>
      <c r="J1223" s="32"/>
      <c r="K1223" s="33">
        <v>0.66</v>
      </c>
      <c r="L1223" s="33">
        <v>0.25</v>
      </c>
      <c r="M1223" s="33">
        <v>5.9</v>
      </c>
      <c r="N1223" s="33">
        <v>50.4</v>
      </c>
      <c r="O1223" s="33">
        <v>8.3000000000000007</v>
      </c>
      <c r="P1223" s="33">
        <v>780</v>
      </c>
      <c r="Q1223" s="33">
        <v>22.7</v>
      </c>
      <c r="R1223" s="33" t="s">
        <v>1513</v>
      </c>
      <c r="S1223" s="32"/>
      <c r="T1223" s="33">
        <v>1</v>
      </c>
      <c r="U1223" s="49"/>
    </row>
    <row r="1224" spans="1:21">
      <c r="A1224" s="50" t="s">
        <v>1555</v>
      </c>
      <c r="B1224" s="33" t="s">
        <v>1635</v>
      </c>
      <c r="C1224" s="33">
        <v>68</v>
      </c>
      <c r="D1224" s="33">
        <v>63</v>
      </c>
      <c r="E1224" s="33">
        <v>84.1</v>
      </c>
      <c r="F1224" s="48">
        <v>10.3</v>
      </c>
      <c r="G1224" s="48">
        <v>1.5</v>
      </c>
      <c r="H1224" s="32"/>
      <c r="I1224" s="48">
        <v>2.1</v>
      </c>
      <c r="J1224" s="33">
        <v>4</v>
      </c>
      <c r="K1224" s="33">
        <v>0.08</v>
      </c>
      <c r="L1224" s="33">
        <v>0.46</v>
      </c>
      <c r="M1224" s="33">
        <v>1.9</v>
      </c>
      <c r="N1224" s="33">
        <v>2.2999999999999998</v>
      </c>
      <c r="O1224" s="32"/>
      <c r="P1224" s="33">
        <v>38</v>
      </c>
      <c r="Q1224" s="33">
        <v>1.8</v>
      </c>
      <c r="R1224" s="33" t="s">
        <v>1033</v>
      </c>
      <c r="S1224" s="32"/>
      <c r="T1224" s="33">
        <v>10</v>
      </c>
      <c r="U1224" s="35">
        <v>160</v>
      </c>
    </row>
    <row r="1225" spans="1:21">
      <c r="A1225" s="50" t="s">
        <v>1556</v>
      </c>
      <c r="B1225" s="33" t="s">
        <v>1655</v>
      </c>
      <c r="C1225" s="32"/>
      <c r="D1225" s="33">
        <v>239</v>
      </c>
      <c r="E1225" s="32"/>
      <c r="F1225" s="51"/>
      <c r="G1225" s="51"/>
      <c r="H1225" s="32"/>
      <c r="I1225" s="51"/>
      <c r="J1225" s="32"/>
      <c r="K1225" s="32"/>
      <c r="L1225" s="32"/>
      <c r="M1225" s="32"/>
      <c r="N1225" s="32"/>
      <c r="O1225" s="33">
        <v>1.3</v>
      </c>
      <c r="P1225" s="33">
        <v>5</v>
      </c>
      <c r="Q1225" s="32"/>
      <c r="R1225" s="33" t="s">
        <v>1557</v>
      </c>
      <c r="S1225" s="32"/>
      <c r="T1225" s="33">
        <v>10</v>
      </c>
      <c r="U1225" s="49"/>
    </row>
    <row r="1226" spans="1:21">
      <c r="A1226" s="50" t="s">
        <v>1558</v>
      </c>
      <c r="B1226" s="33" t="s">
        <v>1627</v>
      </c>
      <c r="C1226" s="32"/>
      <c r="D1226" s="32"/>
      <c r="E1226" s="32"/>
      <c r="F1226" s="48">
        <v>1</v>
      </c>
      <c r="G1226" s="51"/>
      <c r="H1226" s="32"/>
      <c r="I1226" s="51"/>
      <c r="J1226" s="32"/>
      <c r="K1226" s="33">
        <v>0.2</v>
      </c>
      <c r="L1226" s="33">
        <v>0.03</v>
      </c>
      <c r="M1226" s="33">
        <v>0.3</v>
      </c>
      <c r="N1226" s="32"/>
      <c r="O1226" s="33">
        <v>7.6</v>
      </c>
      <c r="P1226" s="33">
        <v>1</v>
      </c>
      <c r="Q1226" s="33">
        <v>0.3</v>
      </c>
      <c r="R1226" s="33" t="s">
        <v>1557</v>
      </c>
      <c r="S1226" s="32"/>
      <c r="T1226" s="33">
        <v>10</v>
      </c>
      <c r="U1226" s="49"/>
    </row>
    <row r="1227" spans="1:21">
      <c r="A1227" s="50" t="s">
        <v>1559</v>
      </c>
      <c r="B1227" s="33" t="s">
        <v>1618</v>
      </c>
      <c r="C1227" s="32"/>
      <c r="D1227" s="33">
        <v>352</v>
      </c>
      <c r="E1227" s="32"/>
      <c r="F1227" s="51"/>
      <c r="G1227" s="51"/>
      <c r="H1227" s="32"/>
      <c r="I1227" s="51"/>
      <c r="J1227" s="32"/>
      <c r="K1227" s="33">
        <v>0.05</v>
      </c>
      <c r="L1227" s="32"/>
      <c r="M1227" s="32"/>
      <c r="N1227" s="32"/>
      <c r="O1227" s="33">
        <v>0.5</v>
      </c>
      <c r="P1227" s="33">
        <v>1</v>
      </c>
      <c r="Q1227" s="33">
        <v>0.1</v>
      </c>
      <c r="R1227" s="33" t="s">
        <v>1557</v>
      </c>
      <c r="S1227" s="32"/>
      <c r="T1227" s="33">
        <v>10</v>
      </c>
      <c r="U1227" s="49"/>
    </row>
    <row r="1228" spans="1:21">
      <c r="A1228" s="50" t="s">
        <v>1560</v>
      </c>
      <c r="B1228" s="33" t="s">
        <v>1641</v>
      </c>
      <c r="C1228" s="32"/>
      <c r="D1228" s="33">
        <v>312</v>
      </c>
      <c r="E1228" s="32"/>
      <c r="F1228" s="51"/>
      <c r="G1228" s="51"/>
      <c r="H1228" s="32"/>
      <c r="I1228" s="51"/>
      <c r="J1228" s="32"/>
      <c r="K1228" s="32"/>
      <c r="L1228" s="32"/>
      <c r="M1228" s="32"/>
      <c r="N1228" s="32"/>
      <c r="O1228" s="32"/>
      <c r="P1228" s="32"/>
      <c r="Q1228" s="32"/>
      <c r="R1228" s="33" t="s">
        <v>1557</v>
      </c>
      <c r="S1228" s="32"/>
      <c r="T1228" s="33">
        <v>10</v>
      </c>
      <c r="U1228" s="49"/>
    </row>
    <row r="1229" spans="1:21">
      <c r="A1229" s="50" t="s">
        <v>1561</v>
      </c>
      <c r="B1229" s="33" t="s">
        <v>1655</v>
      </c>
      <c r="C1229" s="32"/>
      <c r="D1229" s="33">
        <v>237</v>
      </c>
      <c r="E1229" s="32"/>
      <c r="F1229" s="51"/>
      <c r="G1229" s="51"/>
      <c r="H1229" s="32"/>
      <c r="I1229" s="51"/>
      <c r="J1229" s="32"/>
      <c r="K1229" s="32"/>
      <c r="L1229" s="32"/>
      <c r="M1229" s="32"/>
      <c r="N1229" s="32"/>
      <c r="O1229" s="33">
        <v>0.7</v>
      </c>
      <c r="P1229" s="32"/>
      <c r="Q1229" s="32"/>
      <c r="R1229" s="33" t="s">
        <v>1557</v>
      </c>
      <c r="S1229" s="32"/>
      <c r="T1229" s="33">
        <v>10</v>
      </c>
      <c r="U1229" s="49"/>
    </row>
    <row r="1230" spans="1:21">
      <c r="A1230" s="50" t="s">
        <v>1562</v>
      </c>
      <c r="B1230" s="33" t="s">
        <v>1655</v>
      </c>
      <c r="C1230" s="32"/>
      <c r="D1230" s="33">
        <v>295</v>
      </c>
      <c r="E1230" s="32"/>
      <c r="F1230" s="51"/>
      <c r="G1230" s="51"/>
      <c r="H1230" s="32"/>
      <c r="I1230" s="51"/>
      <c r="J1230" s="32"/>
      <c r="K1230" s="32"/>
      <c r="L1230" s="32"/>
      <c r="M1230" s="32"/>
      <c r="N1230" s="32"/>
      <c r="O1230" s="33">
        <v>0.1</v>
      </c>
      <c r="P1230" s="33">
        <v>2</v>
      </c>
      <c r="Q1230" s="32"/>
      <c r="R1230" s="33" t="s">
        <v>1557</v>
      </c>
      <c r="S1230" s="32"/>
      <c r="T1230" s="33">
        <v>10</v>
      </c>
      <c r="U1230" s="49"/>
    </row>
    <row r="1231" spans="1:21">
      <c r="A1231" s="50" t="s">
        <v>1563</v>
      </c>
      <c r="B1231" s="33" t="s">
        <v>1655</v>
      </c>
      <c r="C1231" s="32"/>
      <c r="D1231" s="33">
        <v>227</v>
      </c>
      <c r="E1231" s="32"/>
      <c r="F1231" s="51"/>
      <c r="G1231" s="51"/>
      <c r="H1231" s="32"/>
      <c r="I1231" s="51"/>
      <c r="J1231" s="32"/>
      <c r="K1231" s="32"/>
      <c r="L1231" s="32"/>
      <c r="M1231" s="32"/>
      <c r="N1231" s="32"/>
      <c r="O1231" s="32"/>
      <c r="P1231" s="32"/>
      <c r="Q1231" s="32"/>
      <c r="R1231" s="33" t="s">
        <v>1557</v>
      </c>
      <c r="S1231" s="32"/>
      <c r="T1231" s="33">
        <v>10</v>
      </c>
      <c r="U1231" s="49"/>
    </row>
    <row r="1232" spans="1:21">
      <c r="A1232" s="50" t="s">
        <v>1564</v>
      </c>
      <c r="B1232" s="33" t="s">
        <v>1734</v>
      </c>
      <c r="C1232" s="32"/>
      <c r="D1232" s="33">
        <v>323</v>
      </c>
      <c r="E1232" s="32"/>
      <c r="F1232" s="51"/>
      <c r="G1232" s="51"/>
      <c r="H1232" s="32"/>
      <c r="I1232" s="51"/>
      <c r="J1232" s="32"/>
      <c r="K1232" s="32"/>
      <c r="L1232" s="32"/>
      <c r="M1232" s="32"/>
      <c r="N1232" s="32"/>
      <c r="O1232" s="32"/>
      <c r="P1232" s="32"/>
      <c r="Q1232" s="32"/>
      <c r="R1232" s="33" t="s">
        <v>1557</v>
      </c>
      <c r="S1232" s="32"/>
      <c r="T1232" s="33">
        <v>10</v>
      </c>
      <c r="U1232" s="49"/>
    </row>
    <row r="1233" spans="1:21">
      <c r="A1233" s="50" t="s">
        <v>1565</v>
      </c>
      <c r="B1233" s="33" t="s">
        <v>1734</v>
      </c>
      <c r="C1233" s="32"/>
      <c r="D1233" s="33">
        <v>303</v>
      </c>
      <c r="E1233" s="32"/>
      <c r="F1233" s="51"/>
      <c r="G1233" s="51"/>
      <c r="H1233" s="32"/>
      <c r="I1233" s="51"/>
      <c r="J1233" s="32"/>
      <c r="K1233" s="32"/>
      <c r="L1233" s="32"/>
      <c r="M1233" s="32"/>
      <c r="N1233" s="32"/>
      <c r="O1233" s="32"/>
      <c r="P1233" s="32"/>
      <c r="Q1233" s="32"/>
      <c r="R1233" s="33" t="s">
        <v>1557</v>
      </c>
      <c r="S1233" s="32"/>
      <c r="T1233" s="33">
        <v>10</v>
      </c>
      <c r="U1233" s="49"/>
    </row>
    <row r="1234" spans="1:21">
      <c r="A1234" s="50" t="s">
        <v>1566</v>
      </c>
      <c r="B1234" s="33" t="s">
        <v>1735</v>
      </c>
      <c r="C1234" s="32"/>
      <c r="D1234" s="33">
        <v>343</v>
      </c>
      <c r="E1234" s="32"/>
      <c r="F1234" s="51"/>
      <c r="G1234" s="51"/>
      <c r="H1234" s="32"/>
      <c r="I1234" s="51"/>
      <c r="J1234" s="32"/>
      <c r="K1234" s="32"/>
      <c r="L1234" s="32"/>
      <c r="M1234" s="32"/>
      <c r="N1234" s="32"/>
      <c r="O1234" s="32"/>
      <c r="P1234" s="33">
        <v>10</v>
      </c>
      <c r="Q1234" s="33">
        <v>0.9</v>
      </c>
      <c r="R1234" s="33" t="s">
        <v>1557</v>
      </c>
      <c r="S1234" s="32"/>
      <c r="T1234" s="33">
        <v>10</v>
      </c>
      <c r="U1234" s="49"/>
    </row>
    <row r="1235" spans="1:21">
      <c r="A1235" s="50" t="s">
        <v>1567</v>
      </c>
      <c r="B1235" s="33" t="s">
        <v>1655</v>
      </c>
      <c r="C1235" s="32"/>
      <c r="D1235" s="33">
        <v>238</v>
      </c>
      <c r="E1235" s="32"/>
      <c r="F1235" s="51"/>
      <c r="G1235" s="51"/>
      <c r="H1235" s="32"/>
      <c r="I1235" s="51"/>
      <c r="J1235" s="32"/>
      <c r="K1235" s="32"/>
      <c r="L1235" s="32"/>
      <c r="M1235" s="32"/>
      <c r="N1235" s="32"/>
      <c r="O1235" s="33">
        <v>0.8</v>
      </c>
      <c r="P1235" s="32"/>
      <c r="Q1235" s="32"/>
      <c r="R1235" s="33" t="s">
        <v>1557</v>
      </c>
      <c r="S1235" s="32"/>
      <c r="T1235" s="33">
        <v>10</v>
      </c>
      <c r="U1235" s="49"/>
    </row>
    <row r="1236" spans="1:21">
      <c r="A1236" s="50" t="s">
        <v>1568</v>
      </c>
      <c r="B1236" s="33" t="s">
        <v>1736</v>
      </c>
      <c r="C1236" s="32"/>
      <c r="D1236" s="33">
        <v>315</v>
      </c>
      <c r="E1236" s="32"/>
      <c r="F1236" s="51"/>
      <c r="G1236" s="51"/>
      <c r="H1236" s="32"/>
      <c r="I1236" s="51"/>
      <c r="J1236" s="32"/>
      <c r="K1236" s="32"/>
      <c r="L1236" s="32"/>
      <c r="M1236" s="32"/>
      <c r="N1236" s="32"/>
      <c r="O1236" s="33">
        <v>0.4</v>
      </c>
      <c r="P1236" s="33">
        <v>2</v>
      </c>
      <c r="Q1236" s="33">
        <v>0.1</v>
      </c>
      <c r="R1236" s="33" t="s">
        <v>1557</v>
      </c>
      <c r="S1236" s="32"/>
      <c r="T1236" s="33">
        <v>10</v>
      </c>
      <c r="U1236" s="49"/>
    </row>
    <row r="1237" spans="1:21">
      <c r="A1237" s="50" t="s">
        <v>1569</v>
      </c>
      <c r="B1237" s="33" t="s">
        <v>1652</v>
      </c>
      <c r="C1237" s="32"/>
      <c r="D1237" s="33">
        <v>314</v>
      </c>
      <c r="E1237" s="32"/>
      <c r="F1237" s="51"/>
      <c r="G1237" s="51"/>
      <c r="H1237" s="32"/>
      <c r="I1237" s="51"/>
      <c r="J1237" s="32"/>
      <c r="K1237" s="32"/>
      <c r="L1237" s="32"/>
      <c r="M1237" s="32"/>
      <c r="N1237" s="32"/>
      <c r="O1237" s="32"/>
      <c r="P1237" s="32"/>
      <c r="Q1237" s="32"/>
      <c r="R1237" s="33" t="s">
        <v>1557</v>
      </c>
      <c r="S1237" s="32"/>
      <c r="T1237" s="33">
        <v>10</v>
      </c>
      <c r="U1237" s="49"/>
    </row>
    <row r="1238" spans="1:21">
      <c r="A1238" s="50" t="s">
        <v>1570</v>
      </c>
      <c r="B1238" s="33" t="s">
        <v>1652</v>
      </c>
      <c r="C1238" s="32"/>
      <c r="D1238" s="33">
        <v>314</v>
      </c>
      <c r="E1238" s="32"/>
      <c r="F1238" s="51"/>
      <c r="G1238" s="51"/>
      <c r="H1238" s="32"/>
      <c r="I1238" s="51"/>
      <c r="J1238" s="32"/>
      <c r="K1238" s="32"/>
      <c r="L1238" s="32"/>
      <c r="M1238" s="32"/>
      <c r="N1238" s="32"/>
      <c r="O1238" s="32"/>
      <c r="P1238" s="32"/>
      <c r="Q1238" s="32"/>
      <c r="R1238" s="33" t="s">
        <v>1557</v>
      </c>
      <c r="S1238" s="32"/>
      <c r="T1238" s="33">
        <v>10</v>
      </c>
      <c r="U1238" s="49"/>
    </row>
    <row r="1239" spans="1:21">
      <c r="A1239" s="50" t="s">
        <v>1571</v>
      </c>
      <c r="B1239" s="33" t="s">
        <v>1618</v>
      </c>
      <c r="C1239" s="32"/>
      <c r="D1239" s="33">
        <v>330</v>
      </c>
      <c r="E1239" s="32"/>
      <c r="F1239" s="51"/>
      <c r="G1239" s="51"/>
      <c r="H1239" s="32"/>
      <c r="I1239" s="51"/>
      <c r="J1239" s="32"/>
      <c r="K1239" s="32"/>
      <c r="L1239" s="32"/>
      <c r="M1239" s="32"/>
      <c r="N1239" s="32"/>
      <c r="O1239" s="32"/>
      <c r="P1239" s="32"/>
      <c r="Q1239" s="32"/>
      <c r="R1239" s="33" t="s">
        <v>1557</v>
      </c>
      <c r="S1239" s="32"/>
      <c r="T1239" s="33">
        <v>10</v>
      </c>
      <c r="U1239" s="49"/>
    </row>
    <row r="1240" spans="1:21">
      <c r="A1240" s="50" t="s">
        <v>1572</v>
      </c>
      <c r="B1240" s="33" t="s">
        <v>1655</v>
      </c>
      <c r="C1240" s="32"/>
      <c r="D1240" s="33">
        <v>330</v>
      </c>
      <c r="E1240" s="32"/>
      <c r="F1240" s="51"/>
      <c r="G1240" s="51"/>
      <c r="H1240" s="32"/>
      <c r="I1240" s="51"/>
      <c r="J1240" s="32"/>
      <c r="K1240" s="32"/>
      <c r="L1240" s="32"/>
      <c r="M1240" s="32"/>
      <c r="N1240" s="32"/>
      <c r="O1240" s="33">
        <v>0.1</v>
      </c>
      <c r="P1240" s="33">
        <v>4</v>
      </c>
      <c r="Q1240" s="32"/>
      <c r="R1240" s="33" t="s">
        <v>1557</v>
      </c>
      <c r="S1240" s="32"/>
      <c r="T1240" s="33">
        <v>10</v>
      </c>
      <c r="U1240" s="49"/>
    </row>
    <row r="1241" spans="1:21">
      <c r="A1241" s="50" t="s">
        <v>1573</v>
      </c>
      <c r="B1241" s="33" t="s">
        <v>1641</v>
      </c>
      <c r="C1241" s="32"/>
      <c r="D1241" s="33">
        <v>315</v>
      </c>
      <c r="E1241" s="32"/>
      <c r="F1241" s="51"/>
      <c r="G1241" s="51"/>
      <c r="H1241" s="32"/>
      <c r="I1241" s="51"/>
      <c r="J1241" s="32"/>
      <c r="K1241" s="32"/>
      <c r="L1241" s="32"/>
      <c r="M1241" s="32"/>
      <c r="N1241" s="32"/>
      <c r="O1241" s="32"/>
      <c r="P1241" s="32"/>
      <c r="Q1241" s="32"/>
      <c r="R1241" s="33" t="s">
        <v>1557</v>
      </c>
      <c r="S1241" s="32"/>
      <c r="T1241" s="33">
        <v>10</v>
      </c>
      <c r="U1241" s="49"/>
    </row>
    <row r="1242" spans="1:21">
      <c r="A1242" s="50" t="s">
        <v>1574</v>
      </c>
      <c r="B1242" s="33" t="s">
        <v>1655</v>
      </c>
      <c r="C1242" s="32"/>
      <c r="D1242" s="33">
        <v>216</v>
      </c>
      <c r="E1242" s="32"/>
      <c r="F1242" s="51"/>
      <c r="G1242" s="51"/>
      <c r="H1242" s="32"/>
      <c r="I1242" s="51"/>
      <c r="J1242" s="32"/>
      <c r="K1242" s="32"/>
      <c r="L1242" s="32"/>
      <c r="M1242" s="32"/>
      <c r="N1242" s="32"/>
      <c r="O1242" s="32"/>
      <c r="P1242" s="32"/>
      <c r="Q1242" s="32"/>
      <c r="R1242" s="33" t="s">
        <v>1557</v>
      </c>
      <c r="S1242" s="32"/>
      <c r="T1242" s="33">
        <v>10</v>
      </c>
      <c r="U1242" s="49"/>
    </row>
    <row r="1243" spans="1:21">
      <c r="A1243" s="50" t="s">
        <v>1575</v>
      </c>
      <c r="B1243" s="33" t="s">
        <v>1655</v>
      </c>
      <c r="C1243" s="32"/>
      <c r="D1243" s="33">
        <v>364</v>
      </c>
      <c r="E1243" s="32"/>
      <c r="F1243" s="51"/>
      <c r="G1243" s="51"/>
      <c r="H1243" s="32"/>
      <c r="I1243" s="51"/>
      <c r="J1243" s="32"/>
      <c r="K1243" s="32"/>
      <c r="L1243" s="32"/>
      <c r="M1243" s="32"/>
      <c r="N1243" s="32"/>
      <c r="O1243" s="33">
        <v>0.2</v>
      </c>
      <c r="P1243" s="32"/>
      <c r="Q1243" s="32"/>
      <c r="R1243" s="33" t="s">
        <v>1557</v>
      </c>
      <c r="S1243" s="32"/>
      <c r="T1243" s="33">
        <v>10</v>
      </c>
      <c r="U1243" s="49"/>
    </row>
    <row r="1244" spans="1:21">
      <c r="A1244" s="50" t="s">
        <v>1576</v>
      </c>
      <c r="B1244" s="33" t="s">
        <v>1655</v>
      </c>
      <c r="C1244" s="32"/>
      <c r="D1244" s="33">
        <v>339</v>
      </c>
      <c r="E1244" s="32"/>
      <c r="F1244" s="51"/>
      <c r="G1244" s="51"/>
      <c r="H1244" s="32"/>
      <c r="I1244" s="51"/>
      <c r="J1244" s="32"/>
      <c r="K1244" s="32"/>
      <c r="L1244" s="32"/>
      <c r="M1244" s="32"/>
      <c r="N1244" s="32"/>
      <c r="O1244" s="32"/>
      <c r="P1244" s="32"/>
      <c r="Q1244" s="32"/>
      <c r="R1244" s="33" t="s">
        <v>1557</v>
      </c>
      <c r="S1244" s="32"/>
      <c r="T1244" s="33">
        <v>10</v>
      </c>
      <c r="U1244" s="49"/>
    </row>
    <row r="1245" spans="1:21">
      <c r="A1245" s="50" t="s">
        <v>1577</v>
      </c>
      <c r="B1245" s="33" t="s">
        <v>1737</v>
      </c>
      <c r="C1245" s="32"/>
      <c r="D1245" s="33">
        <v>347</v>
      </c>
      <c r="E1245" s="32"/>
      <c r="F1245" s="51"/>
      <c r="G1245" s="51"/>
      <c r="H1245" s="32"/>
      <c r="I1245" s="51"/>
      <c r="J1245" s="32"/>
      <c r="K1245" s="32"/>
      <c r="L1245" s="32"/>
      <c r="M1245" s="32"/>
      <c r="N1245" s="32"/>
      <c r="O1245" s="33">
        <v>0.4</v>
      </c>
      <c r="P1245" s="33">
        <v>5</v>
      </c>
      <c r="Q1245" s="33">
        <v>0.1</v>
      </c>
      <c r="R1245" s="33" t="s">
        <v>1557</v>
      </c>
      <c r="S1245" s="32"/>
      <c r="T1245" s="33">
        <v>10</v>
      </c>
      <c r="U1245" s="49"/>
    </row>
    <row r="1246" spans="1:21">
      <c r="A1246" s="50" t="s">
        <v>1578</v>
      </c>
      <c r="B1246" s="33" t="s">
        <v>1655</v>
      </c>
      <c r="C1246" s="32"/>
      <c r="D1246" s="33">
        <v>260</v>
      </c>
      <c r="E1246" s="32"/>
      <c r="F1246" s="51"/>
      <c r="G1246" s="51"/>
      <c r="H1246" s="32"/>
      <c r="I1246" s="51"/>
      <c r="J1246" s="32"/>
      <c r="K1246" s="32"/>
      <c r="L1246" s="32"/>
      <c r="M1246" s="32"/>
      <c r="N1246" s="32"/>
      <c r="O1246" s="33">
        <v>0.1</v>
      </c>
      <c r="P1246" s="33">
        <v>2</v>
      </c>
      <c r="Q1246" s="32"/>
      <c r="R1246" s="33" t="s">
        <v>1557</v>
      </c>
      <c r="S1246" s="32"/>
      <c r="T1246" s="33">
        <v>10</v>
      </c>
      <c r="U1246" s="49"/>
    </row>
    <row r="1247" spans="1:21">
      <c r="A1247" s="50" t="s">
        <v>1579</v>
      </c>
      <c r="B1247" s="33" t="s">
        <v>1655</v>
      </c>
      <c r="C1247" s="32"/>
      <c r="D1247" s="33">
        <v>297</v>
      </c>
      <c r="E1247" s="32"/>
      <c r="F1247" s="51"/>
      <c r="G1247" s="51"/>
      <c r="H1247" s="32"/>
      <c r="I1247" s="51"/>
      <c r="J1247" s="32"/>
      <c r="K1247" s="32"/>
      <c r="L1247" s="32"/>
      <c r="M1247" s="32"/>
      <c r="N1247" s="32"/>
      <c r="O1247" s="33">
        <v>0.3</v>
      </c>
      <c r="P1247" s="32"/>
      <c r="Q1247" s="32"/>
      <c r="R1247" s="33" t="s">
        <v>1557</v>
      </c>
      <c r="S1247" s="32"/>
      <c r="T1247" s="33">
        <v>10</v>
      </c>
      <c r="U1247" s="49"/>
    </row>
    <row r="1248" spans="1:21">
      <c r="A1248" s="50" t="s">
        <v>1580</v>
      </c>
      <c r="B1248" s="33" t="s">
        <v>1655</v>
      </c>
      <c r="C1248" s="32"/>
      <c r="D1248" s="33">
        <v>284</v>
      </c>
      <c r="E1248" s="32"/>
      <c r="F1248" s="51"/>
      <c r="G1248" s="51"/>
      <c r="H1248" s="32"/>
      <c r="I1248" s="51"/>
      <c r="J1248" s="32"/>
      <c r="K1248" s="32"/>
      <c r="L1248" s="32"/>
      <c r="M1248" s="32"/>
      <c r="N1248" s="32"/>
      <c r="O1248" s="33">
        <v>0.6</v>
      </c>
      <c r="P1248" s="32"/>
      <c r="Q1248" s="32"/>
      <c r="R1248" s="33" t="s">
        <v>1557</v>
      </c>
      <c r="S1248" s="32"/>
      <c r="T1248" s="33">
        <v>10</v>
      </c>
      <c r="U1248" s="49"/>
    </row>
    <row r="1249" spans="1:21">
      <c r="A1249" s="50" t="s">
        <v>1581</v>
      </c>
      <c r="B1249" s="33" t="s">
        <v>1618</v>
      </c>
      <c r="C1249" s="32"/>
      <c r="D1249" s="33">
        <v>344</v>
      </c>
      <c r="E1249" s="32"/>
      <c r="F1249" s="51"/>
      <c r="G1249" s="51"/>
      <c r="H1249" s="32"/>
      <c r="I1249" s="51"/>
      <c r="J1249" s="32"/>
      <c r="K1249" s="33">
        <v>0.04</v>
      </c>
      <c r="L1249" s="32"/>
      <c r="M1249" s="32"/>
      <c r="N1249" s="32"/>
      <c r="O1249" s="32"/>
      <c r="P1249" s="32"/>
      <c r="Q1249" s="32"/>
      <c r="R1249" s="33" t="s">
        <v>1557</v>
      </c>
      <c r="S1249" s="32"/>
      <c r="T1249" s="33">
        <v>10</v>
      </c>
      <c r="U1249" s="49"/>
    </row>
    <row r="1250" spans="1:21">
      <c r="A1250" s="50" t="s">
        <v>1582</v>
      </c>
      <c r="B1250" s="33" t="s">
        <v>1618</v>
      </c>
      <c r="C1250" s="32"/>
      <c r="D1250" s="33">
        <v>344</v>
      </c>
      <c r="E1250" s="32"/>
      <c r="F1250" s="51"/>
      <c r="G1250" s="51"/>
      <c r="H1250" s="32"/>
      <c r="I1250" s="51"/>
      <c r="J1250" s="32"/>
      <c r="K1250" s="33">
        <v>0.05</v>
      </c>
      <c r="L1250" s="32"/>
      <c r="M1250" s="32"/>
      <c r="N1250" s="32"/>
      <c r="O1250" s="33">
        <v>0.8</v>
      </c>
      <c r="P1250" s="33">
        <v>3</v>
      </c>
      <c r="Q1250" s="33">
        <v>0.1</v>
      </c>
      <c r="R1250" s="33" t="s">
        <v>1557</v>
      </c>
      <c r="S1250" s="32"/>
      <c r="T1250" s="33">
        <v>10</v>
      </c>
      <c r="U1250" s="49"/>
    </row>
    <row r="1251" spans="1:21">
      <c r="A1251" s="50" t="s">
        <v>1583</v>
      </c>
      <c r="B1251" s="33" t="s">
        <v>1618</v>
      </c>
      <c r="C1251" s="32"/>
      <c r="D1251" s="33">
        <v>62</v>
      </c>
      <c r="E1251" s="32"/>
      <c r="F1251" s="48">
        <v>0.1</v>
      </c>
      <c r="G1251" s="51"/>
      <c r="H1251" s="32"/>
      <c r="I1251" s="51"/>
      <c r="J1251" s="32"/>
      <c r="K1251" s="33">
        <v>0.01</v>
      </c>
      <c r="L1251" s="32"/>
      <c r="M1251" s="32"/>
      <c r="N1251" s="32"/>
      <c r="O1251" s="33">
        <v>2.8</v>
      </c>
      <c r="P1251" s="33">
        <v>23</v>
      </c>
      <c r="Q1251" s="32"/>
      <c r="R1251" s="33" t="s">
        <v>1557</v>
      </c>
      <c r="S1251" s="32"/>
      <c r="T1251" s="33">
        <v>10</v>
      </c>
      <c r="U1251" s="49"/>
    </row>
    <row r="1252" spans="1:21">
      <c r="A1252" s="50" t="s">
        <v>1584</v>
      </c>
      <c r="B1252" s="33" t="s">
        <v>1679</v>
      </c>
      <c r="C1252" s="32"/>
      <c r="D1252" s="33">
        <v>80</v>
      </c>
      <c r="E1252" s="32"/>
      <c r="F1252" s="51"/>
      <c r="G1252" s="51"/>
      <c r="H1252" s="32"/>
      <c r="I1252" s="51"/>
      <c r="J1252" s="32"/>
      <c r="K1252" s="33">
        <v>0.01</v>
      </c>
      <c r="L1252" s="32"/>
      <c r="M1252" s="32"/>
      <c r="N1252" s="32"/>
      <c r="O1252" s="32"/>
      <c r="P1252" s="32"/>
      <c r="Q1252" s="33">
        <v>2</v>
      </c>
      <c r="R1252" s="33" t="s">
        <v>1557</v>
      </c>
      <c r="S1252" s="32"/>
      <c r="T1252" s="33">
        <v>10</v>
      </c>
      <c r="U1252" s="49"/>
    </row>
    <row r="1253" spans="1:21">
      <c r="A1253" s="50" t="s">
        <v>1585</v>
      </c>
      <c r="B1253" s="33" t="s">
        <v>1655</v>
      </c>
      <c r="C1253" s="32"/>
      <c r="D1253" s="33">
        <v>58</v>
      </c>
      <c r="E1253" s="32"/>
      <c r="F1253" s="51"/>
      <c r="G1253" s="51"/>
      <c r="H1253" s="32"/>
      <c r="I1253" s="51"/>
      <c r="J1253" s="32"/>
      <c r="K1253" s="32"/>
      <c r="L1253" s="33">
        <v>0.04</v>
      </c>
      <c r="M1253" s="32"/>
      <c r="N1253" s="32"/>
      <c r="O1253" s="33">
        <v>0.4</v>
      </c>
      <c r="P1253" s="33">
        <v>13</v>
      </c>
      <c r="Q1253" s="32"/>
      <c r="R1253" s="33" t="s">
        <v>1557</v>
      </c>
      <c r="S1253" s="32"/>
      <c r="T1253" s="33">
        <v>10</v>
      </c>
      <c r="U1253" s="49"/>
    </row>
    <row r="1254" spans="1:21">
      <c r="A1254" s="50" t="s">
        <v>1586</v>
      </c>
      <c r="B1254" s="33" t="s">
        <v>1733</v>
      </c>
      <c r="C1254" s="32"/>
      <c r="D1254" s="33">
        <v>65</v>
      </c>
      <c r="E1254" s="32"/>
      <c r="F1254" s="51"/>
      <c r="G1254" s="51"/>
      <c r="H1254" s="32"/>
      <c r="I1254" s="51"/>
      <c r="J1254" s="32"/>
      <c r="K1254" s="32"/>
      <c r="L1254" s="32"/>
      <c r="M1254" s="32"/>
      <c r="N1254" s="32"/>
      <c r="O1254" s="33">
        <v>0.7</v>
      </c>
      <c r="P1254" s="32"/>
      <c r="Q1254" s="33">
        <v>0.2</v>
      </c>
      <c r="R1254" s="33" t="s">
        <v>1557</v>
      </c>
      <c r="S1254" s="32"/>
      <c r="T1254" s="33">
        <v>10</v>
      </c>
      <c r="U1254" s="49"/>
    </row>
    <row r="1255" spans="1:21">
      <c r="A1255" s="50" t="s">
        <v>1587</v>
      </c>
      <c r="B1255" s="33" t="s">
        <v>1618</v>
      </c>
      <c r="C1255" s="32"/>
      <c r="D1255" s="33">
        <v>68</v>
      </c>
      <c r="E1255" s="32"/>
      <c r="F1255" s="48">
        <v>0.1</v>
      </c>
      <c r="G1255" s="51"/>
      <c r="H1255" s="32"/>
      <c r="I1255" s="51"/>
      <c r="J1255" s="32"/>
      <c r="K1255" s="33">
        <v>0.04</v>
      </c>
      <c r="L1255" s="32"/>
      <c r="M1255" s="32"/>
      <c r="N1255" s="32"/>
      <c r="O1255" s="33">
        <v>2.6</v>
      </c>
      <c r="P1255" s="33">
        <v>12</v>
      </c>
      <c r="Q1255" s="33">
        <v>0.2</v>
      </c>
      <c r="R1255" s="33" t="s">
        <v>1557</v>
      </c>
      <c r="S1255" s="32"/>
      <c r="T1255" s="33">
        <v>10</v>
      </c>
      <c r="U1255" s="49"/>
    </row>
    <row r="1256" spans="1:21">
      <c r="A1256" s="50" t="s">
        <v>1588</v>
      </c>
      <c r="B1256" s="33" t="s">
        <v>1618</v>
      </c>
      <c r="C1256" s="32"/>
      <c r="D1256" s="33">
        <v>85</v>
      </c>
      <c r="E1256" s="32"/>
      <c r="F1256" s="48">
        <v>0.1</v>
      </c>
      <c r="G1256" s="51"/>
      <c r="H1256" s="32"/>
      <c r="I1256" s="51"/>
      <c r="J1256" s="32"/>
      <c r="K1256" s="32"/>
      <c r="L1256" s="32"/>
      <c r="M1256" s="32"/>
      <c r="N1256" s="32"/>
      <c r="O1256" s="33">
        <v>1.1000000000000001</v>
      </c>
      <c r="P1256" s="33">
        <v>31</v>
      </c>
      <c r="Q1256" s="33">
        <v>0.3</v>
      </c>
      <c r="R1256" s="33" t="s">
        <v>1557</v>
      </c>
      <c r="S1256" s="32"/>
      <c r="T1256" s="33">
        <v>10</v>
      </c>
      <c r="U1256" s="49"/>
    </row>
    <row r="1257" spans="1:21">
      <c r="A1257" s="50" t="s">
        <v>1589</v>
      </c>
      <c r="B1257" s="33" t="s">
        <v>1618</v>
      </c>
      <c r="C1257" s="32"/>
      <c r="D1257" s="33">
        <v>91</v>
      </c>
      <c r="E1257" s="32"/>
      <c r="F1257" s="48">
        <v>0.1</v>
      </c>
      <c r="G1257" s="51"/>
      <c r="H1257" s="32"/>
      <c r="I1257" s="51"/>
      <c r="J1257" s="32"/>
      <c r="K1257" s="32"/>
      <c r="L1257" s="33">
        <v>0.01</v>
      </c>
      <c r="M1257" s="32"/>
      <c r="N1257" s="32"/>
      <c r="O1257" s="33">
        <v>1.8</v>
      </c>
      <c r="P1257" s="33">
        <v>27</v>
      </c>
      <c r="Q1257" s="33">
        <v>0.3</v>
      </c>
      <c r="R1257" s="33" t="s">
        <v>1557</v>
      </c>
      <c r="S1257" s="32"/>
      <c r="T1257" s="33">
        <v>10</v>
      </c>
      <c r="U1257" s="49"/>
    </row>
    <row r="1258" spans="1:21">
      <c r="A1258" s="50" t="s">
        <v>1590</v>
      </c>
      <c r="B1258" s="33" t="s">
        <v>1618</v>
      </c>
      <c r="C1258" s="32"/>
      <c r="D1258" s="33">
        <v>80</v>
      </c>
      <c r="E1258" s="32"/>
      <c r="F1258" s="51"/>
      <c r="G1258" s="51"/>
      <c r="H1258" s="32"/>
      <c r="I1258" s="51"/>
      <c r="J1258" s="32"/>
      <c r="K1258" s="33">
        <v>0.02</v>
      </c>
      <c r="L1258" s="33">
        <v>0.02</v>
      </c>
      <c r="M1258" s="32"/>
      <c r="N1258" s="32"/>
      <c r="O1258" s="32"/>
      <c r="P1258" s="33">
        <v>90</v>
      </c>
      <c r="Q1258" s="33">
        <v>0.3</v>
      </c>
      <c r="R1258" s="33" t="s">
        <v>1557</v>
      </c>
      <c r="S1258" s="32"/>
      <c r="T1258" s="33">
        <v>10</v>
      </c>
      <c r="U1258" s="49"/>
    </row>
    <row r="1259" spans="1:21">
      <c r="A1259" s="50" t="s">
        <v>1591</v>
      </c>
      <c r="B1259" s="33" t="s">
        <v>1647</v>
      </c>
      <c r="C1259" s="32"/>
      <c r="D1259" s="33">
        <v>31</v>
      </c>
      <c r="E1259" s="32"/>
      <c r="F1259" s="51"/>
      <c r="G1259" s="51"/>
      <c r="H1259" s="32"/>
      <c r="I1259" s="51"/>
      <c r="J1259" s="32"/>
      <c r="K1259" s="33">
        <v>0.03</v>
      </c>
      <c r="L1259" s="32"/>
      <c r="M1259" s="32"/>
      <c r="N1259" s="32"/>
      <c r="O1259" s="32"/>
      <c r="P1259" s="32"/>
      <c r="Q1259" s="32"/>
      <c r="R1259" s="33" t="s">
        <v>1557</v>
      </c>
      <c r="S1259" s="32"/>
      <c r="T1259" s="33">
        <v>10</v>
      </c>
      <c r="U1259" s="49"/>
    </row>
    <row r="1260" spans="1:21">
      <c r="A1260" s="50" t="s">
        <v>1592</v>
      </c>
      <c r="B1260" s="33" t="s">
        <v>1618</v>
      </c>
      <c r="C1260" s="32"/>
      <c r="D1260" s="33">
        <v>85</v>
      </c>
      <c r="E1260" s="32"/>
      <c r="F1260" s="51"/>
      <c r="G1260" s="51"/>
      <c r="H1260" s="32"/>
      <c r="I1260" s="51"/>
      <c r="J1260" s="32"/>
      <c r="K1260" s="32"/>
      <c r="L1260" s="33">
        <v>0.04</v>
      </c>
      <c r="M1260" s="32"/>
      <c r="N1260" s="32"/>
      <c r="O1260" s="33">
        <v>4.2</v>
      </c>
      <c r="P1260" s="33">
        <v>15</v>
      </c>
      <c r="Q1260" s="33">
        <v>1.3</v>
      </c>
      <c r="R1260" s="33" t="s">
        <v>1557</v>
      </c>
      <c r="S1260" s="32"/>
      <c r="T1260" s="33">
        <v>10</v>
      </c>
      <c r="U1260" s="49"/>
    </row>
    <row r="1261" spans="1:21">
      <c r="A1261" s="50" t="s">
        <v>1593</v>
      </c>
      <c r="B1261" s="33" t="s">
        <v>1618</v>
      </c>
      <c r="C1261" s="32"/>
      <c r="D1261" s="33">
        <v>78</v>
      </c>
      <c r="E1261" s="32"/>
      <c r="F1261" s="48">
        <v>1.2</v>
      </c>
      <c r="G1261" s="51"/>
      <c r="H1261" s="32"/>
      <c r="I1261" s="51"/>
      <c r="J1261" s="32"/>
      <c r="K1261" s="33">
        <v>0.04</v>
      </c>
      <c r="L1261" s="33">
        <v>0.01</v>
      </c>
      <c r="M1261" s="32"/>
      <c r="N1261" s="32"/>
      <c r="O1261" s="33">
        <v>8.6999999999999993</v>
      </c>
      <c r="P1261" s="32"/>
      <c r="Q1261" s="33">
        <v>1.1000000000000001</v>
      </c>
      <c r="R1261" s="33" t="s">
        <v>1557</v>
      </c>
      <c r="S1261" s="32"/>
      <c r="T1261" s="33">
        <v>10</v>
      </c>
      <c r="U1261" s="49"/>
    </row>
    <row r="1262" spans="1:21">
      <c r="A1262" s="50" t="s">
        <v>1594</v>
      </c>
      <c r="B1262" s="33" t="s">
        <v>1738</v>
      </c>
      <c r="C1262" s="32"/>
      <c r="D1262" s="32"/>
      <c r="E1262" s="32"/>
      <c r="F1262" s="48">
        <v>1.3</v>
      </c>
      <c r="G1262" s="51"/>
      <c r="H1262" s="32"/>
      <c r="I1262" s="51"/>
      <c r="J1262" s="32"/>
      <c r="K1262" s="33">
        <v>0.01</v>
      </c>
      <c r="L1262" s="33">
        <v>0.08</v>
      </c>
      <c r="M1262" s="32"/>
      <c r="N1262" s="32"/>
      <c r="O1262" s="33">
        <v>1.7</v>
      </c>
      <c r="P1262" s="33">
        <v>17</v>
      </c>
      <c r="Q1262" s="33">
        <v>0.1</v>
      </c>
      <c r="R1262" s="33" t="s">
        <v>1557</v>
      </c>
      <c r="S1262" s="32"/>
      <c r="T1262" s="33">
        <v>10</v>
      </c>
      <c r="U1262" s="49"/>
    </row>
    <row r="1263" spans="1:21">
      <c r="A1263" s="50" t="s">
        <v>1595</v>
      </c>
      <c r="B1263" s="33" t="s">
        <v>1738</v>
      </c>
      <c r="C1263" s="32"/>
      <c r="D1263" s="32"/>
      <c r="E1263" s="32"/>
      <c r="F1263" s="48">
        <v>1.6</v>
      </c>
      <c r="G1263" s="51"/>
      <c r="H1263" s="32"/>
      <c r="I1263" s="51"/>
      <c r="J1263" s="32"/>
      <c r="K1263" s="33">
        <v>0.01</v>
      </c>
      <c r="L1263" s="33">
        <v>0.1</v>
      </c>
      <c r="M1263" s="32"/>
      <c r="N1263" s="32"/>
      <c r="O1263" s="33">
        <v>1.5</v>
      </c>
      <c r="P1263" s="33">
        <v>12</v>
      </c>
      <c r="Q1263" s="33">
        <v>0.1</v>
      </c>
      <c r="R1263" s="33" t="s">
        <v>1557</v>
      </c>
      <c r="S1263" s="32"/>
      <c r="T1263" s="33">
        <v>10</v>
      </c>
      <c r="U1263" s="49"/>
    </row>
    <row r="1264" spans="1:21">
      <c r="A1264" s="50" t="s">
        <v>1596</v>
      </c>
      <c r="B1264" s="33" t="s">
        <v>1627</v>
      </c>
      <c r="C1264" s="32"/>
      <c r="D1264" s="32"/>
      <c r="E1264" s="32"/>
      <c r="F1264" s="48">
        <v>1.4</v>
      </c>
      <c r="G1264" s="51"/>
      <c r="H1264" s="32"/>
      <c r="I1264" s="51"/>
      <c r="J1264" s="32"/>
      <c r="K1264" s="33">
        <v>0.2</v>
      </c>
      <c r="L1264" s="33">
        <v>0.06</v>
      </c>
      <c r="M1264" s="33">
        <v>0.5</v>
      </c>
      <c r="N1264" s="32"/>
      <c r="O1264" s="33">
        <v>19</v>
      </c>
      <c r="P1264" s="33">
        <v>104</v>
      </c>
      <c r="Q1264" s="33">
        <v>0.5</v>
      </c>
      <c r="R1264" s="33" t="s">
        <v>1557</v>
      </c>
      <c r="S1264" s="32"/>
      <c r="T1264" s="33">
        <v>10</v>
      </c>
      <c r="U1264" s="49"/>
    </row>
    <row r="1265" spans="1:21">
      <c r="A1265" s="50" t="s">
        <v>1597</v>
      </c>
      <c r="B1265" s="33" t="s">
        <v>1618</v>
      </c>
      <c r="C1265" s="32"/>
      <c r="D1265" s="32"/>
      <c r="E1265" s="32"/>
      <c r="F1265" s="48">
        <v>1.6</v>
      </c>
      <c r="G1265" s="51"/>
      <c r="H1265" s="32"/>
      <c r="I1265" s="51"/>
      <c r="J1265" s="32"/>
      <c r="K1265" s="33">
        <v>0.03</v>
      </c>
      <c r="L1265" s="33">
        <v>0.01</v>
      </c>
      <c r="M1265" s="32"/>
      <c r="N1265" s="32"/>
      <c r="O1265" s="33">
        <v>1</v>
      </c>
      <c r="P1265" s="33">
        <v>16</v>
      </c>
      <c r="Q1265" s="33">
        <v>0.1</v>
      </c>
      <c r="R1265" s="33" t="s">
        <v>1557</v>
      </c>
      <c r="S1265" s="32"/>
      <c r="T1265" s="33">
        <v>10</v>
      </c>
      <c r="U1265" s="49"/>
    </row>
    <row r="1266" spans="1:21">
      <c r="A1266" s="50" t="s">
        <v>1598</v>
      </c>
      <c r="B1266" s="33" t="s">
        <v>1655</v>
      </c>
      <c r="C1266" s="32"/>
      <c r="D1266" s="33">
        <v>36</v>
      </c>
      <c r="E1266" s="32"/>
      <c r="F1266" s="51"/>
      <c r="G1266" s="51"/>
      <c r="H1266" s="32"/>
      <c r="I1266" s="51"/>
      <c r="J1266" s="32"/>
      <c r="K1266" s="32"/>
      <c r="L1266" s="32"/>
      <c r="M1266" s="32"/>
      <c r="N1266" s="32"/>
      <c r="O1266" s="33">
        <v>1.3</v>
      </c>
      <c r="P1266" s="33">
        <v>9</v>
      </c>
      <c r="Q1266" s="32"/>
      <c r="R1266" s="33" t="s">
        <v>1557</v>
      </c>
      <c r="S1266" s="32"/>
      <c r="T1266" s="33">
        <v>10</v>
      </c>
      <c r="U1266" s="49"/>
    </row>
    <row r="1267" spans="1:21">
      <c r="A1267" s="50" t="s">
        <v>1599</v>
      </c>
      <c r="B1267" s="33" t="s">
        <v>1738</v>
      </c>
      <c r="C1267" s="32"/>
      <c r="D1267" s="32"/>
      <c r="E1267" s="32"/>
      <c r="F1267" s="48">
        <v>2</v>
      </c>
      <c r="G1267" s="51"/>
      <c r="H1267" s="32"/>
      <c r="I1267" s="51"/>
      <c r="J1267" s="32"/>
      <c r="K1267" s="33">
        <v>0.01</v>
      </c>
      <c r="L1267" s="33">
        <v>0.1</v>
      </c>
      <c r="M1267" s="32"/>
      <c r="N1267" s="32"/>
      <c r="O1267" s="33">
        <v>0.4</v>
      </c>
      <c r="P1267" s="32"/>
      <c r="Q1267" s="32"/>
      <c r="R1267" s="33" t="s">
        <v>1557</v>
      </c>
      <c r="S1267" s="32"/>
      <c r="T1267" s="33">
        <v>10</v>
      </c>
      <c r="U1267" s="49"/>
    </row>
    <row r="1268" spans="1:21">
      <c r="A1268" s="50" t="s">
        <v>1600</v>
      </c>
      <c r="B1268" s="33" t="s">
        <v>1647</v>
      </c>
      <c r="C1268" s="32"/>
      <c r="D1268" s="33">
        <v>84</v>
      </c>
      <c r="E1268" s="32"/>
      <c r="F1268" s="51"/>
      <c r="G1268" s="51"/>
      <c r="H1268" s="32"/>
      <c r="I1268" s="51"/>
      <c r="J1268" s="32"/>
      <c r="K1268" s="32"/>
      <c r="L1268" s="32"/>
      <c r="M1268" s="32"/>
      <c r="N1268" s="32"/>
      <c r="O1268" s="32"/>
      <c r="P1268" s="32"/>
      <c r="Q1268" s="32"/>
      <c r="R1268" s="33" t="s">
        <v>1557</v>
      </c>
      <c r="S1268" s="32"/>
      <c r="T1268" s="33">
        <v>10</v>
      </c>
      <c r="U1268" s="49"/>
    </row>
    <row r="1269" spans="1:21">
      <c r="A1269" s="50" t="s">
        <v>1601</v>
      </c>
      <c r="B1269" s="33" t="s">
        <v>1700</v>
      </c>
      <c r="C1269" s="32"/>
      <c r="D1269" s="33">
        <v>80</v>
      </c>
      <c r="E1269" s="32"/>
      <c r="F1269" s="51"/>
      <c r="G1269" s="51"/>
      <c r="H1269" s="32"/>
      <c r="I1269" s="51"/>
      <c r="J1269" s="32"/>
      <c r="K1269" s="33">
        <v>0.01</v>
      </c>
      <c r="L1269" s="32"/>
      <c r="M1269" s="32"/>
      <c r="N1269" s="32"/>
      <c r="O1269" s="32"/>
      <c r="P1269" s="32"/>
      <c r="Q1269" s="32"/>
      <c r="R1269" s="33" t="s">
        <v>1557</v>
      </c>
      <c r="S1269" s="32"/>
      <c r="T1269" s="33">
        <v>10</v>
      </c>
      <c r="U1269" s="49"/>
    </row>
    <row r="1270" spans="1:21">
      <c r="A1270" s="50" t="s">
        <v>1602</v>
      </c>
      <c r="B1270" s="33" t="s">
        <v>1738</v>
      </c>
      <c r="C1270" s="32"/>
      <c r="D1270" s="32"/>
      <c r="E1270" s="32"/>
      <c r="F1270" s="48">
        <v>1.5</v>
      </c>
      <c r="G1270" s="51"/>
      <c r="H1270" s="32"/>
      <c r="I1270" s="51"/>
      <c r="J1270" s="32"/>
      <c r="K1270" s="33">
        <v>0.01</v>
      </c>
      <c r="L1270" s="33">
        <v>7.0000000000000007E-2</v>
      </c>
      <c r="M1270" s="32"/>
      <c r="N1270" s="32"/>
      <c r="O1270" s="33">
        <v>1.4</v>
      </c>
      <c r="P1270" s="33">
        <v>25</v>
      </c>
      <c r="Q1270" s="33">
        <v>0.1</v>
      </c>
      <c r="R1270" s="33" t="s">
        <v>1557</v>
      </c>
      <c r="S1270" s="32"/>
      <c r="T1270" s="33">
        <v>10</v>
      </c>
      <c r="U1270" s="49"/>
    </row>
    <row r="1271" spans="1:21">
      <c r="A1271" s="50" t="s">
        <v>1603</v>
      </c>
      <c r="B1271" s="33" t="s">
        <v>1700</v>
      </c>
      <c r="C1271" s="32"/>
      <c r="D1271" s="33">
        <v>56</v>
      </c>
      <c r="E1271" s="32"/>
      <c r="F1271" s="51"/>
      <c r="G1271" s="51"/>
      <c r="H1271" s="32"/>
      <c r="I1271" s="51"/>
      <c r="J1271" s="32"/>
      <c r="K1271" s="32"/>
      <c r="L1271" s="32"/>
      <c r="M1271" s="32"/>
      <c r="N1271" s="32"/>
      <c r="O1271" s="32"/>
      <c r="P1271" s="32"/>
      <c r="Q1271" s="32"/>
      <c r="R1271" s="33" t="s">
        <v>1557</v>
      </c>
      <c r="S1271" s="32"/>
      <c r="T1271" s="33">
        <v>10</v>
      </c>
      <c r="U1271" s="49"/>
    </row>
    <row r="1272" spans="1:21">
      <c r="A1272" s="50" t="s">
        <v>1604</v>
      </c>
      <c r="B1272" s="33" t="s">
        <v>1639</v>
      </c>
      <c r="C1272" s="32"/>
      <c r="D1272" s="33">
        <v>33</v>
      </c>
      <c r="E1272" s="32"/>
      <c r="F1272" s="48">
        <v>0.4</v>
      </c>
      <c r="G1272" s="51"/>
      <c r="H1272" s="32"/>
      <c r="I1272" s="51"/>
      <c r="J1272" s="32"/>
      <c r="K1272" s="32"/>
      <c r="L1272" s="33">
        <v>0.03</v>
      </c>
      <c r="M1272" s="32"/>
      <c r="N1272" s="32"/>
      <c r="O1272" s="32"/>
      <c r="P1272" s="32"/>
      <c r="Q1272" s="32"/>
      <c r="R1272" s="33" t="s">
        <v>1557</v>
      </c>
      <c r="S1272" s="32"/>
      <c r="T1272" s="33">
        <v>10</v>
      </c>
      <c r="U1272" s="49"/>
    </row>
    <row r="1273" spans="1:21">
      <c r="A1273" s="50" t="s">
        <v>1605</v>
      </c>
      <c r="B1273" s="33" t="s">
        <v>1618</v>
      </c>
      <c r="C1273" s="32"/>
      <c r="D1273" s="33">
        <v>35</v>
      </c>
      <c r="E1273" s="32"/>
      <c r="F1273" s="48">
        <v>0.4</v>
      </c>
      <c r="G1273" s="51"/>
      <c r="H1273" s="32"/>
      <c r="I1273" s="51"/>
      <c r="J1273" s="32"/>
      <c r="K1273" s="33">
        <v>0.2</v>
      </c>
      <c r="L1273" s="33">
        <v>0.01</v>
      </c>
      <c r="M1273" s="32"/>
      <c r="N1273" s="32"/>
      <c r="O1273" s="33">
        <v>2.5</v>
      </c>
      <c r="P1273" s="32"/>
      <c r="Q1273" s="32"/>
      <c r="R1273" s="33" t="s">
        <v>1557</v>
      </c>
      <c r="S1273" s="32"/>
      <c r="T1273" s="33">
        <v>10</v>
      </c>
      <c r="U1273" s="49"/>
    </row>
    <row r="1274" spans="1:21">
      <c r="A1274" s="50" t="s">
        <v>1606</v>
      </c>
      <c r="B1274" s="33" t="s">
        <v>1655</v>
      </c>
      <c r="C1274" s="32"/>
      <c r="D1274" s="33">
        <v>15</v>
      </c>
      <c r="E1274" s="32"/>
      <c r="F1274" s="51"/>
      <c r="G1274" s="51"/>
      <c r="H1274" s="32"/>
      <c r="I1274" s="51"/>
      <c r="J1274" s="32"/>
      <c r="K1274" s="33">
        <v>0.27</v>
      </c>
      <c r="L1274" s="33">
        <v>7.0000000000000007E-2</v>
      </c>
      <c r="M1274" s="32"/>
      <c r="N1274" s="32"/>
      <c r="O1274" s="33">
        <v>2.6</v>
      </c>
      <c r="P1274" s="33">
        <v>6</v>
      </c>
      <c r="Q1274" s="32"/>
      <c r="R1274" s="33" t="s">
        <v>1557</v>
      </c>
      <c r="S1274" s="32"/>
      <c r="T1274" s="33">
        <v>10</v>
      </c>
      <c r="U1274" s="49"/>
    </row>
    <row r="1275" spans="1:21">
      <c r="A1275" s="50" t="s">
        <v>1607</v>
      </c>
      <c r="B1275" s="33" t="s">
        <v>1735</v>
      </c>
      <c r="C1275" s="32"/>
      <c r="D1275" s="33">
        <v>26</v>
      </c>
      <c r="E1275" s="32"/>
      <c r="F1275" s="51"/>
      <c r="G1275" s="51"/>
      <c r="H1275" s="32"/>
      <c r="I1275" s="51"/>
      <c r="J1275" s="32"/>
      <c r="K1275" s="32"/>
      <c r="L1275" s="33">
        <v>0.11</v>
      </c>
      <c r="M1275" s="33">
        <v>1</v>
      </c>
      <c r="N1275" s="32"/>
      <c r="O1275" s="32"/>
      <c r="P1275" s="33">
        <v>11</v>
      </c>
      <c r="Q1275" s="32"/>
      <c r="R1275" s="33" t="s">
        <v>1557</v>
      </c>
      <c r="S1275" s="32"/>
      <c r="T1275" s="33">
        <v>10</v>
      </c>
      <c r="U1275" s="49"/>
    </row>
    <row r="1276" spans="1:21">
      <c r="A1276" s="50" t="s">
        <v>1608</v>
      </c>
      <c r="B1276" s="33" t="s">
        <v>1739</v>
      </c>
      <c r="C1276" s="32"/>
      <c r="D1276" s="33">
        <v>26</v>
      </c>
      <c r="E1276" s="32"/>
      <c r="F1276" s="48">
        <v>0.5</v>
      </c>
      <c r="G1276" s="51"/>
      <c r="H1276" s="32"/>
      <c r="I1276" s="51"/>
      <c r="J1276" s="32"/>
      <c r="K1276" s="32"/>
      <c r="L1276" s="33">
        <v>0.02</v>
      </c>
      <c r="M1276" s="32"/>
      <c r="N1276" s="32"/>
      <c r="O1276" s="33">
        <v>44.9</v>
      </c>
      <c r="P1276" s="33">
        <v>67</v>
      </c>
      <c r="Q1276" s="32"/>
      <c r="R1276" s="33" t="s">
        <v>1557</v>
      </c>
      <c r="S1276" s="32"/>
      <c r="T1276" s="33">
        <v>10</v>
      </c>
      <c r="U1276" s="49"/>
    </row>
    <row r="1277" spans="1:21">
      <c r="A1277" s="50" t="s">
        <v>1609</v>
      </c>
      <c r="B1277" s="33" t="s">
        <v>1740</v>
      </c>
      <c r="C1277" s="32"/>
      <c r="D1277" s="33">
        <v>34</v>
      </c>
      <c r="E1277" s="32"/>
      <c r="F1277" s="48">
        <v>0.4</v>
      </c>
      <c r="G1277" s="51"/>
      <c r="H1277" s="32"/>
      <c r="I1277" s="51"/>
      <c r="J1277" s="32"/>
      <c r="K1277" s="32"/>
      <c r="L1277" s="33">
        <v>0.02</v>
      </c>
      <c r="M1277" s="32"/>
      <c r="N1277" s="32"/>
      <c r="O1277" s="33">
        <v>14.2</v>
      </c>
      <c r="P1277" s="32"/>
      <c r="Q1277" s="32"/>
      <c r="R1277" s="33" t="s">
        <v>1557</v>
      </c>
      <c r="S1277" s="32"/>
      <c r="T1277" s="33">
        <v>10</v>
      </c>
      <c r="U1277" s="49"/>
    </row>
    <row r="1278" spans="1:21">
      <c r="A1278" s="50" t="s">
        <v>1610</v>
      </c>
      <c r="B1278" s="33" t="s">
        <v>1736</v>
      </c>
      <c r="C1278" s="32"/>
      <c r="D1278" s="33">
        <v>31</v>
      </c>
      <c r="E1278" s="32"/>
      <c r="F1278" s="51"/>
      <c r="G1278" s="51"/>
      <c r="H1278" s="32"/>
      <c r="I1278" s="51"/>
      <c r="J1278" s="32"/>
      <c r="K1278" s="32"/>
      <c r="L1278" s="33">
        <v>0.05</v>
      </c>
      <c r="M1278" s="33">
        <v>1.2</v>
      </c>
      <c r="N1278" s="32"/>
      <c r="O1278" s="33">
        <v>8.3000000000000007</v>
      </c>
      <c r="P1278" s="33">
        <v>4</v>
      </c>
      <c r="Q1278" s="33">
        <v>0.1</v>
      </c>
      <c r="R1278" s="33" t="s">
        <v>1557</v>
      </c>
      <c r="S1278" s="32"/>
      <c r="T1278" s="33">
        <v>10</v>
      </c>
      <c r="U1278" s="49"/>
    </row>
    <row r="1279" spans="1:21">
      <c r="A1279" s="50" t="s">
        <v>1611</v>
      </c>
      <c r="B1279" s="33" t="s">
        <v>1741</v>
      </c>
      <c r="C1279" s="32"/>
      <c r="D1279" s="33">
        <v>36</v>
      </c>
      <c r="E1279" s="32"/>
      <c r="F1279" s="48">
        <v>0.5</v>
      </c>
      <c r="G1279" s="51"/>
      <c r="H1279" s="32"/>
      <c r="I1279" s="51"/>
      <c r="J1279" s="32"/>
      <c r="K1279" s="32"/>
      <c r="L1279" s="33">
        <v>0.02</v>
      </c>
      <c r="M1279" s="32"/>
      <c r="N1279" s="32"/>
      <c r="O1279" s="33">
        <v>24.9</v>
      </c>
      <c r="P1279" s="32"/>
      <c r="Q1279" s="32"/>
      <c r="R1279" s="33" t="s">
        <v>1557</v>
      </c>
      <c r="S1279" s="32"/>
      <c r="T1279" s="33">
        <v>10</v>
      </c>
      <c r="U1279" s="49"/>
    </row>
    <row r="1280" spans="1:21">
      <c r="A1280" s="50" t="s">
        <v>1612</v>
      </c>
      <c r="B1280" s="33" t="s">
        <v>1618</v>
      </c>
      <c r="C1280" s="32"/>
      <c r="D1280" s="33">
        <v>35</v>
      </c>
      <c r="E1280" s="32"/>
      <c r="F1280" s="48">
        <v>0.4</v>
      </c>
      <c r="G1280" s="51"/>
      <c r="H1280" s="32"/>
      <c r="I1280" s="51"/>
      <c r="J1280" s="32"/>
      <c r="K1280" s="33">
        <v>0.24</v>
      </c>
      <c r="L1280" s="33">
        <v>0.01</v>
      </c>
      <c r="M1280" s="32"/>
      <c r="N1280" s="32"/>
      <c r="O1280" s="33">
        <v>4.3</v>
      </c>
      <c r="P1280" s="33">
        <v>4</v>
      </c>
      <c r="Q1280" s="32"/>
      <c r="R1280" s="33" t="s">
        <v>1557</v>
      </c>
      <c r="S1280" s="32"/>
      <c r="T1280" s="33">
        <v>10</v>
      </c>
      <c r="U1280" s="49"/>
    </row>
    <row r="1281" spans="1:21">
      <c r="A1281" s="50" t="s">
        <v>1613</v>
      </c>
      <c r="B1281" s="33" t="s">
        <v>1618</v>
      </c>
      <c r="C1281" s="32"/>
      <c r="D1281" s="33">
        <v>30</v>
      </c>
      <c r="E1281" s="32"/>
      <c r="F1281" s="48">
        <v>0.4</v>
      </c>
      <c r="G1281" s="51"/>
      <c r="H1281" s="32"/>
      <c r="I1281" s="51"/>
      <c r="J1281" s="32"/>
      <c r="K1281" s="33">
        <v>0.24</v>
      </c>
      <c r="L1281" s="33">
        <v>0.01</v>
      </c>
      <c r="M1281" s="32"/>
      <c r="N1281" s="32"/>
      <c r="O1281" s="33">
        <v>4.3</v>
      </c>
      <c r="P1281" s="33">
        <v>4</v>
      </c>
      <c r="Q1281" s="32"/>
      <c r="R1281" s="33" t="s">
        <v>1557</v>
      </c>
      <c r="S1281" s="32"/>
      <c r="T1281" s="33">
        <v>10</v>
      </c>
      <c r="U1281" s="49"/>
    </row>
    <row r="1282" spans="1:21">
      <c r="A1282" s="50" t="s">
        <v>1614</v>
      </c>
      <c r="B1282" s="33" t="s">
        <v>1618</v>
      </c>
      <c r="C1282" s="32"/>
      <c r="D1282" s="33">
        <v>77</v>
      </c>
      <c r="E1282" s="32"/>
      <c r="F1282" s="48">
        <v>0.3</v>
      </c>
      <c r="G1282" s="51"/>
      <c r="H1282" s="32"/>
      <c r="I1282" s="51"/>
      <c r="J1282" s="32"/>
      <c r="K1282" s="32"/>
      <c r="L1282" s="33">
        <v>0.01</v>
      </c>
      <c r="M1282" s="32"/>
      <c r="N1282" s="32"/>
      <c r="O1282" s="33">
        <v>1.7</v>
      </c>
      <c r="P1282" s="33">
        <v>2</v>
      </c>
      <c r="Q1282" s="33">
        <v>0.6</v>
      </c>
      <c r="R1282" s="33" t="s">
        <v>1557</v>
      </c>
      <c r="S1282" s="32"/>
      <c r="T1282" s="33">
        <v>10</v>
      </c>
      <c r="U1282" s="49"/>
    </row>
    <row r="1283" spans="1:21">
      <c r="A1283" s="50" t="s">
        <v>1615</v>
      </c>
      <c r="B1283" s="33" t="s">
        <v>1639</v>
      </c>
      <c r="C1283" s="32"/>
      <c r="D1283" s="33">
        <v>34</v>
      </c>
      <c r="E1283" s="32"/>
      <c r="F1283" s="48">
        <v>0.3</v>
      </c>
      <c r="G1283" s="51"/>
      <c r="H1283" s="32"/>
      <c r="I1283" s="51"/>
      <c r="J1283" s="32"/>
      <c r="K1283" s="32"/>
      <c r="L1283" s="33">
        <v>0.01</v>
      </c>
      <c r="M1283" s="32"/>
      <c r="N1283" s="32"/>
      <c r="O1283" s="33">
        <v>25</v>
      </c>
      <c r="P1283" s="32"/>
      <c r="Q1283" s="32"/>
      <c r="R1283" s="33" t="s">
        <v>1557</v>
      </c>
      <c r="S1283" s="32"/>
      <c r="T1283" s="33">
        <v>10</v>
      </c>
      <c r="U1283" s="49"/>
    </row>
    <row r="1284" spans="1:21">
      <c r="A1284" s="50" t="s">
        <v>1616</v>
      </c>
      <c r="B1284" s="33" t="s">
        <v>1655</v>
      </c>
      <c r="C1284" s="32"/>
      <c r="D1284" s="33">
        <v>18</v>
      </c>
      <c r="E1284" s="32"/>
      <c r="F1284" s="51"/>
      <c r="G1284" s="51"/>
      <c r="H1284" s="32"/>
      <c r="I1284" s="51"/>
      <c r="J1284" s="32"/>
      <c r="K1284" s="33">
        <v>0.03</v>
      </c>
      <c r="L1284" s="33">
        <v>0.11</v>
      </c>
      <c r="M1284" s="32"/>
      <c r="N1284" s="32"/>
      <c r="O1284" s="33">
        <v>0.9</v>
      </c>
      <c r="P1284" s="33">
        <v>7</v>
      </c>
      <c r="Q1284" s="32"/>
      <c r="R1284" s="33" t="s">
        <v>1557</v>
      </c>
      <c r="S1284" s="32"/>
      <c r="T1284" s="33">
        <v>10</v>
      </c>
      <c r="U1284" s="49"/>
    </row>
    <row r="1285" spans="1:21">
      <c r="A1285" s="52" t="s">
        <v>1617</v>
      </c>
      <c r="B1285" s="37" t="s">
        <v>1655</v>
      </c>
      <c r="C1285" s="38"/>
      <c r="D1285" s="37">
        <v>18</v>
      </c>
      <c r="E1285" s="38"/>
      <c r="F1285" s="53"/>
      <c r="G1285" s="53"/>
      <c r="H1285" s="38"/>
      <c r="I1285" s="53"/>
      <c r="J1285" s="38"/>
      <c r="K1285" s="37">
        <v>0.03</v>
      </c>
      <c r="L1285" s="37">
        <v>0.11</v>
      </c>
      <c r="M1285" s="38"/>
      <c r="N1285" s="38"/>
      <c r="O1285" s="37">
        <v>4.2</v>
      </c>
      <c r="P1285" s="38"/>
      <c r="Q1285" s="38"/>
      <c r="R1285" s="37" t="s">
        <v>1557</v>
      </c>
      <c r="S1285" s="38"/>
      <c r="T1285" s="37">
        <v>10</v>
      </c>
      <c r="U1285" s="54"/>
    </row>
  </sheetData>
  <phoneticPr fontId="16" type="noConversion"/>
  <pageMargins left="0" right="0" top="0" bottom="0" header="0.51181102362204722" footer="0.51181102362204722"/>
  <pageSetup paperSize="9" scale="75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人员信息</vt:lpstr>
      <vt:lpstr>碳蛋脂配额及分餐</vt:lpstr>
      <vt:lpstr>休息日搭配</vt:lpstr>
      <vt:lpstr>食物碳水率蛋白质率</vt:lpstr>
      <vt:lpstr>力训日搭配</vt:lpstr>
      <vt:lpstr>算出食物量</vt:lpstr>
      <vt:lpstr>休息日饮食</vt:lpstr>
      <vt:lpstr>力训日饮食</vt:lpstr>
      <vt:lpstr>食物成份表</vt:lpstr>
      <vt:lpstr>新食物成份表</vt:lpstr>
    </vt:vector>
  </TitlesOfParts>
  <Company>https://tl8517.com/fat-loss-plan/</Company>
  <LinksUpToDate>false</LinksUpToDate>
  <SharedDoc>false</SharedDoc>
  <HyperlinkBase>https://tl8517.com/fat-loss-plan/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生活化减脂合理膳食计划表格</dc:title>
  <dc:subject>减脂合理膳食</dc:subject>
  <dc:creator>Lei Tan</dc:creator>
  <cp:keywords>减脂，膳食，生活化</cp:keywords>
  <dc:description>生活化减脂合理膳食计划</dc:description>
  <cp:lastModifiedBy>Lei Tan</cp:lastModifiedBy>
  <dcterms:created xsi:type="dcterms:W3CDTF">2023-10-12T02:52:00Z</dcterms:created>
  <dcterms:modified xsi:type="dcterms:W3CDTF">2023-11-28T10:12:36Z</dcterms:modified>
  <cp:category>生活化减脂合理膳食计划表格</cp:category>
  <cp:contentStatus>更新中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544CD53AB3084A258B5796C3CC611B9D</vt:lpwstr>
  </property>
  <property fmtid="{D5CDD505-2E9C-101B-9397-08002B2CF9AE}" pid="3" name="KSOProductBuildVer">
    <vt:lpwstr>2052-11.1.0.10463</vt:lpwstr>
  </property>
</Properties>
</file>